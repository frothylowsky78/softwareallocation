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montroseenv.sharepoint.com/sites/Corp/CorpFP&amp;ASharedItems/Shared Documents/Allocations/2026/Software/Adobe/"/>
    </mc:Choice>
  </mc:AlternateContent>
  <xr:revisionPtr revIDLastSave="0" documentId="8_{BA76F94E-303F-4230-9D50-46D2DB035604}" xr6:coauthVersionLast="47" xr6:coauthVersionMax="47" xr10:uidLastSave="{00000000-0000-0000-0000-000000000000}"/>
  <bookViews>
    <workbookView xWindow="28680" yWindow="-45" windowWidth="29040" windowHeight="15840" xr2:uid="{0120C7EF-17C8-4ED2-B32D-CC0B67E014DD}"/>
  </bookViews>
  <sheets>
    <sheet name="AllocEntry for Actng(truncated)" sheetId="8" r:id="rId1"/>
    <sheet name="Allocation Details by Lic Type" sheetId="7" r:id="rId2"/>
    <sheet name="Adobe users (3)" sheetId="4" r:id="rId3"/>
    <sheet name="Rate Sheet" sheetId="2" r:id="rId4"/>
    <sheet name="Adobe users" sheetId="1" r:id="rId5"/>
  </sheets>
  <definedNames>
    <definedName name="_xlnm._FilterDatabase" localSheetId="4" hidden="1">'Adobe users'!$A$1:$S$1557</definedName>
    <definedName name="_xlnm._FilterDatabase" localSheetId="2" hidden="1">'Adobe users (3)'!$A$1:$AB$1527</definedName>
  </definedNames>
  <calcPr calcId="191029"/>
  <pivotCaches>
    <pivotCache cacheId="7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27" i="4" l="1"/>
  <c r="Y1527" i="4"/>
  <c r="Z1526" i="4"/>
  <c r="Y1526" i="4"/>
  <c r="Z1525" i="4"/>
  <c r="Y1525" i="4"/>
  <c r="X1525" i="4"/>
  <c r="Z1524" i="4"/>
  <c r="Y1524" i="4"/>
  <c r="Z1523" i="4"/>
  <c r="Y1523" i="4"/>
  <c r="Z1522" i="4"/>
  <c r="Y1522" i="4"/>
  <c r="X1522" i="4"/>
  <c r="Z1521" i="4"/>
  <c r="Y1521" i="4"/>
  <c r="Z1520" i="4"/>
  <c r="Y1520" i="4"/>
  <c r="Z1519" i="4"/>
  <c r="Y1519" i="4"/>
  <c r="Z1518" i="4"/>
  <c r="Y1518" i="4"/>
  <c r="Z1517" i="4"/>
  <c r="Y1517" i="4"/>
  <c r="X1517" i="4"/>
  <c r="Z1516" i="4"/>
  <c r="Y1516" i="4"/>
  <c r="X1516" i="4"/>
  <c r="Z1515" i="4"/>
  <c r="Y1515" i="4"/>
  <c r="Z1514" i="4"/>
  <c r="Y1514" i="4"/>
  <c r="Z1513" i="4"/>
  <c r="Y1513" i="4"/>
  <c r="Z1512" i="4"/>
  <c r="Y1512" i="4"/>
  <c r="Z1511" i="4"/>
  <c r="Y1511" i="4"/>
  <c r="Z1510" i="4"/>
  <c r="Y1510" i="4"/>
  <c r="Z1509" i="4"/>
  <c r="Y1509" i="4"/>
  <c r="Z1508" i="4"/>
  <c r="Y1508" i="4"/>
  <c r="X1508" i="4"/>
  <c r="Z1507" i="4"/>
  <c r="Y1507" i="4"/>
  <c r="Z1506" i="4"/>
  <c r="Y1506" i="4"/>
  <c r="X1506" i="4"/>
  <c r="Z1505" i="4"/>
  <c r="Y1505" i="4"/>
  <c r="X1505" i="4"/>
  <c r="Z1504" i="4"/>
  <c r="Y1504" i="4"/>
  <c r="Z1503" i="4"/>
  <c r="Y1503" i="4"/>
  <c r="Z1502" i="4"/>
  <c r="Y1502" i="4"/>
  <c r="Z1501" i="4"/>
  <c r="Y1501" i="4"/>
  <c r="X1501" i="4"/>
  <c r="Z1500" i="4"/>
  <c r="Y1500" i="4"/>
  <c r="Z1499" i="4"/>
  <c r="Y1499" i="4"/>
  <c r="X1499" i="4"/>
  <c r="Z1498" i="4"/>
  <c r="Y1498" i="4"/>
  <c r="Z1497" i="4"/>
  <c r="Y1497" i="4"/>
  <c r="Z1496" i="4"/>
  <c r="Y1496" i="4"/>
  <c r="Z1495" i="4"/>
  <c r="Y1495" i="4"/>
  <c r="Z1494" i="4"/>
  <c r="Y1494" i="4"/>
  <c r="Z1493" i="4"/>
  <c r="Y1493" i="4"/>
  <c r="X1493" i="4"/>
  <c r="Z1492" i="4"/>
  <c r="Y1492" i="4"/>
  <c r="Z1491" i="4"/>
  <c r="Y1491" i="4"/>
  <c r="Z1490" i="4"/>
  <c r="Y1490" i="4"/>
  <c r="Z1489" i="4"/>
  <c r="Y1489" i="4"/>
  <c r="Z1488" i="4"/>
  <c r="Y1488" i="4"/>
  <c r="Z1487" i="4"/>
  <c r="Y1487" i="4"/>
  <c r="Z1486" i="4"/>
  <c r="Y1486" i="4"/>
  <c r="Z1485" i="4"/>
  <c r="Y1485" i="4"/>
  <c r="Z1484" i="4"/>
  <c r="Y1484" i="4"/>
  <c r="Z1483" i="4"/>
  <c r="Y1483" i="4"/>
  <c r="Z1482" i="4"/>
  <c r="Y1482" i="4"/>
  <c r="Z1481" i="4"/>
  <c r="Y1481" i="4"/>
  <c r="Z1480" i="4"/>
  <c r="Y1480" i="4"/>
  <c r="Z1479" i="4"/>
  <c r="Y1479" i="4"/>
  <c r="Z1478" i="4"/>
  <c r="Y1478" i="4"/>
  <c r="Z1477" i="4"/>
  <c r="Y1477" i="4"/>
  <c r="X1477" i="4"/>
  <c r="Z1476" i="4"/>
  <c r="Y1476" i="4"/>
  <c r="Z1475" i="4"/>
  <c r="Y1475" i="4"/>
  <c r="X1475" i="4"/>
  <c r="Z1474" i="4"/>
  <c r="Y1474" i="4"/>
  <c r="Z1473" i="4"/>
  <c r="Y1473" i="4"/>
  <c r="Z1472" i="4"/>
  <c r="Y1472" i="4"/>
  <c r="Z1471" i="4"/>
  <c r="Y1471" i="4"/>
  <c r="Z1470" i="4"/>
  <c r="Y1470" i="4"/>
  <c r="Z1469" i="4"/>
  <c r="Y1469" i="4"/>
  <c r="Z1468" i="4"/>
  <c r="Y1468" i="4"/>
  <c r="Z1467" i="4"/>
  <c r="Y1467" i="4"/>
  <c r="Z1466" i="4"/>
  <c r="Y1466" i="4"/>
  <c r="Z1465" i="4"/>
  <c r="Y1465" i="4"/>
  <c r="Z1464" i="4"/>
  <c r="Y1464" i="4"/>
  <c r="X1464" i="4"/>
  <c r="Z1463" i="4"/>
  <c r="Y1463" i="4"/>
  <c r="Z1462" i="4"/>
  <c r="Y1462" i="4"/>
  <c r="Z1461" i="4"/>
  <c r="Y1461" i="4"/>
  <c r="X1461" i="4"/>
  <c r="Z1460" i="4"/>
  <c r="Y1460" i="4"/>
  <c r="Z1459" i="4"/>
  <c r="Y1459" i="4"/>
  <c r="Z1458" i="4"/>
  <c r="Y1458" i="4"/>
  <c r="X1458" i="4"/>
  <c r="Z1457" i="4"/>
  <c r="Y1457" i="4"/>
  <c r="Z1456" i="4"/>
  <c r="Y1456" i="4"/>
  <c r="Z1455" i="4"/>
  <c r="Y1455" i="4"/>
  <c r="Z1454" i="4"/>
  <c r="Y1454" i="4"/>
  <c r="Z1453" i="4"/>
  <c r="Y1453" i="4"/>
  <c r="Z1452" i="4"/>
  <c r="Y1452" i="4"/>
  <c r="Z1451" i="4"/>
  <c r="Y1451" i="4"/>
  <c r="Z1450" i="4"/>
  <c r="Y1450" i="4"/>
  <c r="Z1449" i="4"/>
  <c r="Y1449" i="4"/>
  <c r="Z1448" i="4"/>
  <c r="Y1448" i="4"/>
  <c r="X1448" i="4"/>
  <c r="Z1447" i="4"/>
  <c r="Y1447" i="4"/>
  <c r="Z1446" i="4"/>
  <c r="Y1446" i="4"/>
  <c r="Z1445" i="4"/>
  <c r="Y1445" i="4"/>
  <c r="Z1444" i="4"/>
  <c r="Y1444" i="4"/>
  <c r="Z1443" i="4"/>
  <c r="Y1443" i="4"/>
  <c r="Z1442" i="4"/>
  <c r="Y1442" i="4"/>
  <c r="X1442" i="4"/>
  <c r="Z1441" i="4"/>
  <c r="Y1441" i="4"/>
  <c r="Z1440" i="4"/>
  <c r="Y1440" i="4"/>
  <c r="Z1439" i="4"/>
  <c r="Y1439" i="4"/>
  <c r="Z1438" i="4"/>
  <c r="Y1438" i="4"/>
  <c r="X1438" i="4"/>
  <c r="Z1437" i="4"/>
  <c r="Y1437" i="4"/>
  <c r="Z1436" i="4"/>
  <c r="Y1436" i="4"/>
  <c r="Z1435" i="4"/>
  <c r="Y1435" i="4"/>
  <c r="Z1434" i="4"/>
  <c r="Y1434" i="4"/>
  <c r="Z1433" i="4"/>
  <c r="Y1433" i="4"/>
  <c r="Z1432" i="4"/>
  <c r="Y1432" i="4"/>
  <c r="Z1431" i="4"/>
  <c r="Y1431" i="4"/>
  <c r="Z1430" i="4"/>
  <c r="Y1430" i="4"/>
  <c r="Z1429" i="4"/>
  <c r="Y1429" i="4"/>
  <c r="Z1428" i="4"/>
  <c r="Y1428" i="4"/>
  <c r="Z1427" i="4"/>
  <c r="Y1427" i="4"/>
  <c r="X1427" i="4"/>
  <c r="Z1426" i="4"/>
  <c r="Y1426" i="4"/>
  <c r="Z1425" i="4"/>
  <c r="Y1425" i="4"/>
  <c r="Z1424" i="4"/>
  <c r="Y1424" i="4"/>
  <c r="Z1423" i="4"/>
  <c r="Y1423" i="4"/>
  <c r="Z1422" i="4"/>
  <c r="Y1422" i="4"/>
  <c r="X1422" i="4"/>
  <c r="Z1421" i="4"/>
  <c r="Y1421" i="4"/>
  <c r="Z1420" i="4"/>
  <c r="Y1420" i="4"/>
  <c r="Z1419" i="4"/>
  <c r="Y1419" i="4"/>
  <c r="X1419" i="4"/>
  <c r="Z1418" i="4"/>
  <c r="Y1418" i="4"/>
  <c r="X1418" i="4"/>
  <c r="Z1417" i="4"/>
  <c r="Y1417" i="4"/>
  <c r="Z1416" i="4"/>
  <c r="Y1416" i="4"/>
  <c r="Z1415" i="4"/>
  <c r="Y1415" i="4"/>
  <c r="X1415" i="4"/>
  <c r="Z1414" i="4"/>
  <c r="Y1414" i="4"/>
  <c r="Z1413" i="4"/>
  <c r="Y1413" i="4"/>
  <c r="Z1412" i="4"/>
  <c r="Y1412" i="4"/>
  <c r="Z1411" i="4"/>
  <c r="Y1411" i="4"/>
  <c r="Z1410" i="4"/>
  <c r="Y1410" i="4"/>
  <c r="Z1409" i="4"/>
  <c r="Y1409" i="4"/>
  <c r="X1409" i="4"/>
  <c r="Z1408" i="4"/>
  <c r="Y1408" i="4"/>
  <c r="X1408" i="4"/>
  <c r="Z1407" i="4"/>
  <c r="Y1407" i="4"/>
  <c r="Z1406" i="4"/>
  <c r="Y1406" i="4"/>
  <c r="Z1405" i="4"/>
  <c r="Y1405" i="4"/>
  <c r="X1405" i="4"/>
  <c r="Z1404" i="4"/>
  <c r="Y1404" i="4"/>
  <c r="Z1403" i="4"/>
  <c r="Y1403" i="4"/>
  <c r="Z1402" i="4"/>
  <c r="Y1402" i="4"/>
  <c r="X1402" i="4"/>
  <c r="Z1401" i="4"/>
  <c r="Y1401" i="4"/>
  <c r="Z1400" i="4"/>
  <c r="Y1400" i="4"/>
  <c r="Z1399" i="4"/>
  <c r="Y1399" i="4"/>
  <c r="Z1398" i="4"/>
  <c r="Y1398" i="4"/>
  <c r="Z1397" i="4"/>
  <c r="Y1397" i="4"/>
  <c r="Z1396" i="4"/>
  <c r="Y1396" i="4"/>
  <c r="X1396" i="4"/>
  <c r="Z1395" i="4"/>
  <c r="Y1395" i="4"/>
  <c r="Z1394" i="4"/>
  <c r="Y1394" i="4"/>
  <c r="Z1393" i="4"/>
  <c r="Y1393" i="4"/>
  <c r="X1393" i="4"/>
  <c r="Z1392" i="4"/>
  <c r="Y1392" i="4"/>
  <c r="Z1391" i="4"/>
  <c r="Y1391" i="4"/>
  <c r="Z1390" i="4"/>
  <c r="Y1390" i="4"/>
  <c r="X1390" i="4"/>
  <c r="Z1389" i="4"/>
  <c r="Y1389" i="4"/>
  <c r="Z1388" i="4"/>
  <c r="Y1388" i="4"/>
  <c r="X1388" i="4"/>
  <c r="Z1387" i="4"/>
  <c r="Y1387" i="4"/>
  <c r="X1387" i="4"/>
  <c r="Z1386" i="4"/>
  <c r="Y1386" i="4"/>
  <c r="Z1385" i="4"/>
  <c r="Z1384" i="4"/>
  <c r="Y1384" i="4"/>
  <c r="Z1383" i="4"/>
  <c r="Y1383" i="4"/>
  <c r="Z1382" i="4"/>
  <c r="Y1382" i="4"/>
  <c r="Z1381" i="4"/>
  <c r="Y1381" i="4"/>
  <c r="Z1380" i="4"/>
  <c r="Y1380" i="4"/>
  <c r="Z1379" i="4"/>
  <c r="Y1379" i="4"/>
  <c r="Z1378" i="4"/>
  <c r="Y1378" i="4"/>
  <c r="Z1377" i="4"/>
  <c r="Y1377" i="4"/>
  <c r="X1377" i="4"/>
  <c r="Z1376" i="4"/>
  <c r="Y1376" i="4"/>
  <c r="Z1375" i="4"/>
  <c r="Y1375" i="4"/>
  <c r="Z1374" i="4"/>
  <c r="Y1374" i="4"/>
  <c r="Z1373" i="4"/>
  <c r="Y1373" i="4"/>
  <c r="Z1372" i="4"/>
  <c r="Y1372" i="4"/>
  <c r="Z1371" i="4"/>
  <c r="Y1371" i="4"/>
  <c r="X1371" i="4"/>
  <c r="Z1370" i="4"/>
  <c r="Y1370" i="4"/>
  <c r="Z1369" i="4"/>
  <c r="Y1369" i="4"/>
  <c r="Z1368" i="4"/>
  <c r="Y1368" i="4"/>
  <c r="Z1367" i="4"/>
  <c r="Y1367" i="4"/>
  <c r="Z1366" i="4"/>
  <c r="Y1366" i="4"/>
  <c r="X1366" i="4"/>
  <c r="Z1365" i="4"/>
  <c r="Y1365" i="4"/>
  <c r="Z1364" i="4"/>
  <c r="Y1364" i="4"/>
  <c r="Z1363" i="4"/>
  <c r="Y1363" i="4"/>
  <c r="X1363" i="4"/>
  <c r="Z1362" i="4"/>
  <c r="Y1362" i="4"/>
  <c r="Z1361" i="4"/>
  <c r="Y1361" i="4"/>
  <c r="Z1360" i="4"/>
  <c r="Y1360" i="4"/>
  <c r="Z1359" i="4"/>
  <c r="Y1359" i="4"/>
  <c r="X1359" i="4"/>
  <c r="Z1358" i="4"/>
  <c r="Y1358" i="4"/>
  <c r="Z1357" i="4"/>
  <c r="Y1357" i="4"/>
  <c r="Z1356" i="4"/>
  <c r="Y1356" i="4"/>
  <c r="Z1355" i="4"/>
  <c r="Y1355" i="4"/>
  <c r="Z1354" i="4"/>
  <c r="Y1354" i="4"/>
  <c r="Z1353" i="4"/>
  <c r="Y1353" i="4"/>
  <c r="Z1352" i="4"/>
  <c r="Y1352" i="4"/>
  <c r="X1352" i="4"/>
  <c r="Z1351" i="4"/>
  <c r="Y1351" i="4"/>
  <c r="Z1350" i="4"/>
  <c r="Y1350" i="4"/>
  <c r="Z1349" i="4"/>
  <c r="Y1349" i="4"/>
  <c r="X1349" i="4"/>
  <c r="Z1348" i="4"/>
  <c r="Y1348" i="4"/>
  <c r="Z1347" i="4"/>
  <c r="Y1347" i="4"/>
  <c r="X1347" i="4"/>
  <c r="Z1346" i="4"/>
  <c r="Y1346" i="4"/>
  <c r="X1346" i="4"/>
  <c r="Z1345" i="4"/>
  <c r="Y1345" i="4"/>
  <c r="Z1344" i="4"/>
  <c r="Y1344" i="4"/>
  <c r="X1344" i="4"/>
  <c r="Z1343" i="4"/>
  <c r="Y1343" i="4"/>
  <c r="Z1342" i="4"/>
  <c r="Y1342" i="4"/>
  <c r="Z1341" i="4"/>
  <c r="Y1341" i="4"/>
  <c r="X1341" i="4"/>
  <c r="Z1340" i="4"/>
  <c r="Y1340" i="4"/>
  <c r="Z1339" i="4"/>
  <c r="Y1339" i="4"/>
  <c r="X1339" i="4"/>
  <c r="Z1338" i="4"/>
  <c r="Y1338" i="4"/>
  <c r="Z1337" i="4"/>
  <c r="Y1337" i="4"/>
  <c r="Z1336" i="4"/>
  <c r="Y1336" i="4"/>
  <c r="Z1335" i="4"/>
  <c r="Y1335" i="4"/>
  <c r="Z1334" i="4"/>
  <c r="Y1334" i="4"/>
  <c r="Z1333" i="4"/>
  <c r="Y1333" i="4"/>
  <c r="Z1332" i="4"/>
  <c r="Y1332" i="4"/>
  <c r="Z1331" i="4"/>
  <c r="Y1331" i="4"/>
  <c r="Z1330" i="4"/>
  <c r="Y1330" i="4"/>
  <c r="Z1329" i="4"/>
  <c r="Y1329" i="4"/>
  <c r="Z1328" i="4"/>
  <c r="Y1328" i="4"/>
  <c r="Z1327" i="4"/>
  <c r="Y1327" i="4"/>
  <c r="Z1326" i="4"/>
  <c r="Y1326" i="4"/>
  <c r="Z1325" i="4"/>
  <c r="Y1325" i="4"/>
  <c r="Z1324" i="4"/>
  <c r="Y1324" i="4"/>
  <c r="Z1323" i="4"/>
  <c r="Y1323" i="4"/>
  <c r="Z1322" i="4"/>
  <c r="Y1322" i="4"/>
  <c r="Z1321" i="4"/>
  <c r="Y1321" i="4"/>
  <c r="X1321" i="4"/>
  <c r="Z1320" i="4"/>
  <c r="Y1320" i="4"/>
  <c r="Z1319" i="4"/>
  <c r="Y1319" i="4"/>
  <c r="Z1318" i="4"/>
  <c r="Y1318" i="4"/>
  <c r="Z1317" i="4"/>
  <c r="Y1317" i="4"/>
  <c r="Z1316" i="4"/>
  <c r="Z1315" i="4"/>
  <c r="Y1315" i="4"/>
  <c r="Z1314" i="4"/>
  <c r="Y1314" i="4"/>
  <c r="X1314" i="4"/>
  <c r="Z1313" i="4"/>
  <c r="Y1313" i="4"/>
  <c r="Z1312" i="4"/>
  <c r="Y1312" i="4"/>
  <c r="X1312" i="4"/>
  <c r="Z1311" i="4"/>
  <c r="Y1311" i="4"/>
  <c r="X1311" i="4"/>
  <c r="Z1310" i="4"/>
  <c r="Y1310" i="4"/>
  <c r="Z1309" i="4"/>
  <c r="Y1309" i="4"/>
  <c r="Z1308" i="4"/>
  <c r="Y1308" i="4"/>
  <c r="X1308" i="4"/>
  <c r="Z1307" i="4"/>
  <c r="Y1307" i="4"/>
  <c r="Z1306" i="4"/>
  <c r="Y1306" i="4"/>
  <c r="X1306" i="4"/>
  <c r="Z1305" i="4"/>
  <c r="Y1305" i="4"/>
  <c r="X1305" i="4"/>
  <c r="Z1304" i="4"/>
  <c r="Y1304" i="4"/>
  <c r="Z1303" i="4"/>
  <c r="Y1303" i="4"/>
  <c r="X1303" i="4"/>
  <c r="Z1302" i="4"/>
  <c r="Y1302" i="4"/>
  <c r="Z1301" i="4"/>
  <c r="Y1301" i="4"/>
  <c r="X1301" i="4"/>
  <c r="Z1300" i="4"/>
  <c r="Y1300" i="4"/>
  <c r="X1300" i="4"/>
  <c r="Z1299" i="4"/>
  <c r="Y1299" i="4"/>
  <c r="X1299" i="4"/>
  <c r="Z1298" i="4"/>
  <c r="Y1298" i="4"/>
  <c r="X1298" i="4"/>
  <c r="Z1297" i="4"/>
  <c r="Y1297" i="4"/>
  <c r="X1297" i="4"/>
  <c r="Z1296" i="4"/>
  <c r="Y1296" i="4"/>
  <c r="X1296" i="4"/>
  <c r="Z1295" i="4"/>
  <c r="Y1295" i="4"/>
  <c r="X1295" i="4"/>
  <c r="Z1294" i="4"/>
  <c r="Y1294" i="4"/>
  <c r="X1294" i="4"/>
  <c r="Z1293" i="4"/>
  <c r="Y1293" i="4"/>
  <c r="X1293" i="4"/>
  <c r="Z1292" i="4"/>
  <c r="Y1292" i="4"/>
  <c r="X1292" i="4"/>
  <c r="Z1291" i="4"/>
  <c r="Y1291" i="4"/>
  <c r="X1291" i="4"/>
  <c r="Z1290" i="4"/>
  <c r="Y1290" i="4"/>
  <c r="Z1289" i="4"/>
  <c r="Y1289" i="4"/>
  <c r="Z1288" i="4"/>
  <c r="Y1288" i="4"/>
  <c r="X1288" i="4"/>
  <c r="Z1287" i="4"/>
  <c r="Y1287" i="4"/>
  <c r="Z1286" i="4"/>
  <c r="Y1286" i="4"/>
  <c r="X1286" i="4"/>
  <c r="Z1285" i="4"/>
  <c r="Y1285" i="4"/>
  <c r="X1285" i="4"/>
  <c r="Z1284" i="4"/>
  <c r="Y1284" i="4"/>
  <c r="Z1283" i="4"/>
  <c r="Y1283" i="4"/>
  <c r="Z1282" i="4"/>
  <c r="Y1282" i="4"/>
  <c r="X1282" i="4"/>
  <c r="Z1281" i="4"/>
  <c r="Y1281" i="4"/>
  <c r="Z1280" i="4"/>
  <c r="Y1280" i="4"/>
  <c r="X1280" i="4"/>
  <c r="Z1279" i="4"/>
  <c r="Y1279" i="4"/>
  <c r="Z1278" i="4"/>
  <c r="Y1278" i="4"/>
  <c r="X1278" i="4"/>
  <c r="Z1277" i="4"/>
  <c r="Y1277" i="4"/>
  <c r="X1277" i="4"/>
  <c r="Z1276" i="4"/>
  <c r="Y1276" i="4"/>
  <c r="Z1275" i="4"/>
  <c r="Y1275" i="4"/>
  <c r="X1275" i="4"/>
  <c r="Z1274" i="4"/>
  <c r="Y1274" i="4"/>
  <c r="Z1273" i="4"/>
  <c r="Y1273" i="4"/>
  <c r="Z1272" i="4"/>
  <c r="Y1272" i="4"/>
  <c r="Z1271" i="4"/>
  <c r="Y1271" i="4"/>
  <c r="Z1270" i="4"/>
  <c r="Y1270" i="4"/>
  <c r="Z1269" i="4"/>
  <c r="Y1269" i="4"/>
  <c r="Z1268" i="4"/>
  <c r="Y1268" i="4"/>
  <c r="X1268" i="4"/>
  <c r="Z1267" i="4"/>
  <c r="Y1267" i="4"/>
  <c r="X1267" i="4"/>
  <c r="Z1266" i="4"/>
  <c r="Y1266" i="4"/>
  <c r="X1266" i="4"/>
  <c r="Z1265" i="4"/>
  <c r="Y1265" i="4"/>
  <c r="Z1264" i="4"/>
  <c r="Y1264" i="4"/>
  <c r="X1264" i="4"/>
  <c r="Z1263" i="4"/>
  <c r="Y1263" i="4"/>
  <c r="Z1262" i="4"/>
  <c r="Y1262" i="4"/>
  <c r="Z1261" i="4"/>
  <c r="Y1261" i="4"/>
  <c r="Z1260" i="4"/>
  <c r="Y1260" i="4"/>
  <c r="Z1259" i="4"/>
  <c r="Y1259" i="4"/>
  <c r="X1259" i="4"/>
  <c r="Z1258" i="4"/>
  <c r="Y1258" i="4"/>
  <c r="Z1257" i="4"/>
  <c r="Y1257" i="4"/>
  <c r="Z1256" i="4"/>
  <c r="Y1256" i="4"/>
  <c r="Z1255" i="4"/>
  <c r="Y1255" i="4"/>
  <c r="Z1254" i="4"/>
  <c r="Y1254" i="4"/>
  <c r="Z1253" i="4"/>
  <c r="Y1253" i="4"/>
  <c r="Z1252" i="4"/>
  <c r="Y1252" i="4"/>
  <c r="X1252" i="4"/>
  <c r="Z1251" i="4"/>
  <c r="Y1251" i="4"/>
  <c r="Z1250" i="4"/>
  <c r="Y1250" i="4"/>
  <c r="Z1249" i="4"/>
  <c r="Y1249" i="4"/>
  <c r="X1249" i="4"/>
  <c r="Z1248" i="4"/>
  <c r="Y1248" i="4"/>
  <c r="Z1247" i="4"/>
  <c r="Y1247" i="4"/>
  <c r="Z1246" i="4"/>
  <c r="Y1246" i="4"/>
  <c r="Z1245" i="4"/>
  <c r="Y1245" i="4"/>
  <c r="X1245" i="4"/>
  <c r="Z1244" i="4"/>
  <c r="Y1244" i="4"/>
  <c r="Z1243" i="4"/>
  <c r="Y1243" i="4"/>
  <c r="X1243" i="4"/>
  <c r="Z1242" i="4"/>
  <c r="Y1242" i="4"/>
  <c r="Z1241" i="4"/>
  <c r="Y1241" i="4"/>
  <c r="X1241" i="4"/>
  <c r="Z1240" i="4"/>
  <c r="Y1240" i="4"/>
  <c r="Z1239" i="4"/>
  <c r="Y1239" i="4"/>
  <c r="Z1238" i="4"/>
  <c r="Y1238" i="4"/>
  <c r="X1238" i="4"/>
  <c r="Z1237" i="4"/>
  <c r="Y1237" i="4"/>
  <c r="Z1236" i="4"/>
  <c r="Y1236" i="4"/>
  <c r="Z1235" i="4"/>
  <c r="Y1235" i="4"/>
  <c r="X1235" i="4"/>
  <c r="Z1234" i="4"/>
  <c r="Y1234" i="4"/>
  <c r="X1234" i="4"/>
  <c r="Z1233" i="4"/>
  <c r="Y1233" i="4"/>
  <c r="X1233" i="4"/>
  <c r="Z1232" i="4"/>
  <c r="Y1232" i="4"/>
  <c r="Z1231" i="4"/>
  <c r="Y1231" i="4"/>
  <c r="Z1230" i="4"/>
  <c r="Y1230" i="4"/>
  <c r="Z1229" i="4"/>
  <c r="Y1229" i="4"/>
  <c r="Z1228" i="4"/>
  <c r="Y1228" i="4"/>
  <c r="Z1227" i="4"/>
  <c r="Y1227" i="4"/>
  <c r="Z1226" i="4"/>
  <c r="Y1226" i="4"/>
  <c r="X1226" i="4"/>
  <c r="Z1225" i="4"/>
  <c r="Z1224" i="4"/>
  <c r="Y1224" i="4"/>
  <c r="Z1223" i="4"/>
  <c r="Y1223" i="4"/>
  <c r="Z1222" i="4"/>
  <c r="Y1222" i="4"/>
  <c r="X1222" i="4"/>
  <c r="Z1221" i="4"/>
  <c r="Y1221" i="4"/>
  <c r="Z1220" i="4"/>
  <c r="Y1220" i="4"/>
  <c r="X1220" i="4"/>
  <c r="Z1219" i="4"/>
  <c r="Y1219" i="4"/>
  <c r="X1219" i="4"/>
  <c r="Z1218" i="4"/>
  <c r="Y1218" i="4"/>
  <c r="Z1217" i="4"/>
  <c r="Y1217" i="4"/>
  <c r="Z1216" i="4"/>
  <c r="Y1216" i="4"/>
  <c r="Z1215" i="4"/>
  <c r="Y1215" i="4"/>
  <c r="X1215" i="4"/>
  <c r="Z1214" i="4"/>
  <c r="Y1214" i="4"/>
  <c r="X1214" i="4"/>
  <c r="Z1213" i="4"/>
  <c r="Y1213" i="4"/>
  <c r="Z1212" i="4"/>
  <c r="Y1212" i="4"/>
  <c r="Z1211" i="4"/>
  <c r="Y1211" i="4"/>
  <c r="X1211" i="4"/>
  <c r="Z1210" i="4"/>
  <c r="Y1210" i="4"/>
  <c r="Z1209" i="4"/>
  <c r="Y1209" i="4"/>
  <c r="X1209" i="4"/>
  <c r="Z1208" i="4"/>
  <c r="Y1208" i="4"/>
  <c r="Z1207" i="4"/>
  <c r="Y1207" i="4"/>
  <c r="Z1206" i="4"/>
  <c r="Y1206" i="4"/>
  <c r="Z1205" i="4"/>
  <c r="Y1205" i="4"/>
  <c r="X1205" i="4"/>
  <c r="Z1204" i="4"/>
  <c r="Y1204" i="4"/>
  <c r="Z1203" i="4"/>
  <c r="Y1203" i="4"/>
  <c r="Z1202" i="4"/>
  <c r="Y1202" i="4"/>
  <c r="X1202" i="4"/>
  <c r="Z1201" i="4"/>
  <c r="Y1201" i="4"/>
  <c r="X1201" i="4"/>
  <c r="Z1200" i="4"/>
  <c r="Y1200" i="4"/>
  <c r="Z1199" i="4"/>
  <c r="Y1199" i="4"/>
  <c r="Z1198" i="4"/>
  <c r="Y1198" i="4"/>
  <c r="Z1197" i="4"/>
  <c r="Y1197" i="4"/>
  <c r="Z1196" i="4"/>
  <c r="Y1196" i="4"/>
  <c r="Z1195" i="4"/>
  <c r="Y1195" i="4"/>
  <c r="X1195" i="4"/>
  <c r="Z1194" i="4"/>
  <c r="Y1194" i="4"/>
  <c r="X1194" i="4"/>
  <c r="Z1193" i="4"/>
  <c r="Y1193" i="4"/>
  <c r="X1193" i="4"/>
  <c r="Z1192" i="4"/>
  <c r="Y1192" i="4"/>
  <c r="Z1191" i="4"/>
  <c r="Y1191" i="4"/>
  <c r="Z1190" i="4"/>
  <c r="Y1190" i="4"/>
  <c r="Z1189" i="4"/>
  <c r="Y1189" i="4"/>
  <c r="Z1188" i="4"/>
  <c r="Z1187" i="4"/>
  <c r="Y1187" i="4"/>
  <c r="X1187" i="4"/>
  <c r="Z1186" i="4"/>
  <c r="Y1186" i="4"/>
  <c r="Z1185" i="4"/>
  <c r="Y1185" i="4"/>
  <c r="Z1184" i="4"/>
  <c r="Y1184" i="4"/>
  <c r="X1184" i="4"/>
  <c r="Z1183" i="4"/>
  <c r="Y1183" i="4"/>
  <c r="Z1182" i="4"/>
  <c r="Y1182" i="4"/>
  <c r="Z1181" i="4"/>
  <c r="Y1181" i="4"/>
  <c r="Z1180" i="4"/>
  <c r="Y1180" i="4"/>
  <c r="Z1179" i="4"/>
  <c r="Y1179" i="4"/>
  <c r="X1179" i="4"/>
  <c r="Z1178" i="4"/>
  <c r="Y1178" i="4"/>
  <c r="Z1177" i="4"/>
  <c r="Y1177" i="4"/>
  <c r="X1177" i="4"/>
  <c r="Z1176" i="4"/>
  <c r="Y1176" i="4"/>
  <c r="Z1175" i="4"/>
  <c r="Y1175" i="4"/>
  <c r="Z1174" i="4"/>
  <c r="Y1174" i="4"/>
  <c r="Z1173" i="4"/>
  <c r="Y1173" i="4"/>
  <c r="Z1172" i="4"/>
  <c r="Y1172" i="4"/>
  <c r="Z1171" i="4"/>
  <c r="Y1171" i="4"/>
  <c r="Z1170" i="4"/>
  <c r="Y1170" i="4"/>
  <c r="Z1169" i="4"/>
  <c r="Y1169" i="4"/>
  <c r="Z1168" i="4"/>
  <c r="Y1168" i="4"/>
  <c r="Z1167" i="4"/>
  <c r="Y1167" i="4"/>
  <c r="Z1166" i="4"/>
  <c r="Y1166" i="4"/>
  <c r="X1166" i="4"/>
  <c r="Z1165" i="4"/>
  <c r="Y1165" i="4"/>
  <c r="Z1164" i="4"/>
  <c r="Y1164" i="4"/>
  <c r="Z1163" i="4"/>
  <c r="Y1163" i="4"/>
  <c r="Z1162" i="4"/>
  <c r="Y1162" i="4"/>
  <c r="Z1161" i="4"/>
  <c r="Y1161" i="4"/>
  <c r="X1161" i="4"/>
  <c r="Z1160" i="4"/>
  <c r="Y1160" i="4"/>
  <c r="X1160" i="4"/>
  <c r="Z1159" i="4"/>
  <c r="Y1159" i="4"/>
  <c r="Z1158" i="4"/>
  <c r="Y1158" i="4"/>
  <c r="Z1157" i="4"/>
  <c r="Y1157" i="4"/>
  <c r="Z1156" i="4"/>
  <c r="Y1156" i="4"/>
  <c r="X1156" i="4"/>
  <c r="Z1155" i="4"/>
  <c r="Y1155" i="4"/>
  <c r="Z1154" i="4"/>
  <c r="Y1154" i="4"/>
  <c r="Z1153" i="4"/>
  <c r="Y1153" i="4"/>
  <c r="Z1152" i="4"/>
  <c r="Y1152" i="4"/>
  <c r="Z1151" i="4"/>
  <c r="Y1151" i="4"/>
  <c r="Z1150" i="4"/>
  <c r="Y1150" i="4"/>
  <c r="Z1149" i="4"/>
  <c r="Y1149" i="4"/>
  <c r="X1149" i="4"/>
  <c r="Z1148" i="4"/>
  <c r="Y1148" i="4"/>
  <c r="Z1147" i="4"/>
  <c r="Y1147" i="4"/>
  <c r="Z1146" i="4"/>
  <c r="Y1146" i="4"/>
  <c r="Z1145" i="4"/>
  <c r="Y1145" i="4"/>
  <c r="Z1144" i="4"/>
  <c r="Y1144" i="4"/>
  <c r="Z1143" i="4"/>
  <c r="Y1143" i="4"/>
  <c r="Z1142" i="4"/>
  <c r="Y1142" i="4"/>
  <c r="X1142" i="4"/>
  <c r="Z1141" i="4"/>
  <c r="Y1141" i="4"/>
  <c r="Z1140" i="4"/>
  <c r="Y1140" i="4"/>
  <c r="Z1139" i="4"/>
  <c r="Y1139" i="4"/>
  <c r="Z1138" i="4"/>
  <c r="Y1138" i="4"/>
  <c r="X1138" i="4"/>
  <c r="Z1137" i="4"/>
  <c r="Y1137" i="4"/>
  <c r="X1137" i="4"/>
  <c r="Z1136" i="4"/>
  <c r="Y1136" i="4"/>
  <c r="X1136" i="4"/>
  <c r="Z1135" i="4"/>
  <c r="Y1135" i="4"/>
  <c r="X1135" i="4"/>
  <c r="Z1134" i="4"/>
  <c r="Y1134" i="4"/>
  <c r="Z1133" i="4"/>
  <c r="Y1133" i="4"/>
  <c r="Z1132" i="4"/>
  <c r="Y1132" i="4"/>
  <c r="Z1131" i="4"/>
  <c r="Y1131" i="4"/>
  <c r="Z1130" i="4"/>
  <c r="Y1130" i="4"/>
  <c r="X1130" i="4"/>
  <c r="Z1129" i="4"/>
  <c r="Y1129" i="4"/>
  <c r="Z1128" i="4"/>
  <c r="Y1128" i="4"/>
  <c r="Z1127" i="4"/>
  <c r="Y1127" i="4"/>
  <c r="X1127" i="4"/>
  <c r="Z1126" i="4"/>
  <c r="Y1126" i="4"/>
  <c r="Z1125" i="4"/>
  <c r="Y1125" i="4"/>
  <c r="Z1124" i="4"/>
  <c r="Y1124" i="4"/>
  <c r="Z1123" i="4"/>
  <c r="Y1123" i="4"/>
  <c r="Z1122" i="4"/>
  <c r="Y1122" i="4"/>
  <c r="X1122" i="4"/>
  <c r="Z1121" i="4"/>
  <c r="Y1121" i="4"/>
  <c r="Z1120" i="4"/>
  <c r="Y1120" i="4"/>
  <c r="Z1119" i="4"/>
  <c r="Z1118" i="4"/>
  <c r="Y1118" i="4"/>
  <c r="X1118" i="4"/>
  <c r="Z1117" i="4"/>
  <c r="Y1117" i="4"/>
  <c r="Z1116" i="4"/>
  <c r="Y1116" i="4"/>
  <c r="Z1115" i="4"/>
  <c r="Y1115" i="4"/>
  <c r="X1115" i="4"/>
  <c r="Z1114" i="4"/>
  <c r="Y1114" i="4"/>
  <c r="Z1113" i="4"/>
  <c r="Y1113" i="4"/>
  <c r="Z1112" i="4"/>
  <c r="Y1112" i="4"/>
  <c r="Z1111" i="4"/>
  <c r="Y1111" i="4"/>
  <c r="X1111" i="4"/>
  <c r="Z1110" i="4"/>
  <c r="Y1110" i="4"/>
  <c r="Z1109" i="4"/>
  <c r="Y1109" i="4"/>
  <c r="Z1108" i="4"/>
  <c r="Y1108" i="4"/>
  <c r="Z1107" i="4"/>
  <c r="Y1107" i="4"/>
  <c r="Z1106" i="4"/>
  <c r="Y1106" i="4"/>
  <c r="Z1105" i="4"/>
  <c r="Y1105" i="4"/>
  <c r="Z1104" i="4"/>
  <c r="Y1104" i="4"/>
  <c r="X1104" i="4"/>
  <c r="Z1103" i="4"/>
  <c r="Y1103" i="4"/>
  <c r="Z1102" i="4"/>
  <c r="Y1102" i="4"/>
  <c r="Z1101" i="4"/>
  <c r="Y1101" i="4"/>
  <c r="Z1100" i="4"/>
  <c r="Y1100" i="4"/>
  <c r="Z1099" i="4"/>
  <c r="Y1099" i="4"/>
  <c r="Z1098" i="4"/>
  <c r="Y1098" i="4"/>
  <c r="Z1097" i="4"/>
  <c r="Y1097" i="4"/>
  <c r="X1097" i="4"/>
  <c r="Z1096" i="4"/>
  <c r="Y1096" i="4"/>
  <c r="X1096" i="4"/>
  <c r="Z1095" i="4"/>
  <c r="Y1095" i="4"/>
  <c r="Z1094" i="4"/>
  <c r="Y1094" i="4"/>
  <c r="X1094" i="4"/>
  <c r="Z1093" i="4"/>
  <c r="Y1093" i="4"/>
  <c r="X1093" i="4"/>
  <c r="Z1092" i="4"/>
  <c r="Y1092" i="4"/>
  <c r="X1092" i="4"/>
  <c r="Z1091" i="4"/>
  <c r="Y1091" i="4"/>
  <c r="X1091" i="4"/>
  <c r="Z1090" i="4"/>
  <c r="Y1090" i="4"/>
  <c r="Z1089" i="4"/>
  <c r="Y1089" i="4"/>
  <c r="X1089" i="4"/>
  <c r="Z1088" i="4"/>
  <c r="Y1088" i="4"/>
  <c r="Z1087" i="4"/>
  <c r="Y1087" i="4"/>
  <c r="Z1086" i="4"/>
  <c r="Y1086" i="4"/>
  <c r="Z1085" i="4"/>
  <c r="Y1085" i="4"/>
  <c r="Z1084" i="4"/>
  <c r="Y1084" i="4"/>
  <c r="Z1083" i="4"/>
  <c r="Y1083" i="4"/>
  <c r="Z1082" i="4"/>
  <c r="Y1082" i="4"/>
  <c r="Z1081" i="4"/>
  <c r="Y1081" i="4"/>
  <c r="X1081" i="4"/>
  <c r="Z1080" i="4"/>
  <c r="Y1080" i="4"/>
  <c r="X1080" i="4"/>
  <c r="Z1079" i="4"/>
  <c r="Y1079" i="4"/>
  <c r="Z1078" i="4"/>
  <c r="Y1078" i="4"/>
  <c r="X1078" i="4"/>
  <c r="Z1077" i="4"/>
  <c r="Y1077" i="4"/>
  <c r="Z1076" i="4"/>
  <c r="Y1076" i="4"/>
  <c r="Z1075" i="4"/>
  <c r="Z1074" i="4"/>
  <c r="Y1074" i="4"/>
  <c r="Z1073" i="4"/>
  <c r="Y1073" i="4"/>
  <c r="Z1072" i="4"/>
  <c r="Y1072" i="4"/>
  <c r="X1072" i="4"/>
  <c r="Z1071" i="4"/>
  <c r="Y1071" i="4"/>
  <c r="Z1070" i="4"/>
  <c r="Y1070" i="4"/>
  <c r="Z1069" i="4"/>
  <c r="Y1069" i="4"/>
  <c r="Z1068" i="4"/>
  <c r="Y1068" i="4"/>
  <c r="Z1067" i="4"/>
  <c r="Y1067" i="4"/>
  <c r="Z1066" i="4"/>
  <c r="Y1066" i="4"/>
  <c r="Z1065" i="4"/>
  <c r="Y1065" i="4"/>
  <c r="Z1064" i="4"/>
  <c r="Y1064" i="4"/>
  <c r="X1064" i="4"/>
  <c r="Z1063" i="4"/>
  <c r="Y1063" i="4"/>
  <c r="Z1062" i="4"/>
  <c r="Y1062" i="4"/>
  <c r="X1062" i="4"/>
  <c r="Z1061" i="4"/>
  <c r="Y1061" i="4"/>
  <c r="Z1060" i="4"/>
  <c r="Y1060" i="4"/>
  <c r="Z1059" i="4"/>
  <c r="Y1059" i="4"/>
  <c r="Z1058" i="4"/>
  <c r="Y1058" i="4"/>
  <c r="X1058" i="4"/>
  <c r="Z1057" i="4"/>
  <c r="Y1057" i="4"/>
  <c r="Z1056" i="4"/>
  <c r="Y1056" i="4"/>
  <c r="Z1055" i="4"/>
  <c r="Y1055" i="4"/>
  <c r="X1055" i="4"/>
  <c r="Z1054" i="4"/>
  <c r="Y1054" i="4"/>
  <c r="X1054" i="4"/>
  <c r="Z1053" i="4"/>
  <c r="Y1053" i="4"/>
  <c r="Z1052" i="4"/>
  <c r="Y1052" i="4"/>
  <c r="Z1051" i="4"/>
  <c r="Y1051" i="4"/>
  <c r="Z1050" i="4"/>
  <c r="Y1050" i="4"/>
  <c r="Z1049" i="4"/>
  <c r="Y1049" i="4"/>
  <c r="Z1048" i="4"/>
  <c r="Y1048" i="4"/>
  <c r="Z1047" i="4"/>
  <c r="Y1047" i="4"/>
  <c r="X1047" i="4"/>
  <c r="Z1046" i="4"/>
  <c r="Z1045" i="4"/>
  <c r="Y1045" i="4"/>
  <c r="Z1044" i="4"/>
  <c r="Y1044" i="4"/>
  <c r="X1044" i="4"/>
  <c r="Z1043" i="4"/>
  <c r="Y1043" i="4"/>
  <c r="Z1042" i="4"/>
  <c r="Y1042" i="4"/>
  <c r="Z1041" i="4"/>
  <c r="Y1041" i="4"/>
  <c r="Z1040" i="4"/>
  <c r="Y1040" i="4"/>
  <c r="Z1039" i="4"/>
  <c r="Y1039" i="4"/>
  <c r="Z1038" i="4"/>
  <c r="Y1038" i="4"/>
  <c r="X1038" i="4"/>
  <c r="Z1037" i="4"/>
  <c r="Y1037" i="4"/>
  <c r="X1037" i="4"/>
  <c r="Z1036" i="4"/>
  <c r="Y1036" i="4"/>
  <c r="X1036" i="4"/>
  <c r="Z1035" i="4"/>
  <c r="Y1035" i="4"/>
  <c r="Z1034" i="4"/>
  <c r="Y1034" i="4"/>
  <c r="Z1033" i="4"/>
  <c r="Y1033" i="4"/>
  <c r="X1033" i="4"/>
  <c r="Z1032" i="4"/>
  <c r="Y1032" i="4"/>
  <c r="X1032" i="4"/>
  <c r="Z1031" i="4"/>
  <c r="Y1031" i="4"/>
  <c r="Z1030" i="4"/>
  <c r="Y1030" i="4"/>
  <c r="Z1029" i="4"/>
  <c r="Y1029" i="4"/>
  <c r="Z1028" i="4"/>
  <c r="Y1028" i="4"/>
  <c r="Z1027" i="4"/>
  <c r="Y1027" i="4"/>
  <c r="Z1026" i="4"/>
  <c r="Y1026" i="4"/>
  <c r="Z1025" i="4"/>
  <c r="Y1025" i="4"/>
  <c r="Z1024" i="4"/>
  <c r="Y1024" i="4"/>
  <c r="Z1023" i="4"/>
  <c r="Y1023" i="4"/>
  <c r="X1023" i="4"/>
  <c r="Z1022" i="4"/>
  <c r="Y1022" i="4"/>
  <c r="Z1021" i="4"/>
  <c r="Y1021" i="4"/>
  <c r="Z1020" i="4"/>
  <c r="Y1020" i="4"/>
  <c r="Z1019" i="4"/>
  <c r="Y1019" i="4"/>
  <c r="Z1018" i="4"/>
  <c r="Y1018" i="4"/>
  <c r="Z1017" i="4"/>
  <c r="Y1017" i="4"/>
  <c r="X1017" i="4"/>
  <c r="Z1016" i="4"/>
  <c r="Y1016" i="4"/>
  <c r="Z1015" i="4"/>
  <c r="Y1015" i="4"/>
  <c r="X1015" i="4"/>
  <c r="Z1014" i="4"/>
  <c r="Y1014" i="4"/>
  <c r="Z1013" i="4"/>
  <c r="Y1013" i="4"/>
  <c r="X1013" i="4"/>
  <c r="Z1012" i="4"/>
  <c r="Y1012" i="4"/>
  <c r="Z1011" i="4"/>
  <c r="Y1011" i="4"/>
  <c r="Z1010" i="4"/>
  <c r="Y1010" i="4"/>
  <c r="X1010" i="4"/>
  <c r="Z1009" i="4"/>
  <c r="Y1009" i="4"/>
  <c r="Z1008" i="4"/>
  <c r="Y1008" i="4"/>
  <c r="Z1007" i="4"/>
  <c r="Y1007" i="4"/>
  <c r="Z1006" i="4"/>
  <c r="Y1006" i="4"/>
  <c r="Z1005" i="4"/>
  <c r="Y1005" i="4"/>
  <c r="Z1004" i="4"/>
  <c r="Y1004" i="4"/>
  <c r="X1004" i="4"/>
  <c r="Z1003" i="4"/>
  <c r="Y1003" i="4"/>
  <c r="Z1002" i="4"/>
  <c r="Y1002" i="4"/>
  <c r="Z1001" i="4"/>
  <c r="Y1001" i="4"/>
  <c r="Z1000" i="4"/>
  <c r="Y1000" i="4"/>
  <c r="Z999" i="4"/>
  <c r="Z998" i="4"/>
  <c r="Y998" i="4"/>
  <c r="Z997" i="4"/>
  <c r="Y997" i="4"/>
  <c r="Z996" i="4"/>
  <c r="Y996" i="4"/>
  <c r="Z995" i="4"/>
  <c r="Y995" i="4"/>
  <c r="Z994" i="4"/>
  <c r="Y994" i="4"/>
  <c r="Z993" i="4"/>
  <c r="Y993" i="4"/>
  <c r="X993" i="4"/>
  <c r="Z992" i="4"/>
  <c r="Y992" i="4"/>
  <c r="Z991" i="4"/>
  <c r="Y991" i="4"/>
  <c r="Z990" i="4"/>
  <c r="Y990" i="4"/>
  <c r="Z989" i="4"/>
  <c r="Y989" i="4"/>
  <c r="Z988" i="4"/>
  <c r="Y988" i="4"/>
  <c r="Z987" i="4"/>
  <c r="Y987" i="4"/>
  <c r="Z986" i="4"/>
  <c r="Y986" i="4"/>
  <c r="Z985" i="4"/>
  <c r="Y985" i="4"/>
  <c r="Z984" i="4"/>
  <c r="Y984" i="4"/>
  <c r="X984" i="4"/>
  <c r="Z983" i="4"/>
  <c r="Y983" i="4"/>
  <c r="Z982" i="4"/>
  <c r="Y982" i="4"/>
  <c r="Z981" i="4"/>
  <c r="Y981" i="4"/>
  <c r="Z980" i="4"/>
  <c r="Y980" i="4"/>
  <c r="Z979" i="4"/>
  <c r="Y979" i="4"/>
  <c r="Z978" i="4"/>
  <c r="Y978" i="4"/>
  <c r="X978" i="4"/>
  <c r="Z977" i="4"/>
  <c r="Y977" i="4"/>
  <c r="X977" i="4"/>
  <c r="Z976" i="4"/>
  <c r="Y976" i="4"/>
  <c r="Z975" i="4"/>
  <c r="Y975" i="4"/>
  <c r="Z974" i="4"/>
  <c r="Y974" i="4"/>
  <c r="Z973" i="4"/>
  <c r="Y973" i="4"/>
  <c r="Z972" i="4"/>
  <c r="Y972" i="4"/>
  <c r="Z971" i="4"/>
  <c r="Y971" i="4"/>
  <c r="Z970" i="4"/>
  <c r="Y970" i="4"/>
  <c r="X970" i="4"/>
  <c r="Z969" i="4"/>
  <c r="Y969" i="4"/>
  <c r="X969" i="4"/>
  <c r="Z968" i="4"/>
  <c r="Y968" i="4"/>
  <c r="Z967" i="4"/>
  <c r="Y967" i="4"/>
  <c r="Z966" i="4"/>
  <c r="Y966" i="4"/>
  <c r="Z965" i="4"/>
  <c r="Y965" i="4"/>
  <c r="Z963" i="4"/>
  <c r="Y963" i="4"/>
  <c r="Z962" i="4"/>
  <c r="Y962" i="4"/>
  <c r="Z961" i="4"/>
  <c r="Y961" i="4"/>
  <c r="X961" i="4"/>
  <c r="Z960" i="4"/>
  <c r="Y960" i="4"/>
  <c r="Z958" i="4"/>
  <c r="Y958" i="4"/>
  <c r="Z957" i="4"/>
  <c r="Y957" i="4"/>
  <c r="Z956" i="4"/>
  <c r="Y956" i="4"/>
  <c r="Z955" i="4"/>
  <c r="Y955" i="4"/>
  <c r="Z954" i="4"/>
  <c r="Y954" i="4"/>
  <c r="Z953" i="4"/>
  <c r="Y953" i="4"/>
  <c r="Z952" i="4"/>
  <c r="Y952" i="4"/>
  <c r="Z951" i="4"/>
  <c r="Y951" i="4"/>
  <c r="Z950" i="4"/>
  <c r="Y950" i="4"/>
  <c r="X950" i="4"/>
  <c r="Z949" i="4"/>
  <c r="Y949" i="4"/>
  <c r="Z948" i="4"/>
  <c r="Y948" i="4"/>
  <c r="Z947" i="4"/>
  <c r="Y947" i="4"/>
  <c r="Z946" i="4"/>
  <c r="Y946" i="4"/>
  <c r="Z945" i="4"/>
  <c r="Y945" i="4"/>
  <c r="Z944" i="4"/>
  <c r="Y944" i="4"/>
  <c r="Z943" i="4"/>
  <c r="Y943" i="4"/>
  <c r="X943" i="4"/>
  <c r="Z942" i="4"/>
  <c r="Y942" i="4"/>
  <c r="Z941" i="4"/>
  <c r="Y941" i="4"/>
  <c r="Z940" i="4"/>
  <c r="Y940" i="4"/>
  <c r="Z939" i="4"/>
  <c r="Y939" i="4"/>
  <c r="X939" i="4"/>
  <c r="Z938" i="4"/>
  <c r="Y938" i="4"/>
  <c r="Z937" i="4"/>
  <c r="Y937" i="4"/>
  <c r="X937" i="4"/>
  <c r="Z936" i="4"/>
  <c r="Y936" i="4"/>
  <c r="Z935" i="4"/>
  <c r="Y935" i="4"/>
  <c r="X935" i="4"/>
  <c r="Z934" i="4"/>
  <c r="Y934" i="4"/>
  <c r="Z933" i="4"/>
  <c r="Y933" i="4"/>
  <c r="Z932" i="4"/>
  <c r="Y932" i="4"/>
  <c r="Z931" i="4"/>
  <c r="Y931" i="4"/>
  <c r="Z930" i="4"/>
  <c r="Y930" i="4"/>
  <c r="Z929" i="4"/>
  <c r="Y929" i="4"/>
  <c r="Z928" i="4"/>
  <c r="Y928" i="4"/>
  <c r="Z927" i="4"/>
  <c r="Y927" i="4"/>
  <c r="X927" i="4"/>
  <c r="Z926" i="4"/>
  <c r="Y926" i="4"/>
  <c r="Z925" i="4"/>
  <c r="Y925" i="4"/>
  <c r="X925" i="4"/>
  <c r="Z924" i="4"/>
  <c r="Y924" i="4"/>
  <c r="Z923" i="4"/>
  <c r="Y923" i="4"/>
  <c r="Z922" i="4"/>
  <c r="Y922" i="4"/>
  <c r="Z921" i="4"/>
  <c r="Y921" i="4"/>
  <c r="Z920" i="4"/>
  <c r="Y920" i="4"/>
  <c r="Z919" i="4"/>
  <c r="Y919" i="4"/>
  <c r="Z918" i="4"/>
  <c r="Y918" i="4"/>
  <c r="Z917" i="4"/>
  <c r="Y917" i="4"/>
  <c r="X917" i="4"/>
  <c r="Z916" i="4"/>
  <c r="Y916" i="4"/>
  <c r="X916" i="4"/>
  <c r="Z915" i="4"/>
  <c r="Y915" i="4"/>
  <c r="X915" i="4"/>
  <c r="Z914" i="4"/>
  <c r="Y914" i="4"/>
  <c r="Z913" i="4"/>
  <c r="Y913" i="4"/>
  <c r="Z912" i="4"/>
  <c r="Y912" i="4"/>
  <c r="X912" i="4"/>
  <c r="Z911" i="4"/>
  <c r="Y911" i="4"/>
  <c r="Z910" i="4"/>
  <c r="Y910" i="4"/>
  <c r="X910" i="4"/>
  <c r="Z909" i="4"/>
  <c r="Y909" i="4"/>
  <c r="Z908" i="4"/>
  <c r="Y908" i="4"/>
  <c r="X908" i="4"/>
  <c r="Z907" i="4"/>
  <c r="Y907" i="4"/>
  <c r="Z906" i="4"/>
  <c r="Y906" i="4"/>
  <c r="Z905" i="4"/>
  <c r="Y905" i="4"/>
  <c r="Z904" i="4"/>
  <c r="Y904" i="4"/>
  <c r="Z903" i="4"/>
  <c r="Y903" i="4"/>
  <c r="X903" i="4"/>
  <c r="Z902" i="4"/>
  <c r="Y902" i="4"/>
  <c r="X902" i="4"/>
  <c r="Z901" i="4"/>
  <c r="Y901" i="4"/>
  <c r="X901" i="4"/>
  <c r="Z900" i="4"/>
  <c r="Y900" i="4"/>
  <c r="Z899" i="4"/>
  <c r="Y899" i="4"/>
  <c r="Z898" i="4"/>
  <c r="Y898" i="4"/>
  <c r="X898" i="4"/>
  <c r="Z897" i="4"/>
  <c r="Y897" i="4"/>
  <c r="X897" i="4"/>
  <c r="Z896" i="4"/>
  <c r="Y896" i="4"/>
  <c r="Z895" i="4"/>
  <c r="Y895" i="4"/>
  <c r="Z894" i="4"/>
  <c r="Y894" i="4"/>
  <c r="X894" i="4"/>
  <c r="Z893" i="4"/>
  <c r="Y893" i="4"/>
  <c r="X893" i="4"/>
  <c r="Z892" i="4"/>
  <c r="Y892" i="4"/>
  <c r="Z891" i="4"/>
  <c r="Y891" i="4"/>
  <c r="Z890" i="4"/>
  <c r="Y890" i="4"/>
  <c r="Z889" i="4"/>
  <c r="Y889" i="4"/>
  <c r="Z888" i="4"/>
  <c r="Y888" i="4"/>
  <c r="Z887" i="4"/>
  <c r="Y887" i="4"/>
  <c r="Z886" i="4"/>
  <c r="Y886" i="4"/>
  <c r="Z885" i="4"/>
  <c r="Y885" i="4"/>
  <c r="X885" i="4"/>
  <c r="Z884" i="4"/>
  <c r="Y884" i="4"/>
  <c r="Z883" i="4"/>
  <c r="Y883" i="4"/>
  <c r="Z882" i="4"/>
  <c r="Y882" i="4"/>
  <c r="X882" i="4"/>
  <c r="Z881" i="4"/>
  <c r="Y881" i="4"/>
  <c r="X881" i="4"/>
  <c r="Z880" i="4"/>
  <c r="Y880" i="4"/>
  <c r="Z879" i="4"/>
  <c r="Z878" i="4"/>
  <c r="Y878" i="4"/>
  <c r="X878" i="4"/>
  <c r="Z877" i="4"/>
  <c r="Y877" i="4"/>
  <c r="Z876" i="4"/>
  <c r="Z875" i="4"/>
  <c r="Y875" i="4"/>
  <c r="Z874" i="4"/>
  <c r="Y874" i="4"/>
  <c r="Z873" i="4"/>
  <c r="Y873" i="4"/>
  <c r="Z872" i="4"/>
  <c r="Y872" i="4"/>
  <c r="Z871" i="4"/>
  <c r="Y871" i="4"/>
  <c r="Z870" i="4"/>
  <c r="Y870" i="4"/>
  <c r="X870" i="4"/>
  <c r="Z869" i="4"/>
  <c r="Y869" i="4"/>
  <c r="Z868" i="4"/>
  <c r="Y868" i="4"/>
  <c r="Z867" i="4"/>
  <c r="Y867" i="4"/>
  <c r="Z866" i="4"/>
  <c r="Y866" i="4"/>
  <c r="Z865" i="4"/>
  <c r="Y865" i="4"/>
  <c r="Z864" i="4"/>
  <c r="Y864" i="4"/>
  <c r="Z863" i="4"/>
  <c r="Y863" i="4"/>
  <c r="X863" i="4"/>
  <c r="Z862" i="4"/>
  <c r="Y862" i="4"/>
  <c r="Z861" i="4"/>
  <c r="Y861" i="4"/>
  <c r="Z860" i="4"/>
  <c r="Y860" i="4"/>
  <c r="Z859" i="4"/>
  <c r="Y859" i="4"/>
  <c r="Z858" i="4"/>
  <c r="Y858" i="4"/>
  <c r="Z857" i="4"/>
  <c r="Y857" i="4"/>
  <c r="Z856" i="4"/>
  <c r="Y856" i="4"/>
  <c r="Z855" i="4"/>
  <c r="Y855" i="4"/>
  <c r="Z854" i="4"/>
  <c r="Y854" i="4"/>
  <c r="Z853" i="4"/>
  <c r="Y853" i="4"/>
  <c r="Z852" i="4"/>
  <c r="Y852" i="4"/>
  <c r="Z851" i="4"/>
  <c r="Y851" i="4"/>
  <c r="Z850" i="4"/>
  <c r="Y850" i="4"/>
  <c r="Z849" i="4"/>
  <c r="Y849" i="4"/>
  <c r="Z848" i="4"/>
  <c r="Y848" i="4"/>
  <c r="Z847" i="4"/>
  <c r="Y847" i="4"/>
  <c r="Z846" i="4"/>
  <c r="Y846" i="4"/>
  <c r="Z845" i="4"/>
  <c r="Y845" i="4"/>
  <c r="Z844" i="4"/>
  <c r="Y844" i="4"/>
  <c r="Z843" i="4"/>
  <c r="Y843" i="4"/>
  <c r="Z842" i="4"/>
  <c r="Y842" i="4"/>
  <c r="Z841" i="4"/>
  <c r="Y841" i="4"/>
  <c r="Z840" i="4"/>
  <c r="Y840" i="4"/>
  <c r="Z839" i="4"/>
  <c r="Y839" i="4"/>
  <c r="X839" i="4"/>
  <c r="Z838" i="4"/>
  <c r="Y838" i="4"/>
  <c r="Z837" i="4"/>
  <c r="Y837" i="4"/>
  <c r="Z836" i="4"/>
  <c r="Y836" i="4"/>
  <c r="Z835" i="4"/>
  <c r="Y835" i="4"/>
  <c r="Z834" i="4"/>
  <c r="Y834" i="4"/>
  <c r="X834" i="4"/>
  <c r="Z833" i="4"/>
  <c r="Y833" i="4"/>
  <c r="Z832" i="4"/>
  <c r="Y832" i="4"/>
  <c r="Z831" i="4"/>
  <c r="Y831" i="4"/>
  <c r="Z830" i="4"/>
  <c r="Y830" i="4"/>
  <c r="Z829" i="4"/>
  <c r="Y829" i="4"/>
  <c r="X829" i="4"/>
  <c r="Z828" i="4"/>
  <c r="Y828" i="4"/>
  <c r="Z827" i="4"/>
  <c r="Y827" i="4"/>
  <c r="Z826" i="4"/>
  <c r="Y826" i="4"/>
  <c r="Z825" i="4"/>
  <c r="Y825" i="4"/>
  <c r="Z824" i="4"/>
  <c r="Y824" i="4"/>
  <c r="Z823" i="4"/>
  <c r="Y823" i="4"/>
  <c r="Z822" i="4"/>
  <c r="Y822" i="4"/>
  <c r="Z821" i="4"/>
  <c r="Y821" i="4"/>
  <c r="Z820" i="4"/>
  <c r="Y820" i="4"/>
  <c r="Z819" i="4"/>
  <c r="Y819" i="4"/>
  <c r="Z818" i="4"/>
  <c r="Y818" i="4"/>
  <c r="Z817" i="4"/>
  <c r="Y817" i="4"/>
  <c r="X817" i="4"/>
  <c r="Z816" i="4"/>
  <c r="Y816" i="4"/>
  <c r="X816" i="4"/>
  <c r="Z815" i="4"/>
  <c r="Y815" i="4"/>
  <c r="X815" i="4"/>
  <c r="Z814" i="4"/>
  <c r="Y814" i="4"/>
  <c r="Z813" i="4"/>
  <c r="Y813" i="4"/>
  <c r="Z812" i="4"/>
  <c r="Y812" i="4"/>
  <c r="Z811" i="4"/>
  <c r="Y811" i="4"/>
  <c r="Z810" i="4"/>
  <c r="Y810" i="4"/>
  <c r="X810" i="4"/>
  <c r="Z809" i="4"/>
  <c r="Y809" i="4"/>
  <c r="X809" i="4"/>
  <c r="Z808" i="4"/>
  <c r="Y808" i="4"/>
  <c r="X808" i="4"/>
  <c r="Z807" i="4"/>
  <c r="Y807" i="4"/>
  <c r="Z806" i="4"/>
  <c r="Y806" i="4"/>
  <c r="Z805" i="4"/>
  <c r="Y805" i="4"/>
  <c r="Z804" i="4"/>
  <c r="Y804" i="4"/>
  <c r="X804" i="4"/>
  <c r="Z803" i="4"/>
  <c r="Y803" i="4"/>
  <c r="X803" i="4"/>
  <c r="Z802" i="4"/>
  <c r="Y802" i="4"/>
  <c r="Z801" i="4"/>
  <c r="Y801" i="4"/>
  <c r="Z800" i="4"/>
  <c r="Y800" i="4"/>
  <c r="X800" i="4"/>
  <c r="Z799" i="4"/>
  <c r="Y799" i="4"/>
  <c r="X799" i="4"/>
  <c r="Z798" i="4"/>
  <c r="Y798" i="4"/>
  <c r="Z797" i="4"/>
  <c r="Y797" i="4"/>
  <c r="Z796" i="4"/>
  <c r="Y796" i="4"/>
  <c r="Z795" i="4"/>
  <c r="Y795" i="4"/>
  <c r="Z794" i="4"/>
  <c r="Y794" i="4"/>
  <c r="Z793" i="4"/>
  <c r="Y793" i="4"/>
  <c r="Z792" i="4"/>
  <c r="Y792" i="4"/>
  <c r="Z791" i="4"/>
  <c r="Y791" i="4"/>
  <c r="Z790" i="4"/>
  <c r="Y790" i="4"/>
  <c r="X790" i="4"/>
  <c r="Z789" i="4"/>
  <c r="Y789" i="4"/>
  <c r="Z788" i="4"/>
  <c r="Y788" i="4"/>
  <c r="X788" i="4"/>
  <c r="Z787" i="4"/>
  <c r="Y787" i="4"/>
  <c r="Z786" i="4"/>
  <c r="Y786" i="4"/>
  <c r="X786" i="4"/>
  <c r="Z785" i="4"/>
  <c r="Y785" i="4"/>
  <c r="Z784" i="4"/>
  <c r="Y784" i="4"/>
  <c r="Z783" i="4"/>
  <c r="Y783" i="4"/>
  <c r="Z782" i="4"/>
  <c r="Y782" i="4"/>
  <c r="Z781" i="4"/>
  <c r="Y781" i="4"/>
  <c r="Z780" i="4"/>
  <c r="Y780" i="4"/>
  <c r="Z779" i="4"/>
  <c r="Y779" i="4"/>
  <c r="Z778" i="4"/>
  <c r="Y778" i="4"/>
  <c r="Z777" i="4"/>
  <c r="Y777" i="4"/>
  <c r="Z776" i="4"/>
  <c r="Y776" i="4"/>
  <c r="X776" i="4"/>
  <c r="Z775" i="4"/>
  <c r="Y775" i="4"/>
  <c r="X775" i="4"/>
  <c r="Z774" i="4"/>
  <c r="Y774" i="4"/>
  <c r="X774" i="4"/>
  <c r="Z773" i="4"/>
  <c r="Y773" i="4"/>
  <c r="Z772" i="4"/>
  <c r="Y772" i="4"/>
  <c r="Z771" i="4"/>
  <c r="Y771" i="4"/>
  <c r="Z770" i="4"/>
  <c r="Y770" i="4"/>
  <c r="Z769" i="4"/>
  <c r="Y769" i="4"/>
  <c r="X769" i="4"/>
  <c r="Z768" i="4"/>
  <c r="Y768" i="4"/>
  <c r="Z767" i="4"/>
  <c r="Y767" i="4"/>
  <c r="Z766" i="4"/>
  <c r="Y766" i="4"/>
  <c r="Z765" i="4"/>
  <c r="Y765" i="4"/>
  <c r="Z764" i="4"/>
  <c r="Y764" i="4"/>
  <c r="Z763" i="4"/>
  <c r="Y763" i="4"/>
  <c r="Z762" i="4"/>
  <c r="Y762" i="4"/>
  <c r="Z761" i="4"/>
  <c r="Y761" i="4"/>
  <c r="Z760" i="4"/>
  <c r="Y760" i="4"/>
  <c r="Z759" i="4"/>
  <c r="Y759" i="4"/>
  <c r="Z758" i="4"/>
  <c r="Y758" i="4"/>
  <c r="Z757" i="4"/>
  <c r="Y757" i="4"/>
  <c r="X757" i="4"/>
  <c r="Z756" i="4"/>
  <c r="Y756" i="4"/>
  <c r="X756" i="4"/>
  <c r="Z755" i="4"/>
  <c r="Y755" i="4"/>
  <c r="Z754" i="4"/>
  <c r="Y754" i="4"/>
  <c r="X754" i="4"/>
  <c r="Z753" i="4"/>
  <c r="Y753" i="4"/>
  <c r="X753" i="4"/>
  <c r="Z752" i="4"/>
  <c r="Y752" i="4"/>
  <c r="X752" i="4"/>
  <c r="Z751" i="4"/>
  <c r="Y751" i="4"/>
  <c r="Z750" i="4"/>
  <c r="Y750" i="4"/>
  <c r="Z749" i="4"/>
  <c r="Y749" i="4"/>
  <c r="Z748" i="4"/>
  <c r="Y748" i="4"/>
  <c r="Z747" i="4"/>
  <c r="Y747" i="4"/>
  <c r="Z746" i="4"/>
  <c r="Y746" i="4"/>
  <c r="X746" i="4"/>
  <c r="Z745" i="4"/>
  <c r="Y745" i="4"/>
  <c r="Z744" i="4"/>
  <c r="Y744" i="4"/>
  <c r="Z743" i="4"/>
  <c r="Y743" i="4"/>
  <c r="Z742" i="4"/>
  <c r="Y742" i="4"/>
  <c r="Z741" i="4"/>
  <c r="Y741" i="4"/>
  <c r="Z740" i="4"/>
  <c r="Y740" i="4"/>
  <c r="X740" i="4"/>
  <c r="Z739" i="4"/>
  <c r="Y739" i="4"/>
  <c r="X739" i="4"/>
  <c r="Z738" i="4"/>
  <c r="Y738" i="4"/>
  <c r="Z737" i="4"/>
  <c r="Y737" i="4"/>
  <c r="X737" i="4"/>
  <c r="Z736" i="4"/>
  <c r="Y736" i="4"/>
  <c r="X736" i="4"/>
  <c r="Z735" i="4"/>
  <c r="Y735" i="4"/>
  <c r="Z734" i="4"/>
  <c r="Y734" i="4"/>
  <c r="Z733" i="4"/>
  <c r="Y733" i="4"/>
  <c r="X733" i="4"/>
  <c r="Z732" i="4"/>
  <c r="Y732" i="4"/>
  <c r="Z731" i="4"/>
  <c r="Y731" i="4"/>
  <c r="Z730" i="4"/>
  <c r="Y730" i="4"/>
  <c r="X730" i="4"/>
  <c r="Z729" i="4"/>
  <c r="Y729" i="4"/>
  <c r="Z728" i="4"/>
  <c r="Y728" i="4"/>
  <c r="X728" i="4"/>
  <c r="Z727" i="4"/>
  <c r="Y727" i="4"/>
  <c r="X727" i="4"/>
  <c r="Z726" i="4"/>
  <c r="Y726" i="4"/>
  <c r="Z725" i="4"/>
  <c r="Y725" i="4"/>
  <c r="Z724" i="4"/>
  <c r="Y724" i="4"/>
  <c r="Z723" i="4"/>
  <c r="Y723" i="4"/>
  <c r="Z721" i="4"/>
  <c r="Y721" i="4"/>
  <c r="Z720" i="4"/>
  <c r="Y720" i="4"/>
  <c r="Z719" i="4"/>
  <c r="Y719" i="4"/>
  <c r="Z718" i="4"/>
  <c r="Y718" i="4"/>
  <c r="Z717" i="4"/>
  <c r="Y717" i="4"/>
  <c r="Z716" i="4"/>
  <c r="Y716" i="4"/>
  <c r="Z715" i="4"/>
  <c r="Y715" i="4"/>
  <c r="Z714" i="4"/>
  <c r="Y714" i="4"/>
  <c r="Z713" i="4"/>
  <c r="Y713" i="4"/>
  <c r="X713" i="4"/>
  <c r="Z712" i="4"/>
  <c r="Y712" i="4"/>
  <c r="X712" i="4"/>
  <c r="Z711" i="4"/>
  <c r="Y711" i="4"/>
  <c r="Z709" i="4"/>
  <c r="Y709" i="4"/>
  <c r="X709" i="4"/>
  <c r="Z708" i="4"/>
  <c r="Y708" i="4"/>
  <c r="Z707" i="4"/>
  <c r="Y707" i="4"/>
  <c r="Z706" i="4"/>
  <c r="Y706" i="4"/>
  <c r="Z705" i="4"/>
  <c r="Y705" i="4"/>
  <c r="Z704" i="4"/>
  <c r="Y704" i="4"/>
  <c r="Z703" i="4"/>
  <c r="Y703" i="4"/>
  <c r="X703" i="4"/>
  <c r="Z702" i="4"/>
  <c r="Y702" i="4"/>
  <c r="X702" i="4"/>
  <c r="Z701" i="4"/>
  <c r="Y701" i="4"/>
  <c r="Z700" i="4"/>
  <c r="Y700" i="4"/>
  <c r="Z699" i="4"/>
  <c r="Y699" i="4"/>
  <c r="X699" i="4"/>
  <c r="Z698" i="4"/>
  <c r="Y698" i="4"/>
  <c r="Z697" i="4"/>
  <c r="Y697" i="4"/>
  <c r="Z696" i="4"/>
  <c r="Y696" i="4"/>
  <c r="Z695" i="4"/>
  <c r="Y695" i="4"/>
  <c r="Z693" i="4"/>
  <c r="Y693" i="4"/>
  <c r="X693" i="4"/>
  <c r="Z692" i="4"/>
  <c r="Y692" i="4"/>
  <c r="Z691" i="4"/>
  <c r="Y691" i="4"/>
  <c r="Z690" i="4"/>
  <c r="Y690" i="4"/>
  <c r="X690" i="4"/>
  <c r="Z689" i="4"/>
  <c r="Y689" i="4"/>
  <c r="Z688" i="4"/>
  <c r="Y688" i="4"/>
  <c r="Z687" i="4"/>
  <c r="Y687" i="4"/>
  <c r="X687" i="4"/>
  <c r="Z686" i="4"/>
  <c r="Y686" i="4"/>
  <c r="X686" i="4"/>
  <c r="Z685" i="4"/>
  <c r="Y685" i="4"/>
  <c r="X685" i="4"/>
  <c r="Z684" i="4"/>
  <c r="Y684" i="4"/>
  <c r="Z683" i="4"/>
  <c r="Y683" i="4"/>
  <c r="Z682" i="4"/>
  <c r="Y682" i="4"/>
  <c r="Z681" i="4"/>
  <c r="Y681" i="4"/>
  <c r="X681" i="4"/>
  <c r="Z680" i="4"/>
  <c r="Y680" i="4"/>
  <c r="Z679" i="4"/>
  <c r="Y679" i="4"/>
  <c r="Z678" i="4"/>
  <c r="Y678" i="4"/>
  <c r="X678" i="4"/>
  <c r="Z677" i="4"/>
  <c r="Y677" i="4"/>
  <c r="Z676" i="4"/>
  <c r="Y676" i="4"/>
  <c r="X676" i="4"/>
  <c r="Z675" i="4"/>
  <c r="Y675" i="4"/>
  <c r="Z674" i="4"/>
  <c r="Y674" i="4"/>
  <c r="Z673" i="4"/>
  <c r="Y673" i="4"/>
  <c r="X673" i="4"/>
  <c r="Z672" i="4"/>
  <c r="Y672" i="4"/>
  <c r="X672" i="4"/>
  <c r="Z671" i="4"/>
  <c r="Y671" i="4"/>
  <c r="Z670" i="4"/>
  <c r="Y670" i="4"/>
  <c r="X670" i="4"/>
  <c r="Z669" i="4"/>
  <c r="Y669" i="4"/>
  <c r="X669" i="4"/>
  <c r="Z668" i="4"/>
  <c r="Y668" i="4"/>
  <c r="Z667" i="4"/>
  <c r="Y667" i="4"/>
  <c r="Z666" i="4"/>
  <c r="Y666" i="4"/>
  <c r="Z665" i="4"/>
  <c r="Y665" i="4"/>
  <c r="Z664" i="4"/>
  <c r="Y664" i="4"/>
  <c r="Z663" i="4"/>
  <c r="Y663" i="4"/>
  <c r="X663" i="4"/>
  <c r="Z662" i="4"/>
  <c r="Y662" i="4"/>
  <c r="Z661" i="4"/>
  <c r="Y661" i="4"/>
  <c r="Z660" i="4"/>
  <c r="Y660" i="4"/>
  <c r="Z659" i="4"/>
  <c r="Y659" i="4"/>
  <c r="Z658" i="4"/>
  <c r="Y658" i="4"/>
  <c r="Z657" i="4"/>
  <c r="Y657" i="4"/>
  <c r="Z656" i="4"/>
  <c r="Y656" i="4"/>
  <c r="X656" i="4"/>
  <c r="Z655" i="4"/>
  <c r="Y655" i="4"/>
  <c r="Z654" i="4"/>
  <c r="Y654" i="4"/>
  <c r="Z653" i="4"/>
  <c r="Y653" i="4"/>
  <c r="Z652" i="4"/>
  <c r="Y652" i="4"/>
  <c r="X652" i="4"/>
  <c r="Z651" i="4"/>
  <c r="Y651" i="4"/>
  <c r="Z650" i="4"/>
  <c r="Y650" i="4"/>
  <c r="Z649" i="4"/>
  <c r="Y649" i="4"/>
  <c r="X649" i="4"/>
  <c r="Z648" i="4"/>
  <c r="Y648" i="4"/>
  <c r="Z647" i="4"/>
  <c r="Y647" i="4"/>
  <c r="Z646" i="4"/>
  <c r="Y646" i="4"/>
  <c r="Z645" i="4"/>
  <c r="Y645" i="4"/>
  <c r="X645" i="4"/>
  <c r="Z644" i="4"/>
  <c r="Y644" i="4"/>
  <c r="Z643" i="4"/>
  <c r="Y643" i="4"/>
  <c r="Z642" i="4"/>
  <c r="Y642" i="4"/>
  <c r="Z641" i="4"/>
  <c r="Y641" i="4"/>
  <c r="Z640" i="4"/>
  <c r="Y640" i="4"/>
  <c r="Z639" i="4"/>
  <c r="Y639" i="4"/>
  <c r="Z638" i="4"/>
  <c r="Y638" i="4"/>
  <c r="Z637" i="4"/>
  <c r="Y637" i="4"/>
  <c r="Z636" i="4"/>
  <c r="Y636" i="4"/>
  <c r="X636" i="4"/>
  <c r="Z635" i="4"/>
  <c r="Y635" i="4"/>
  <c r="X635" i="4"/>
  <c r="Z634" i="4"/>
  <c r="Y634" i="4"/>
  <c r="X634" i="4"/>
  <c r="Z633" i="4"/>
  <c r="Y633" i="4"/>
  <c r="X633" i="4"/>
  <c r="Z632" i="4"/>
  <c r="Y632" i="4"/>
  <c r="Z631" i="4"/>
  <c r="Y631" i="4"/>
  <c r="Z630" i="4"/>
  <c r="Y630" i="4"/>
  <c r="Z629" i="4"/>
  <c r="Y629" i="4"/>
  <c r="Z628" i="4"/>
  <c r="Y628" i="4"/>
  <c r="Z627" i="4"/>
  <c r="Y627" i="4"/>
  <c r="X627" i="4"/>
  <c r="Z626" i="4"/>
  <c r="Y626" i="4"/>
  <c r="X626" i="4"/>
  <c r="Z625" i="4"/>
  <c r="Y625" i="4"/>
  <c r="Z624" i="4"/>
  <c r="Y624" i="4"/>
  <c r="Z623" i="4"/>
  <c r="Y623" i="4"/>
  <c r="X623" i="4"/>
  <c r="Z622" i="4"/>
  <c r="Y622" i="4"/>
  <c r="Z621" i="4"/>
  <c r="Y621" i="4"/>
  <c r="Z620" i="4"/>
  <c r="Y620" i="4"/>
  <c r="X620" i="4"/>
  <c r="Z619" i="4"/>
  <c r="Y619" i="4"/>
  <c r="Z618" i="4"/>
  <c r="Y618" i="4"/>
  <c r="Z617" i="4"/>
  <c r="Y617" i="4"/>
  <c r="Z616" i="4"/>
  <c r="Y616" i="4"/>
  <c r="X616" i="4"/>
  <c r="Z615" i="4"/>
  <c r="Y615" i="4"/>
  <c r="X615" i="4"/>
  <c r="Z614" i="4"/>
  <c r="Y614" i="4"/>
  <c r="Z613" i="4"/>
  <c r="Y613" i="4"/>
  <c r="Z612" i="4"/>
  <c r="Y612" i="4"/>
  <c r="X612" i="4"/>
  <c r="Z611" i="4"/>
  <c r="Y611" i="4"/>
  <c r="Z610" i="4"/>
  <c r="Y610" i="4"/>
  <c r="Z609" i="4"/>
  <c r="Y609" i="4"/>
  <c r="Z608" i="4"/>
  <c r="Y608" i="4"/>
  <c r="Z607" i="4"/>
  <c r="Y607" i="4"/>
  <c r="Z606" i="4"/>
  <c r="Y606" i="4"/>
  <c r="Z605" i="4"/>
  <c r="Y605" i="4"/>
  <c r="Z604" i="4"/>
  <c r="Y604" i="4"/>
  <c r="Z603" i="4"/>
  <c r="Y603" i="4"/>
  <c r="X603" i="4"/>
  <c r="Z602" i="4"/>
  <c r="Y602" i="4"/>
  <c r="Z601" i="4"/>
  <c r="Y601" i="4"/>
  <c r="Z600" i="4"/>
  <c r="Y600" i="4"/>
  <c r="X600" i="4"/>
  <c r="Z599" i="4"/>
  <c r="Y599" i="4"/>
  <c r="X599" i="4"/>
  <c r="Z598" i="4"/>
  <c r="Y598" i="4"/>
  <c r="Z597" i="4"/>
  <c r="Y597" i="4"/>
  <c r="Z596" i="4"/>
  <c r="Y596" i="4"/>
  <c r="Z595" i="4"/>
  <c r="Y595" i="4"/>
  <c r="Z594" i="4"/>
  <c r="Y594" i="4"/>
  <c r="Z593" i="4"/>
  <c r="Y593" i="4"/>
  <c r="X593" i="4"/>
  <c r="Z592" i="4"/>
  <c r="Y592" i="4"/>
  <c r="Z591" i="4"/>
  <c r="Y591" i="4"/>
  <c r="Z590" i="4"/>
  <c r="Y590" i="4"/>
  <c r="Z589" i="4"/>
  <c r="Y589" i="4"/>
  <c r="Z588" i="4"/>
  <c r="Y588" i="4"/>
  <c r="Z587" i="4"/>
  <c r="Y587" i="4"/>
  <c r="X587" i="4"/>
  <c r="Z586" i="4"/>
  <c r="Y586" i="4"/>
  <c r="Z585" i="4"/>
  <c r="Y585" i="4"/>
  <c r="Z584" i="4"/>
  <c r="Y584" i="4"/>
  <c r="X584" i="4"/>
  <c r="Z583" i="4"/>
  <c r="Z582" i="4"/>
  <c r="Y582" i="4"/>
  <c r="X582" i="4"/>
  <c r="Z581" i="4"/>
  <c r="Y581" i="4"/>
  <c r="X581" i="4"/>
  <c r="Z580" i="4"/>
  <c r="Y580" i="4"/>
  <c r="Z579" i="4"/>
  <c r="Y579" i="4"/>
  <c r="X579" i="4"/>
  <c r="Z578" i="4"/>
  <c r="Y578" i="4"/>
  <c r="Z577" i="4"/>
  <c r="Y577" i="4"/>
  <c r="Z576" i="4"/>
  <c r="Y576" i="4"/>
  <c r="Z575" i="4"/>
  <c r="Y575" i="4"/>
  <c r="X575" i="4"/>
  <c r="Z574" i="4"/>
  <c r="Y574" i="4"/>
  <c r="Z573" i="4"/>
  <c r="Y573" i="4"/>
  <c r="Z572" i="4"/>
  <c r="Y572" i="4"/>
  <c r="Z571" i="4"/>
  <c r="Y571" i="4"/>
  <c r="Z570" i="4"/>
  <c r="Y570" i="4"/>
  <c r="Z569" i="4"/>
  <c r="Y569" i="4"/>
  <c r="X569" i="4"/>
  <c r="Z568" i="4"/>
  <c r="Y568" i="4"/>
  <c r="X568" i="4"/>
  <c r="Z567" i="4"/>
  <c r="Y567" i="4"/>
  <c r="X567" i="4"/>
  <c r="Z566" i="4"/>
  <c r="Y566" i="4"/>
  <c r="X566" i="4"/>
  <c r="Z565" i="4"/>
  <c r="Y565" i="4"/>
  <c r="Z564" i="4"/>
  <c r="Y564" i="4"/>
  <c r="X564" i="4"/>
  <c r="Z563" i="4"/>
  <c r="Y563" i="4"/>
  <c r="Z562" i="4"/>
  <c r="Y562" i="4"/>
  <c r="Z561" i="4"/>
  <c r="Y561" i="4"/>
  <c r="Z560" i="4"/>
  <c r="Y560" i="4"/>
  <c r="Z559" i="4"/>
  <c r="Y559" i="4"/>
  <c r="X559" i="4"/>
  <c r="Z558" i="4"/>
  <c r="Y558" i="4"/>
  <c r="Z557" i="4"/>
  <c r="Y557" i="4"/>
  <c r="Z556" i="4"/>
  <c r="Y556" i="4"/>
  <c r="Z555" i="4"/>
  <c r="Y555" i="4"/>
  <c r="Z554" i="4"/>
  <c r="Y554" i="4"/>
  <c r="Z553" i="4"/>
  <c r="Y553" i="4"/>
  <c r="Z552" i="4"/>
  <c r="Y552" i="4"/>
  <c r="X552" i="4"/>
  <c r="Z551" i="4"/>
  <c r="Y551" i="4"/>
  <c r="Z550" i="4"/>
  <c r="Y550" i="4"/>
  <c r="Z549" i="4"/>
  <c r="Y549" i="4"/>
  <c r="Z548" i="4"/>
  <c r="Y548" i="4"/>
  <c r="Z547" i="4"/>
  <c r="Y547" i="4"/>
  <c r="X547" i="4"/>
  <c r="Z546" i="4"/>
  <c r="Y546" i="4"/>
  <c r="Z545" i="4"/>
  <c r="Y545" i="4"/>
  <c r="Z544" i="4"/>
  <c r="Y544" i="4"/>
  <c r="Z543" i="4"/>
  <c r="Y543" i="4"/>
  <c r="Z542" i="4"/>
  <c r="Y542" i="4"/>
  <c r="Z541" i="4"/>
  <c r="Y541" i="4"/>
  <c r="Z540" i="4"/>
  <c r="Y540" i="4"/>
  <c r="Z539" i="4"/>
  <c r="Y539" i="4"/>
  <c r="Z538" i="4"/>
  <c r="Y538" i="4"/>
  <c r="Z537" i="4"/>
  <c r="Y537" i="4"/>
  <c r="Z536" i="4"/>
  <c r="Y536" i="4"/>
  <c r="Z535" i="4"/>
  <c r="Y535" i="4"/>
  <c r="Z534" i="4"/>
  <c r="Y534" i="4"/>
  <c r="Z533" i="4"/>
  <c r="Y533" i="4"/>
  <c r="Z532" i="4"/>
  <c r="Y532" i="4"/>
  <c r="Z531" i="4"/>
  <c r="Y531" i="4"/>
  <c r="Z530" i="4"/>
  <c r="Y530" i="4"/>
  <c r="Z529" i="4"/>
  <c r="Y529" i="4"/>
  <c r="Z528" i="4"/>
  <c r="Y528" i="4"/>
  <c r="Z527" i="4"/>
  <c r="Y527" i="4"/>
  <c r="Z526" i="4"/>
  <c r="Y526" i="4"/>
  <c r="Z525" i="4"/>
  <c r="Y525" i="4"/>
  <c r="Z524" i="4"/>
  <c r="Y524" i="4"/>
  <c r="Z523" i="4"/>
  <c r="Y523" i="4"/>
  <c r="Z522" i="4"/>
  <c r="Y522" i="4"/>
  <c r="Z521" i="4"/>
  <c r="Y521" i="4"/>
  <c r="X521" i="4"/>
  <c r="Z520" i="4"/>
  <c r="Y520" i="4"/>
  <c r="Z519" i="4"/>
  <c r="Y519" i="4"/>
  <c r="Z518" i="4"/>
  <c r="Y518" i="4"/>
  <c r="X518" i="4"/>
  <c r="Z517" i="4"/>
  <c r="Y517" i="4"/>
  <c r="X517" i="4"/>
  <c r="Z516" i="4"/>
  <c r="Y516" i="4"/>
  <c r="Z515" i="4"/>
  <c r="Y515" i="4"/>
  <c r="Z514" i="4"/>
  <c r="Y514" i="4"/>
  <c r="X514" i="4"/>
  <c r="Z513" i="4"/>
  <c r="Y513" i="4"/>
  <c r="Z512" i="4"/>
  <c r="Y512" i="4"/>
  <c r="Z511" i="4"/>
  <c r="Y511" i="4"/>
  <c r="Z510" i="4"/>
  <c r="Y510" i="4"/>
  <c r="Z509" i="4"/>
  <c r="Y509" i="4"/>
  <c r="Z508" i="4"/>
  <c r="Y508" i="4"/>
  <c r="Z507" i="4"/>
  <c r="Y507" i="4"/>
  <c r="Z506" i="4"/>
  <c r="Y506" i="4"/>
  <c r="Z505" i="4"/>
  <c r="Y505" i="4"/>
  <c r="Z504" i="4"/>
  <c r="Y504" i="4"/>
  <c r="X504" i="4"/>
  <c r="Z503" i="4"/>
  <c r="Y503" i="4"/>
  <c r="X503" i="4"/>
  <c r="Z502" i="4"/>
  <c r="Y502" i="4"/>
  <c r="X502" i="4"/>
  <c r="Z501" i="4"/>
  <c r="Y501" i="4"/>
  <c r="X501" i="4"/>
  <c r="Z500" i="4"/>
  <c r="Y500" i="4"/>
  <c r="Z499" i="4"/>
  <c r="Y499" i="4"/>
  <c r="Z498" i="4"/>
  <c r="Y498" i="4"/>
  <c r="X498" i="4"/>
  <c r="Z497" i="4"/>
  <c r="Y497" i="4"/>
  <c r="X497" i="4"/>
  <c r="Z496" i="4"/>
  <c r="Y496" i="4"/>
  <c r="X496" i="4"/>
  <c r="Z495" i="4"/>
  <c r="Y495" i="4"/>
  <c r="Z494" i="4"/>
  <c r="Y494" i="4"/>
  <c r="Z493" i="4"/>
  <c r="Y493" i="4"/>
  <c r="Z492" i="4"/>
  <c r="Y492" i="4"/>
  <c r="Z491" i="4"/>
  <c r="Y491" i="4"/>
  <c r="Z490" i="4"/>
  <c r="Y490" i="4"/>
  <c r="Z489" i="4"/>
  <c r="Y489" i="4"/>
  <c r="Z488" i="4"/>
  <c r="Y488" i="4"/>
  <c r="X488" i="4"/>
  <c r="Z487" i="4"/>
  <c r="Y487" i="4"/>
  <c r="X487" i="4"/>
  <c r="Z486" i="4"/>
  <c r="Y486" i="4"/>
  <c r="Z485" i="4"/>
  <c r="Y485" i="4"/>
  <c r="Z484" i="4"/>
  <c r="Y484" i="4"/>
  <c r="Z483" i="4"/>
  <c r="Y483" i="4"/>
  <c r="Z482" i="4"/>
  <c r="Y482" i="4"/>
  <c r="Z481" i="4"/>
  <c r="Y481" i="4"/>
  <c r="Z480" i="4"/>
  <c r="Y480" i="4"/>
  <c r="Z479" i="4"/>
  <c r="Y479" i="4"/>
  <c r="X479" i="4"/>
  <c r="Z478" i="4"/>
  <c r="Y478" i="4"/>
  <c r="Z477" i="4"/>
  <c r="Y477" i="4"/>
  <c r="Z476" i="4"/>
  <c r="Y476" i="4"/>
  <c r="Z475" i="4"/>
  <c r="Y475" i="4"/>
  <c r="Z474" i="4"/>
  <c r="Y474" i="4"/>
  <c r="Z473" i="4"/>
  <c r="Y473" i="4"/>
  <c r="Z472" i="4"/>
  <c r="Y472" i="4"/>
  <c r="X472" i="4"/>
  <c r="Z471" i="4"/>
  <c r="Y471" i="4"/>
  <c r="X471" i="4"/>
  <c r="Z470" i="4"/>
  <c r="Y470" i="4"/>
  <c r="X470" i="4"/>
  <c r="Z469" i="4"/>
  <c r="Y469" i="4"/>
  <c r="X469" i="4"/>
  <c r="Z468" i="4"/>
  <c r="Y468" i="4"/>
  <c r="Z467" i="4"/>
  <c r="Y467" i="4"/>
  <c r="Z466" i="4"/>
  <c r="Y466" i="4"/>
  <c r="X466" i="4"/>
  <c r="Z465" i="4"/>
  <c r="Y465" i="4"/>
  <c r="Z464" i="4"/>
  <c r="Y464" i="4"/>
  <c r="X464" i="4"/>
  <c r="Z463" i="4"/>
  <c r="Y463" i="4"/>
  <c r="Z462" i="4"/>
  <c r="Y462" i="4"/>
  <c r="Z461" i="4"/>
  <c r="Y461" i="4"/>
  <c r="X461" i="4"/>
  <c r="Z460" i="4"/>
  <c r="Y460" i="4"/>
  <c r="Z459" i="4"/>
  <c r="Y459" i="4"/>
  <c r="X459" i="4"/>
  <c r="Z458" i="4"/>
  <c r="Y458" i="4"/>
  <c r="Z457" i="4"/>
  <c r="Y457" i="4"/>
  <c r="Z456" i="4"/>
  <c r="Y456" i="4"/>
  <c r="X456" i="4"/>
  <c r="Z455" i="4"/>
  <c r="Y455" i="4"/>
  <c r="Z454" i="4"/>
  <c r="Y454" i="4"/>
  <c r="Z453" i="4"/>
  <c r="Y453" i="4"/>
  <c r="X453" i="4"/>
  <c r="Z452" i="4"/>
  <c r="Y452" i="4"/>
  <c r="Z451" i="4"/>
  <c r="Y451" i="4"/>
  <c r="Z450" i="4"/>
  <c r="Y450" i="4"/>
  <c r="X450" i="4"/>
  <c r="Z449" i="4"/>
  <c r="Y449" i="4"/>
  <c r="X449" i="4"/>
  <c r="Z448" i="4"/>
  <c r="Y448" i="4"/>
  <c r="Z447" i="4"/>
  <c r="Y447" i="4"/>
  <c r="Z446" i="4"/>
  <c r="Y446" i="4"/>
  <c r="Z445" i="4"/>
  <c r="Y445" i="4"/>
  <c r="Z444" i="4"/>
  <c r="Y444" i="4"/>
  <c r="Z443" i="4"/>
  <c r="Y443" i="4"/>
  <c r="Z442" i="4"/>
  <c r="Y442" i="4"/>
  <c r="Z441" i="4"/>
  <c r="Y441" i="4"/>
  <c r="Z440" i="4"/>
  <c r="Y440" i="4"/>
  <c r="Z439" i="4"/>
  <c r="Y439" i="4"/>
  <c r="Z438" i="4"/>
  <c r="Y438" i="4"/>
  <c r="X438" i="4"/>
  <c r="Z437" i="4"/>
  <c r="Y437" i="4"/>
  <c r="Z436" i="4"/>
  <c r="Y436" i="4"/>
  <c r="Z435" i="4"/>
  <c r="Y435" i="4"/>
  <c r="Z434" i="4"/>
  <c r="Y434" i="4"/>
  <c r="X434" i="4"/>
  <c r="Z433" i="4"/>
  <c r="Y433" i="4"/>
  <c r="X433" i="4"/>
  <c r="Z432" i="4"/>
  <c r="Y432" i="4"/>
  <c r="Z431" i="4"/>
  <c r="Y431" i="4"/>
  <c r="Z430" i="4"/>
  <c r="Y430" i="4"/>
  <c r="Z429" i="4"/>
  <c r="Y429" i="4"/>
  <c r="Z428" i="4"/>
  <c r="Y428" i="4"/>
  <c r="Z427" i="4"/>
  <c r="Y427" i="4"/>
  <c r="Z426" i="4"/>
  <c r="Y426" i="4"/>
  <c r="Z425" i="4"/>
  <c r="Y425" i="4"/>
  <c r="Z424" i="4"/>
  <c r="Y424" i="4"/>
  <c r="X424" i="4"/>
  <c r="Z423" i="4"/>
  <c r="Y423" i="4"/>
  <c r="X423" i="4"/>
  <c r="Z422" i="4"/>
  <c r="Y422" i="4"/>
  <c r="Z421" i="4"/>
  <c r="Y421" i="4"/>
  <c r="Z420" i="4"/>
  <c r="Y420" i="4"/>
  <c r="Z419" i="4"/>
  <c r="Y419" i="4"/>
  <c r="X419" i="4"/>
  <c r="Z418" i="4"/>
  <c r="Y418" i="4"/>
  <c r="X418" i="4"/>
  <c r="Z417" i="4"/>
  <c r="Y417" i="4"/>
  <c r="Z416" i="4"/>
  <c r="Y416" i="4"/>
  <c r="Z415" i="4"/>
  <c r="Y415" i="4"/>
  <c r="X415" i="4"/>
  <c r="Z414" i="4"/>
  <c r="Y414" i="4"/>
  <c r="Z413" i="4"/>
  <c r="Y413" i="4"/>
  <c r="Z412" i="4"/>
  <c r="Y412" i="4"/>
  <c r="Z411" i="4"/>
  <c r="Y411" i="4"/>
  <c r="X411" i="4"/>
  <c r="Z410" i="4"/>
  <c r="Y410" i="4"/>
  <c r="Z409" i="4"/>
  <c r="Y409" i="4"/>
  <c r="Z408" i="4"/>
  <c r="Y408" i="4"/>
  <c r="Z407" i="4"/>
  <c r="Y407" i="4"/>
  <c r="Z406" i="4"/>
  <c r="Y406" i="4"/>
  <c r="Z405" i="4"/>
  <c r="Y405" i="4"/>
  <c r="Z404" i="4"/>
  <c r="Y404" i="4"/>
  <c r="Z403" i="4"/>
  <c r="Y403" i="4"/>
  <c r="Z402" i="4"/>
  <c r="Y402" i="4"/>
  <c r="X402" i="4"/>
  <c r="Z401" i="4"/>
  <c r="Y401" i="4"/>
  <c r="Z400" i="4"/>
  <c r="Y400" i="4"/>
  <c r="Z399" i="4"/>
  <c r="Y399" i="4"/>
  <c r="Z398" i="4"/>
  <c r="Y398" i="4"/>
  <c r="Z397" i="4"/>
  <c r="Y397" i="4"/>
  <c r="Z396" i="4"/>
  <c r="Y396" i="4"/>
  <c r="X396" i="4"/>
  <c r="Z395" i="4"/>
  <c r="Y395" i="4"/>
  <c r="Z394" i="4"/>
  <c r="Y394" i="4"/>
  <c r="Z393" i="4"/>
  <c r="Y393" i="4"/>
  <c r="Z392" i="4"/>
  <c r="Y392" i="4"/>
  <c r="Z391" i="4"/>
  <c r="Y391" i="4"/>
  <c r="X391" i="4"/>
  <c r="Z390" i="4"/>
  <c r="Y390" i="4"/>
  <c r="Z389" i="4"/>
  <c r="Y389" i="4"/>
  <c r="Z388" i="4"/>
  <c r="Y388" i="4"/>
  <c r="Z387" i="4"/>
  <c r="Y387" i="4"/>
  <c r="Z386" i="4"/>
  <c r="Y386" i="4"/>
  <c r="Z385" i="4"/>
  <c r="Y385" i="4"/>
  <c r="X385" i="4"/>
  <c r="Z384" i="4"/>
  <c r="Y384" i="4"/>
  <c r="Z383" i="4"/>
  <c r="Y383" i="4"/>
  <c r="Z382" i="4"/>
  <c r="Y382" i="4"/>
  <c r="Z381" i="4"/>
  <c r="Y381" i="4"/>
  <c r="Z380" i="4"/>
  <c r="Y380" i="4"/>
  <c r="X380" i="4"/>
  <c r="Z379" i="4"/>
  <c r="Y379" i="4"/>
  <c r="Z378" i="4"/>
  <c r="Y378" i="4"/>
  <c r="Z377" i="4"/>
  <c r="Y377" i="4"/>
  <c r="X377" i="4"/>
  <c r="Z376" i="4"/>
  <c r="Y376" i="4"/>
  <c r="Z375" i="4"/>
  <c r="Y375" i="4"/>
  <c r="Z374" i="4"/>
  <c r="Y374" i="4"/>
  <c r="Z373" i="4"/>
  <c r="Y373" i="4"/>
  <c r="Z372" i="4"/>
  <c r="Y372" i="4"/>
  <c r="Z371" i="4"/>
  <c r="Y371" i="4"/>
  <c r="Z370" i="4"/>
  <c r="Y370" i="4"/>
  <c r="Z369" i="4"/>
  <c r="Y369" i="4"/>
  <c r="Z368" i="4"/>
  <c r="Y368" i="4"/>
  <c r="Z367" i="4"/>
  <c r="Y367" i="4"/>
  <c r="Z366" i="4"/>
  <c r="Y366" i="4"/>
  <c r="X366" i="4"/>
  <c r="Z365" i="4"/>
  <c r="Y365" i="4"/>
  <c r="Z364" i="4"/>
  <c r="Y364" i="4"/>
  <c r="X364" i="4"/>
  <c r="Z363" i="4"/>
  <c r="Y363" i="4"/>
  <c r="X363" i="4"/>
  <c r="Z362" i="4"/>
  <c r="Y362" i="4"/>
  <c r="Z361" i="4"/>
  <c r="Y361" i="4"/>
  <c r="Z360" i="4"/>
  <c r="Y360" i="4"/>
  <c r="Z359" i="4"/>
  <c r="Y359" i="4"/>
  <c r="X359" i="4"/>
  <c r="Z358" i="4"/>
  <c r="Y358" i="4"/>
  <c r="Z357" i="4"/>
  <c r="Y357" i="4"/>
  <c r="X357" i="4"/>
  <c r="Z356" i="4"/>
  <c r="Y356" i="4"/>
  <c r="Z355" i="4"/>
  <c r="Y355" i="4"/>
  <c r="X355" i="4"/>
  <c r="Z354" i="4"/>
  <c r="Y354" i="4"/>
  <c r="Z353" i="4"/>
  <c r="Y353" i="4"/>
  <c r="Z352" i="4"/>
  <c r="Y352" i="4"/>
  <c r="X352" i="4"/>
  <c r="Z351" i="4"/>
  <c r="Y351" i="4"/>
  <c r="X351" i="4"/>
  <c r="Z350" i="4"/>
  <c r="Y350" i="4"/>
  <c r="X350" i="4"/>
  <c r="Z349" i="4"/>
  <c r="Y349" i="4"/>
  <c r="Z348" i="4"/>
  <c r="Y348" i="4"/>
  <c r="Z347" i="4"/>
  <c r="Y347" i="4"/>
  <c r="X347" i="4"/>
  <c r="Z346" i="4"/>
  <c r="Y346" i="4"/>
  <c r="Z345" i="4"/>
  <c r="Y345" i="4"/>
  <c r="Z344" i="4"/>
  <c r="Y344" i="4"/>
  <c r="Z343" i="4"/>
  <c r="Y343" i="4"/>
  <c r="X343" i="4"/>
  <c r="Z342" i="4"/>
  <c r="Y342" i="4"/>
  <c r="Z341" i="4"/>
  <c r="Y341" i="4"/>
  <c r="Z340" i="4"/>
  <c r="Y340" i="4"/>
  <c r="X340" i="4"/>
  <c r="Z339" i="4"/>
  <c r="Y339" i="4"/>
  <c r="Z338" i="4"/>
  <c r="Y338" i="4"/>
  <c r="Z337" i="4"/>
  <c r="Y337" i="4"/>
  <c r="Z336" i="4"/>
  <c r="Y336" i="4"/>
  <c r="Z335" i="4"/>
  <c r="Y335" i="4"/>
  <c r="X335" i="4"/>
  <c r="Z334" i="4"/>
  <c r="Y334" i="4"/>
  <c r="Z333" i="4"/>
  <c r="Y333" i="4"/>
  <c r="X333" i="4"/>
  <c r="Z332" i="4"/>
  <c r="Y332" i="4"/>
  <c r="X332" i="4"/>
  <c r="Z331" i="4"/>
  <c r="Y331" i="4"/>
  <c r="Z330" i="4"/>
  <c r="Y330" i="4"/>
  <c r="Z329" i="4"/>
  <c r="Y329" i="4"/>
  <c r="Z328" i="4"/>
  <c r="Y328" i="4"/>
  <c r="Z327" i="4"/>
  <c r="Y327" i="4"/>
  <c r="Z326" i="4"/>
  <c r="Y326" i="4"/>
  <c r="Z325" i="4"/>
  <c r="Y325" i="4"/>
  <c r="Z324" i="4"/>
  <c r="Y324" i="4"/>
  <c r="X324" i="4"/>
  <c r="Z323" i="4"/>
  <c r="Y323" i="4"/>
  <c r="Z322" i="4"/>
  <c r="Y322" i="4"/>
  <c r="Z321" i="4"/>
  <c r="Y321" i="4"/>
  <c r="Z320" i="4"/>
  <c r="Y320" i="4"/>
  <c r="Z319" i="4"/>
  <c r="Y319" i="4"/>
  <c r="Z318" i="4"/>
  <c r="Y318" i="4"/>
  <c r="X318" i="4"/>
  <c r="Z317" i="4"/>
  <c r="Y317" i="4"/>
  <c r="X317" i="4"/>
  <c r="Z316" i="4"/>
  <c r="Y316" i="4"/>
  <c r="Z315" i="4"/>
  <c r="Y315" i="4"/>
  <c r="Z314" i="4"/>
  <c r="Y314" i="4"/>
  <c r="X314" i="4"/>
  <c r="Z313" i="4"/>
  <c r="Y313" i="4"/>
  <c r="Z312" i="4"/>
  <c r="Y312" i="4"/>
  <c r="Z311" i="4"/>
  <c r="Y311" i="4"/>
  <c r="Z310" i="4"/>
  <c r="Y310" i="4"/>
  <c r="Z309" i="4"/>
  <c r="Y309" i="4"/>
  <c r="Z308" i="4"/>
  <c r="Y308" i="4"/>
  <c r="Z307" i="4"/>
  <c r="Y307" i="4"/>
  <c r="X307" i="4"/>
  <c r="Z306" i="4"/>
  <c r="Y306" i="4"/>
  <c r="X306" i="4"/>
  <c r="Z305" i="4"/>
  <c r="Y305" i="4"/>
  <c r="X305" i="4"/>
  <c r="Z304" i="4"/>
  <c r="Y304" i="4"/>
  <c r="Z303" i="4"/>
  <c r="Y303" i="4"/>
  <c r="Z302" i="4"/>
  <c r="Y302" i="4"/>
  <c r="Z301" i="4"/>
  <c r="Y301" i="4"/>
  <c r="Z300" i="4"/>
  <c r="Y300" i="4"/>
  <c r="X300" i="4"/>
  <c r="Z299" i="4"/>
  <c r="Y299" i="4"/>
  <c r="X299" i="4"/>
  <c r="Z298" i="4"/>
  <c r="Y298" i="4"/>
  <c r="Z297" i="4"/>
  <c r="Y297" i="4"/>
  <c r="X297" i="4"/>
  <c r="Z296" i="4"/>
  <c r="Y296" i="4"/>
  <c r="Z295" i="4"/>
  <c r="Y295" i="4"/>
  <c r="Z294" i="4"/>
  <c r="Y294" i="4"/>
  <c r="Z293" i="4"/>
  <c r="Y293" i="4"/>
  <c r="Z292" i="4"/>
  <c r="Y292" i="4"/>
  <c r="Z291" i="4"/>
  <c r="Y291" i="4"/>
  <c r="Z290" i="4"/>
  <c r="Y290" i="4"/>
  <c r="Z288" i="4"/>
  <c r="Y288" i="4"/>
  <c r="Z287" i="4"/>
  <c r="Y287" i="4"/>
  <c r="Z286" i="4"/>
  <c r="Y286" i="4"/>
  <c r="Z285" i="4"/>
  <c r="Y285" i="4"/>
  <c r="X285" i="4"/>
  <c r="Z284" i="4"/>
  <c r="Y284" i="4"/>
  <c r="Z283" i="4"/>
  <c r="Y283" i="4"/>
  <c r="Z282" i="4"/>
  <c r="Y282" i="4"/>
  <c r="Z281" i="4"/>
  <c r="Y281" i="4"/>
  <c r="Z280" i="4"/>
  <c r="Y280" i="4"/>
  <c r="Z279" i="4"/>
  <c r="Y279" i="4"/>
  <c r="Z278" i="4"/>
  <c r="Y278" i="4"/>
  <c r="X278" i="4"/>
  <c r="Z277" i="4"/>
  <c r="Y277" i="4"/>
  <c r="X277" i="4"/>
  <c r="Z276" i="4"/>
  <c r="Y276" i="4"/>
  <c r="Z275" i="4"/>
  <c r="Y275" i="4"/>
  <c r="X275" i="4"/>
  <c r="Z274" i="4"/>
  <c r="Y274" i="4"/>
  <c r="X274" i="4"/>
  <c r="Z273" i="4"/>
  <c r="Y273" i="4"/>
  <c r="X273" i="4"/>
  <c r="Z272" i="4"/>
  <c r="Y272" i="4"/>
  <c r="Z271" i="4"/>
  <c r="Y271" i="4"/>
  <c r="X271" i="4"/>
  <c r="Z270" i="4"/>
  <c r="Y270" i="4"/>
  <c r="Z269" i="4"/>
  <c r="Y269" i="4"/>
  <c r="Z268" i="4"/>
  <c r="Y268" i="4"/>
  <c r="Z267" i="4"/>
  <c r="Y267" i="4"/>
  <c r="Z266" i="4"/>
  <c r="Y266" i="4"/>
  <c r="X266" i="4"/>
  <c r="Z265" i="4"/>
  <c r="Y265" i="4"/>
  <c r="Z264" i="4"/>
  <c r="Y264" i="4"/>
  <c r="Z263" i="4"/>
  <c r="Y263" i="4"/>
  <c r="Z262" i="4"/>
  <c r="Y262" i="4"/>
  <c r="Z261" i="4"/>
  <c r="Y261" i="4"/>
  <c r="Z260" i="4"/>
  <c r="Y260" i="4"/>
  <c r="Z259" i="4"/>
  <c r="Y259" i="4"/>
  <c r="Z258" i="4"/>
  <c r="Y258" i="4"/>
  <c r="Z257" i="4"/>
  <c r="Y257" i="4"/>
  <c r="Z256" i="4"/>
  <c r="Y256" i="4"/>
  <c r="X256" i="4"/>
  <c r="Z255" i="4"/>
  <c r="Y255" i="4"/>
  <c r="Z254" i="4"/>
  <c r="Y254" i="4"/>
  <c r="Z253" i="4"/>
  <c r="Y253" i="4"/>
  <c r="Z252" i="4"/>
  <c r="Y252" i="4"/>
  <c r="Z251" i="4"/>
  <c r="Y251" i="4"/>
  <c r="Z250" i="4"/>
  <c r="Y250" i="4"/>
  <c r="Z249" i="4"/>
  <c r="Y249" i="4"/>
  <c r="Z248" i="4"/>
  <c r="Y248" i="4"/>
  <c r="Z247" i="4"/>
  <c r="Y247" i="4"/>
  <c r="Z246" i="4"/>
  <c r="Z245" i="4"/>
  <c r="Y245" i="4"/>
  <c r="Z244" i="4"/>
  <c r="Y244" i="4"/>
  <c r="Z243" i="4"/>
  <c r="Y243" i="4"/>
  <c r="Z242" i="4"/>
  <c r="Y242" i="4"/>
  <c r="Z241" i="4"/>
  <c r="Y241" i="4"/>
  <c r="Z240" i="4"/>
  <c r="Y240" i="4"/>
  <c r="Z239" i="4"/>
  <c r="Y239" i="4"/>
  <c r="Z238" i="4"/>
  <c r="Y238" i="4"/>
  <c r="X238" i="4"/>
  <c r="Z237" i="4"/>
  <c r="Y237" i="4"/>
  <c r="X237" i="4"/>
  <c r="Z236" i="4"/>
  <c r="Y236" i="4"/>
  <c r="Z235" i="4"/>
  <c r="Y235" i="4"/>
  <c r="X235" i="4"/>
  <c r="Z234" i="4"/>
  <c r="Y234" i="4"/>
  <c r="X234" i="4"/>
  <c r="Z233" i="4"/>
  <c r="Y233" i="4"/>
  <c r="Z232" i="4"/>
  <c r="Y232" i="4"/>
  <c r="Z231" i="4"/>
  <c r="Y231" i="4"/>
  <c r="X231" i="4"/>
  <c r="Z230" i="4"/>
  <c r="Y230" i="4"/>
  <c r="Z229" i="4"/>
  <c r="Y229" i="4"/>
  <c r="X229" i="4"/>
  <c r="Z228" i="4"/>
  <c r="Y228" i="4"/>
  <c r="X228" i="4"/>
  <c r="Z227" i="4"/>
  <c r="Y227" i="4"/>
  <c r="Z226" i="4"/>
  <c r="Y226" i="4"/>
  <c r="X226" i="4"/>
  <c r="Z225" i="4"/>
  <c r="Y225" i="4"/>
  <c r="Z224" i="4"/>
  <c r="Y224" i="4"/>
  <c r="X224" i="4"/>
  <c r="Z223" i="4"/>
  <c r="Y223" i="4"/>
  <c r="Z222" i="4"/>
  <c r="Y222" i="4"/>
  <c r="Z221" i="4"/>
  <c r="Y221" i="4"/>
  <c r="X221" i="4"/>
  <c r="Z220" i="4"/>
  <c r="Y220" i="4"/>
  <c r="Z219" i="4"/>
  <c r="Y219" i="4"/>
  <c r="X219" i="4"/>
  <c r="Z218" i="4"/>
  <c r="Y218" i="4"/>
  <c r="X218" i="4"/>
  <c r="Z217" i="4"/>
  <c r="Y217" i="4"/>
  <c r="Z216" i="4"/>
  <c r="Y216" i="4"/>
  <c r="Z215" i="4"/>
  <c r="Y215" i="4"/>
  <c r="X215" i="4"/>
  <c r="Z214" i="4"/>
  <c r="Y214" i="4"/>
  <c r="Z213" i="4"/>
  <c r="Y213" i="4"/>
  <c r="Z212" i="4"/>
  <c r="Y212" i="4"/>
  <c r="Z211" i="4"/>
  <c r="Y211" i="4"/>
  <c r="X211" i="4"/>
  <c r="Z210" i="4"/>
  <c r="Y210" i="4"/>
  <c r="Z209" i="4"/>
  <c r="Y209" i="4"/>
  <c r="X209" i="4"/>
  <c r="Z208" i="4"/>
  <c r="Y208" i="4"/>
  <c r="X208" i="4"/>
  <c r="Z207" i="4"/>
  <c r="Y207" i="4"/>
  <c r="Z206" i="4"/>
  <c r="Y206" i="4"/>
  <c r="Z205" i="4"/>
  <c r="Y205" i="4"/>
  <c r="Z204" i="4"/>
  <c r="Y204" i="4"/>
  <c r="X204" i="4"/>
  <c r="Z203" i="4"/>
  <c r="Y203" i="4"/>
  <c r="X203" i="4"/>
  <c r="Z202" i="4"/>
  <c r="Y202" i="4"/>
  <c r="Z201" i="4"/>
  <c r="Y201" i="4"/>
  <c r="Z200" i="4"/>
  <c r="Y200" i="4"/>
  <c r="X200" i="4"/>
  <c r="Z199" i="4"/>
  <c r="Y199" i="4"/>
  <c r="Z198" i="4"/>
  <c r="Y198" i="4"/>
  <c r="Z197" i="4"/>
  <c r="Y197" i="4"/>
  <c r="X197" i="4"/>
  <c r="Z196" i="4"/>
  <c r="Y196" i="4"/>
  <c r="X196" i="4"/>
  <c r="Z195" i="4"/>
  <c r="Y195" i="4"/>
  <c r="Z194" i="4"/>
  <c r="Y194" i="4"/>
  <c r="X194" i="4"/>
  <c r="Z193" i="4"/>
  <c r="Y193" i="4"/>
  <c r="Z192" i="4"/>
  <c r="Y192" i="4"/>
  <c r="Z191" i="4"/>
  <c r="Y191" i="4"/>
  <c r="X191" i="4"/>
  <c r="Z190" i="4"/>
  <c r="Y190" i="4"/>
  <c r="Z189" i="4"/>
  <c r="Y189" i="4"/>
  <c r="Z188" i="4"/>
  <c r="Y188" i="4"/>
  <c r="Z187" i="4"/>
  <c r="Y187" i="4"/>
  <c r="X187" i="4"/>
  <c r="Z186" i="4"/>
  <c r="Y186" i="4"/>
  <c r="Z185" i="4"/>
  <c r="Y185" i="4"/>
  <c r="Z184" i="4"/>
  <c r="Y184" i="4"/>
  <c r="Z183" i="4"/>
  <c r="Y183" i="4"/>
  <c r="Z182" i="4"/>
  <c r="Y182" i="4"/>
  <c r="X182" i="4"/>
  <c r="Z181" i="4"/>
  <c r="Y181" i="4"/>
  <c r="X181" i="4"/>
  <c r="Z180" i="4"/>
  <c r="Y180" i="4"/>
  <c r="X180" i="4"/>
  <c r="Z179" i="4"/>
  <c r="Y179" i="4"/>
  <c r="X179" i="4"/>
  <c r="Z178" i="4"/>
  <c r="Y178" i="4"/>
  <c r="X178" i="4"/>
  <c r="Z177" i="4"/>
  <c r="Y177" i="4"/>
  <c r="Z176" i="4"/>
  <c r="Y176" i="4"/>
  <c r="X176" i="4"/>
  <c r="Z175" i="4"/>
  <c r="Y175" i="4"/>
  <c r="Z174" i="4"/>
  <c r="Y174" i="4"/>
  <c r="X174" i="4"/>
  <c r="Z173" i="4"/>
  <c r="Y173" i="4"/>
  <c r="Z172" i="4"/>
  <c r="Y172" i="4"/>
  <c r="Z171" i="4"/>
  <c r="Y171" i="4"/>
  <c r="Z170" i="4"/>
  <c r="Y170" i="4"/>
  <c r="Z169" i="4"/>
  <c r="Y169" i="4"/>
  <c r="Z168" i="4"/>
  <c r="Y168" i="4"/>
  <c r="X168" i="4"/>
  <c r="Z167" i="4"/>
  <c r="Y167" i="4"/>
  <c r="X167" i="4"/>
  <c r="Z166" i="4"/>
  <c r="Y166" i="4"/>
  <c r="Z165" i="4"/>
  <c r="Y165" i="4"/>
  <c r="Z164" i="4"/>
  <c r="Y164" i="4"/>
  <c r="Z163" i="4"/>
  <c r="Y163" i="4"/>
  <c r="Z162" i="4"/>
  <c r="Y162" i="4"/>
  <c r="Z161" i="4"/>
  <c r="Y161" i="4"/>
  <c r="X161" i="4"/>
  <c r="Z160" i="4"/>
  <c r="Y160" i="4"/>
  <c r="X160" i="4"/>
  <c r="Z159" i="4"/>
  <c r="Y159" i="4"/>
  <c r="Z158" i="4"/>
  <c r="Y158" i="4"/>
  <c r="Z157" i="4"/>
  <c r="Y157" i="4"/>
  <c r="X157" i="4"/>
  <c r="Z156" i="4"/>
  <c r="Y156" i="4"/>
  <c r="Z155" i="4"/>
  <c r="Y155" i="4"/>
  <c r="Z154" i="4"/>
  <c r="Y154" i="4"/>
  <c r="Z153" i="4"/>
  <c r="Y153" i="4"/>
  <c r="Z152" i="4"/>
  <c r="Y152" i="4"/>
  <c r="Z151" i="4"/>
  <c r="Y151" i="4"/>
  <c r="Z150" i="4"/>
  <c r="Y150" i="4"/>
  <c r="X150" i="4"/>
  <c r="Z149" i="4"/>
  <c r="Y149" i="4"/>
  <c r="X149" i="4"/>
  <c r="Z148" i="4"/>
  <c r="Y148" i="4"/>
  <c r="X148" i="4"/>
  <c r="Z147" i="4"/>
  <c r="Y147" i="4"/>
  <c r="Z146" i="4"/>
  <c r="Y146" i="4"/>
  <c r="Z145" i="4"/>
  <c r="Y145" i="4"/>
  <c r="Z144" i="4"/>
  <c r="Y144" i="4"/>
  <c r="X144" i="4"/>
  <c r="Z143" i="4"/>
  <c r="Y143" i="4"/>
  <c r="X143" i="4"/>
  <c r="Z142" i="4"/>
  <c r="Y142" i="4"/>
  <c r="Z141" i="4"/>
  <c r="Y141" i="4"/>
  <c r="Z140" i="4"/>
  <c r="Y140" i="4"/>
  <c r="Z139" i="4"/>
  <c r="Y139" i="4"/>
  <c r="Z138" i="4"/>
  <c r="Y138" i="4"/>
  <c r="Z137" i="4"/>
  <c r="Y137" i="4"/>
  <c r="Z136" i="4"/>
  <c r="Y136" i="4"/>
  <c r="Z135" i="4"/>
  <c r="Y135" i="4"/>
  <c r="Z134" i="4"/>
  <c r="Y134" i="4"/>
  <c r="Z133" i="4"/>
  <c r="Y133" i="4"/>
  <c r="Z132" i="4"/>
  <c r="Y132" i="4"/>
  <c r="Z131" i="4"/>
  <c r="Y131" i="4"/>
  <c r="Z130" i="4"/>
  <c r="Y130" i="4"/>
  <c r="Z129" i="4"/>
  <c r="Y129" i="4"/>
  <c r="X129" i="4"/>
  <c r="Z128" i="4"/>
  <c r="Y128" i="4"/>
  <c r="Z127" i="4"/>
  <c r="Y127" i="4"/>
  <c r="X127" i="4"/>
  <c r="Z126" i="4"/>
  <c r="Y126" i="4"/>
  <c r="Z125" i="4"/>
  <c r="Y125" i="4"/>
  <c r="Z124" i="4"/>
  <c r="Z123" i="4"/>
  <c r="Y123" i="4"/>
  <c r="X123" i="4"/>
  <c r="Z122" i="4"/>
  <c r="Y122" i="4"/>
  <c r="Z121" i="4"/>
  <c r="Y121" i="4"/>
  <c r="X121" i="4"/>
  <c r="Z120" i="4"/>
  <c r="Y120" i="4"/>
  <c r="Z119" i="4"/>
  <c r="Y119" i="4"/>
  <c r="Z118" i="4"/>
  <c r="Y118" i="4"/>
  <c r="X118" i="4"/>
  <c r="Z117" i="4"/>
  <c r="Y117" i="4"/>
  <c r="Z116" i="4"/>
  <c r="Y116" i="4"/>
  <c r="Z115" i="4"/>
  <c r="Y115" i="4"/>
  <c r="Z114" i="4"/>
  <c r="Y114" i="4"/>
  <c r="Z113" i="4"/>
  <c r="Y113" i="4"/>
  <c r="Z112" i="4"/>
  <c r="Y112" i="4"/>
  <c r="Z111" i="4"/>
  <c r="Y111" i="4"/>
  <c r="X111" i="4"/>
  <c r="Z110" i="4"/>
  <c r="Y110" i="4"/>
  <c r="Z109" i="4"/>
  <c r="Y109" i="4"/>
  <c r="X109" i="4"/>
  <c r="Z108" i="4"/>
  <c r="Y108" i="4"/>
  <c r="Z107" i="4"/>
  <c r="Y107" i="4"/>
  <c r="X107" i="4"/>
  <c r="Z106" i="4"/>
  <c r="Y106" i="4"/>
  <c r="Z105" i="4"/>
  <c r="Y105" i="4"/>
  <c r="Z104" i="4"/>
  <c r="Y104" i="4"/>
  <c r="Z103" i="4"/>
  <c r="Y103" i="4"/>
  <c r="Z102" i="4"/>
  <c r="Y102" i="4"/>
  <c r="Z101" i="4"/>
  <c r="Y101" i="4"/>
  <c r="Z100" i="4"/>
  <c r="Y100" i="4"/>
  <c r="Z98" i="4"/>
  <c r="Y98" i="4"/>
  <c r="Z97" i="4"/>
  <c r="Y97" i="4"/>
  <c r="Z96" i="4"/>
  <c r="Y96" i="4"/>
  <c r="Z95" i="4"/>
  <c r="Y95" i="4"/>
  <c r="X95" i="4"/>
  <c r="Z94" i="4"/>
  <c r="Y94" i="4"/>
  <c r="Z93" i="4"/>
  <c r="Y93" i="4"/>
  <c r="Z92" i="4"/>
  <c r="Y92" i="4"/>
  <c r="Z91" i="4"/>
  <c r="Y91" i="4"/>
  <c r="Z90" i="4"/>
  <c r="Y90" i="4"/>
  <c r="X90" i="4"/>
  <c r="Z89" i="4"/>
  <c r="Y89" i="4"/>
  <c r="Z88" i="4"/>
  <c r="Y88" i="4"/>
  <c r="Z87" i="4"/>
  <c r="Y87" i="4"/>
  <c r="Z86" i="4"/>
  <c r="Y86" i="4"/>
  <c r="Z85" i="4"/>
  <c r="Y85" i="4"/>
  <c r="X85" i="4"/>
  <c r="Z84" i="4"/>
  <c r="Y84" i="4"/>
  <c r="X84" i="4"/>
  <c r="Z83" i="4"/>
  <c r="Y83" i="4"/>
  <c r="Z82" i="4"/>
  <c r="Y82" i="4"/>
  <c r="Z81" i="4"/>
  <c r="Y81" i="4"/>
  <c r="X81" i="4"/>
  <c r="Z80" i="4"/>
  <c r="Y80" i="4"/>
  <c r="Z79" i="4"/>
  <c r="Y79" i="4"/>
  <c r="Z78" i="4"/>
  <c r="Y78" i="4"/>
  <c r="Z77" i="4"/>
  <c r="Y77" i="4"/>
  <c r="X77" i="4"/>
  <c r="Z76" i="4"/>
  <c r="Y76" i="4"/>
  <c r="Z75" i="4"/>
  <c r="Y75" i="4"/>
  <c r="X75" i="4"/>
  <c r="Z74" i="4"/>
  <c r="Y74" i="4"/>
  <c r="Z73" i="4"/>
  <c r="Y73" i="4"/>
  <c r="Z72" i="4"/>
  <c r="Y72" i="4"/>
  <c r="Z71" i="4"/>
  <c r="Y71" i="4"/>
  <c r="X71" i="4"/>
  <c r="Z70" i="4"/>
  <c r="Y70" i="4"/>
  <c r="Z69" i="4"/>
  <c r="Y69" i="4"/>
  <c r="X69" i="4"/>
  <c r="Z68" i="4"/>
  <c r="Y68" i="4"/>
  <c r="X68" i="4"/>
  <c r="Z67" i="4"/>
  <c r="Y67" i="4"/>
  <c r="Z66" i="4"/>
  <c r="Y66" i="4"/>
  <c r="Z65" i="4"/>
  <c r="Y65" i="4"/>
  <c r="Z64" i="4"/>
  <c r="Y64" i="4"/>
  <c r="X64" i="4"/>
  <c r="Z63" i="4"/>
  <c r="Y63" i="4"/>
  <c r="Z62" i="4"/>
  <c r="Y62" i="4"/>
  <c r="X62" i="4"/>
  <c r="Z61" i="4"/>
  <c r="Y61" i="4"/>
  <c r="Z60" i="4"/>
  <c r="Y60" i="4"/>
  <c r="Z59" i="4"/>
  <c r="Y59" i="4"/>
  <c r="Z58" i="4"/>
  <c r="Y58" i="4"/>
  <c r="X58" i="4"/>
  <c r="Z57" i="4"/>
  <c r="Y57" i="4"/>
  <c r="X57" i="4"/>
  <c r="Z56" i="4"/>
  <c r="Y56" i="4"/>
  <c r="Z55" i="4"/>
  <c r="Y55" i="4"/>
  <c r="Z54" i="4"/>
  <c r="Y54" i="4"/>
  <c r="X54" i="4"/>
  <c r="Z53" i="4"/>
  <c r="Y53" i="4"/>
  <c r="X53" i="4"/>
  <c r="Z52" i="4"/>
  <c r="Y52" i="4"/>
  <c r="X52" i="4"/>
  <c r="Z51" i="4"/>
  <c r="Y51" i="4"/>
  <c r="Z50" i="4"/>
  <c r="Y50" i="4"/>
  <c r="Z49" i="4"/>
  <c r="Y49" i="4"/>
  <c r="X49" i="4"/>
  <c r="Z48" i="4"/>
  <c r="Y48" i="4"/>
  <c r="Z47" i="4"/>
  <c r="Y47" i="4"/>
  <c r="X47" i="4"/>
  <c r="Z46" i="4"/>
  <c r="Y46" i="4"/>
  <c r="X46" i="4"/>
  <c r="Z45" i="4"/>
  <c r="Y45" i="4"/>
  <c r="X45" i="4"/>
  <c r="Z44" i="4"/>
  <c r="Y44" i="4"/>
  <c r="X44" i="4"/>
  <c r="Z43" i="4"/>
  <c r="Y43" i="4"/>
  <c r="X43" i="4"/>
  <c r="Z42" i="4"/>
  <c r="Y42" i="4"/>
  <c r="Z41" i="4"/>
  <c r="Y41" i="4"/>
  <c r="Z40" i="4"/>
  <c r="Y40" i="4"/>
  <c r="Z39" i="4"/>
  <c r="Y39" i="4"/>
  <c r="X39" i="4"/>
  <c r="Z38" i="4"/>
  <c r="Y38" i="4"/>
  <c r="Z37" i="4"/>
  <c r="Y37" i="4"/>
  <c r="Z36" i="4"/>
  <c r="Y36" i="4"/>
  <c r="Z35" i="4"/>
  <c r="Y35" i="4"/>
  <c r="Z34" i="4"/>
  <c r="Y34" i="4"/>
  <c r="Z33" i="4"/>
  <c r="Y33" i="4"/>
  <c r="Z32" i="4"/>
  <c r="Y32" i="4"/>
  <c r="Z31" i="4"/>
  <c r="Y31" i="4"/>
  <c r="Z30" i="4"/>
  <c r="Y30" i="4"/>
  <c r="X30" i="4"/>
  <c r="Z29" i="4"/>
  <c r="Y29" i="4"/>
  <c r="Z28" i="4"/>
  <c r="Y28" i="4"/>
  <c r="Z27" i="4"/>
  <c r="Y27" i="4"/>
  <c r="X27" i="4"/>
  <c r="Z26" i="4"/>
  <c r="Y26" i="4"/>
  <c r="X26" i="4"/>
  <c r="Z25" i="4"/>
  <c r="Y25" i="4"/>
  <c r="Z24" i="4"/>
  <c r="Y24" i="4"/>
  <c r="X24" i="4"/>
  <c r="Z23" i="4"/>
  <c r="Y23" i="4"/>
  <c r="Z22" i="4"/>
  <c r="Y22" i="4"/>
  <c r="Z21" i="4"/>
  <c r="Y21" i="4"/>
  <c r="Z20" i="4"/>
  <c r="Y20" i="4"/>
  <c r="X20" i="4"/>
  <c r="Z19" i="4"/>
  <c r="Z18" i="4"/>
  <c r="Y18" i="4"/>
  <c r="Z17" i="4"/>
  <c r="Y17" i="4"/>
  <c r="Z16" i="4"/>
  <c r="Y16" i="4"/>
  <c r="Z15" i="4"/>
  <c r="Y15" i="4"/>
  <c r="Z14" i="4"/>
  <c r="Y14" i="4"/>
  <c r="Z13" i="4"/>
  <c r="Y13" i="4"/>
  <c r="Z12" i="4"/>
  <c r="Y12" i="4"/>
  <c r="Z11" i="4"/>
  <c r="Y11" i="4"/>
  <c r="Z10" i="4"/>
  <c r="Y10" i="4"/>
  <c r="Z9" i="4"/>
  <c r="Y9" i="4"/>
  <c r="Z8" i="4"/>
  <c r="Y8" i="4"/>
  <c r="Z7" i="4"/>
  <c r="Y7" i="4"/>
  <c r="Z6" i="4"/>
  <c r="Y6" i="4"/>
  <c r="Z5" i="4"/>
  <c r="Y5" i="4"/>
  <c r="X5" i="4"/>
  <c r="Z4" i="4"/>
  <c r="Y4" i="4"/>
  <c r="X4" i="4"/>
  <c r="Z3" i="4"/>
  <c r="Y3" i="4"/>
  <c r="X3" i="4"/>
  <c r="Z2" i="4"/>
  <c r="Y2" i="4"/>
  <c r="X2" i="4"/>
  <c r="AA1522" i="4"/>
  <c r="AA1501" i="4"/>
  <c r="F16" i="2"/>
  <c r="X258" i="4" s="1"/>
  <c r="F15" i="2"/>
  <c r="X1365" i="4" s="1"/>
  <c r="F14" i="2"/>
  <c r="Z722" i="4" s="1"/>
  <c r="F12" i="2"/>
  <c r="Z964" i="4" s="1"/>
  <c r="F11" i="2"/>
  <c r="F10" i="2"/>
  <c r="X205" i="4" s="1"/>
  <c r="F9" i="2"/>
  <c r="Y124" i="4" s="1"/>
  <c r="F8" i="2"/>
  <c r="X1462" i="4" s="1"/>
  <c r="AA1477" i="4" l="1"/>
  <c r="AA1499" i="4"/>
  <c r="AA1517" i="4"/>
  <c r="AA1506" i="4"/>
  <c r="AA1508" i="4"/>
  <c r="AA1516" i="4"/>
  <c r="X288" i="4"/>
  <c r="AA288" i="4" s="1"/>
  <c r="X308" i="4"/>
  <c r="AA308" i="4" s="1"/>
  <c r="X17" i="4"/>
  <c r="X528" i="4"/>
  <c r="AA528" i="4" s="1"/>
  <c r="X36" i="4"/>
  <c r="AA36" i="4" s="1"/>
  <c r="X92" i="4"/>
  <c r="AA92" i="4" s="1"/>
  <c r="Z99" i="4"/>
  <c r="X929" i="4"/>
  <c r="X172" i="4"/>
  <c r="AA172" i="4" s="1"/>
  <c r="X250" i="4"/>
  <c r="AA250" i="4" s="1"/>
  <c r="X913" i="4"/>
  <c r="AA913" i="4" s="1"/>
  <c r="X296" i="4"/>
  <c r="AA296" i="4" s="1"/>
  <c r="X89" i="4"/>
  <c r="AA1427" i="4"/>
  <c r="X907" i="4"/>
  <c r="AA907" i="4" s="1"/>
  <c r="X61" i="4"/>
  <c r="AA61" i="4" s="1"/>
  <c r="X124" i="4"/>
  <c r="AA124" i="4" s="1"/>
  <c r="X1362" i="4"/>
  <c r="AA1362" i="4" s="1"/>
  <c r="X725" i="4"/>
  <c r="AA725" i="4" s="1"/>
  <c r="X125" i="4"/>
  <c r="AA125" i="4" s="1"/>
  <c r="X153" i="4"/>
  <c r="AA153" i="4" s="1"/>
  <c r="X597" i="4"/>
  <c r="AA597" i="4" s="1"/>
  <c r="X997" i="4"/>
  <c r="AA997" i="4" s="1"/>
  <c r="X327" i="4"/>
  <c r="X367" i="4"/>
  <c r="AA367" i="4" s="1"/>
  <c r="X428" i="4"/>
  <c r="AA428" i="4" s="1"/>
  <c r="Y964" i="4"/>
  <c r="X404" i="4"/>
  <c r="AA404" i="4" s="1"/>
  <c r="X485" i="4"/>
  <c r="X538" i="4"/>
  <c r="AA538" i="4" s="1"/>
  <c r="X1181" i="4"/>
  <c r="AA1205" i="4"/>
  <c r="AA1493" i="4"/>
  <c r="X880" i="4"/>
  <c r="AA880" i="4" s="1"/>
  <c r="X1520" i="4"/>
  <c r="AA1520" i="4" s="1"/>
  <c r="X1512" i="4"/>
  <c r="AA1512" i="4" s="1"/>
  <c r="X1498" i="4"/>
  <c r="X1502" i="4"/>
  <c r="AA1502" i="4" s="1"/>
  <c r="X1487" i="4"/>
  <c r="AA1487" i="4" s="1"/>
  <c r="X1453" i="4"/>
  <c r="AA1453" i="4" s="1"/>
  <c r="X1369" i="4"/>
  <c r="AA1369" i="4" s="1"/>
  <c r="X1361" i="4"/>
  <c r="AA1361" i="4" s="1"/>
  <c r="X1353" i="4"/>
  <c r="AA1353" i="4" s="1"/>
  <c r="X1345" i="4"/>
  <c r="AA1345" i="4" s="1"/>
  <c r="X1329" i="4"/>
  <c r="X1313" i="4"/>
  <c r="AA1313" i="4" s="1"/>
  <c r="X1185" i="4"/>
  <c r="AA1185" i="4" s="1"/>
  <c r="X1105" i="4"/>
  <c r="AA1105" i="4" s="1"/>
  <c r="X1082" i="4"/>
  <c r="AA1082" i="4" s="1"/>
  <c r="X1074" i="4"/>
  <c r="AA1074" i="4" s="1"/>
  <c r="X1066" i="4"/>
  <c r="AA1066" i="4" s="1"/>
  <c r="X1514" i="4"/>
  <c r="AA1514" i="4" s="1"/>
  <c r="X1465" i="4"/>
  <c r="AA1465" i="4" s="1"/>
  <c r="X1450" i="4"/>
  <c r="AA1450" i="4" s="1"/>
  <c r="X1434" i="4"/>
  <c r="AA1434" i="4" s="1"/>
  <c r="X1412" i="4"/>
  <c r="AA1412" i="4" s="1"/>
  <c r="X1342" i="4"/>
  <c r="AA1342" i="4" s="1"/>
  <c r="X1334" i="4"/>
  <c r="AA1334" i="4" s="1"/>
  <c r="X1326" i="4"/>
  <c r="AA1326" i="4" s="1"/>
  <c r="X1310" i="4"/>
  <c r="AA1310" i="4" s="1"/>
  <c r="X1262" i="4"/>
  <c r="AA1262" i="4" s="1"/>
  <c r="X1254" i="4"/>
  <c r="AA1254" i="4" s="1"/>
  <c r="X1246" i="4"/>
  <c r="AA1246" i="4" s="1"/>
  <c r="X1230" i="4"/>
  <c r="AA1230" i="4" s="1"/>
  <c r="X1206" i="4"/>
  <c r="AA1206" i="4" s="1"/>
  <c r="X1190" i="4"/>
  <c r="AA1190" i="4" s="1"/>
  <c r="X1110" i="4"/>
  <c r="AA1110" i="4" s="1"/>
  <c r="X1079" i="4"/>
  <c r="AA1079" i="4" s="1"/>
  <c r="X890" i="4"/>
  <c r="AA890" i="4" s="1"/>
  <c r="X858" i="4"/>
  <c r="AA858" i="4" s="1"/>
  <c r="X772" i="4"/>
  <c r="AA772" i="4" s="1"/>
  <c r="X716" i="4"/>
  <c r="AA716" i="4" s="1"/>
  <c r="X639" i="4"/>
  <c r="AA639" i="4" s="1"/>
  <c r="X608" i="4"/>
  <c r="AA608" i="4" s="1"/>
  <c r="X592" i="4"/>
  <c r="AA592" i="4" s="1"/>
  <c r="X1519" i="4"/>
  <c r="AA1519" i="4" s="1"/>
  <c r="X1524" i="4"/>
  <c r="AA1524" i="4" s="1"/>
  <c r="X1513" i="4"/>
  <c r="AA1513" i="4" s="1"/>
  <c r="X1491" i="4"/>
  <c r="AA1491" i="4" s="1"/>
  <c r="X1518" i="4"/>
  <c r="AA1518" i="4" s="1"/>
  <c r="X1523" i="4"/>
  <c r="AA1523" i="4" s="1"/>
  <c r="X1515" i="4"/>
  <c r="AA1515" i="4" s="1"/>
  <c r="X1507" i="4"/>
  <c r="AA1507" i="4" s="1"/>
  <c r="X1474" i="4"/>
  <c r="AA1474" i="4" s="1"/>
  <c r="X1381" i="4"/>
  <c r="AA1381" i="4" s="1"/>
  <c r="X1370" i="4"/>
  <c r="AA1370" i="4" s="1"/>
  <c r="X1367" i="4"/>
  <c r="AA1367" i="4" s="1"/>
  <c r="X1304" i="4"/>
  <c r="AA1304" i="4" s="1"/>
  <c r="X1164" i="4"/>
  <c r="AA1164" i="4" s="1"/>
  <c r="X1086" i="4"/>
  <c r="AA1086" i="4" s="1"/>
  <c r="X1049" i="4"/>
  <c r="X1332" i="4"/>
  <c r="AA1332" i="4" s="1"/>
  <c r="X1315" i="4"/>
  <c r="AA1315" i="4" s="1"/>
  <c r="X1276" i="4"/>
  <c r="AA1276" i="4" s="1"/>
  <c r="X1231" i="4"/>
  <c r="AA1231" i="4" s="1"/>
  <c r="X1228" i="4"/>
  <c r="AA1228" i="4" s="1"/>
  <c r="X1203" i="4"/>
  <c r="AA1203" i="4" s="1"/>
  <c r="X1192" i="4"/>
  <c r="AA1192" i="4" s="1"/>
  <c r="X1107" i="4"/>
  <c r="AA1107" i="4" s="1"/>
  <c r="X1101" i="4"/>
  <c r="AA1101" i="4" s="1"/>
  <c r="X1083" i="4"/>
  <c r="AA1083" i="4" s="1"/>
  <c r="X1077" i="4"/>
  <c r="AA1077" i="4" s="1"/>
  <c r="X1016" i="4"/>
  <c r="AA1016" i="4" s="1"/>
  <c r="X996" i="4"/>
  <c r="AA996" i="4" s="1"/>
  <c r="X762" i="4"/>
  <c r="AA762" i="4" s="1"/>
  <c r="X735" i="4"/>
  <c r="AA735" i="4" s="1"/>
  <c r="X594" i="4"/>
  <c r="AA594" i="4" s="1"/>
  <c r="X1447" i="4"/>
  <c r="AA1447" i="4" s="1"/>
  <c r="X1444" i="4"/>
  <c r="AA1444" i="4" s="1"/>
  <c r="X1394" i="4"/>
  <c r="AA1394" i="4" s="1"/>
  <c r="X1372" i="4"/>
  <c r="AA1372" i="4" s="1"/>
  <c r="X1323" i="4"/>
  <c r="X1247" i="4"/>
  <c r="AA1247" i="4" s="1"/>
  <c r="X1186" i="4"/>
  <c r="AA1186" i="4" s="1"/>
  <c r="X876" i="4"/>
  <c r="X862" i="4"/>
  <c r="AA862" i="4" s="1"/>
  <c r="X773" i="4"/>
  <c r="AA773" i="4" s="1"/>
  <c r="X751" i="4"/>
  <c r="AA751" i="4" s="1"/>
  <c r="X679" i="4"/>
  <c r="AA679" i="4" s="1"/>
  <c r="X580" i="4"/>
  <c r="X1386" i="4"/>
  <c r="AA1386" i="4" s="1"/>
  <c r="X1343" i="4"/>
  <c r="AA1343" i="4" s="1"/>
  <c r="X1255" i="4"/>
  <c r="AA1255" i="4" s="1"/>
  <c r="X1132" i="4"/>
  <c r="AA1132" i="4" s="1"/>
  <c r="X1112" i="4"/>
  <c r="AA1112" i="4" s="1"/>
  <c r="X1109" i="4"/>
  <c r="AA1109" i="4" s="1"/>
  <c r="X1085" i="4"/>
  <c r="AA1085" i="4" s="1"/>
  <c r="X1048" i="4"/>
  <c r="X990" i="4"/>
  <c r="AA990" i="4" s="1"/>
  <c r="X971" i="4"/>
  <c r="AA971" i="4" s="1"/>
  <c r="X819" i="4"/>
  <c r="AA819" i="4" s="1"/>
  <c r="X767" i="4"/>
  <c r="AA767" i="4" s="1"/>
  <c r="X577" i="4"/>
  <c r="AA577" i="4" s="1"/>
  <c r="X505" i="4"/>
  <c r="AA505" i="4" s="1"/>
  <c r="X1478" i="4"/>
  <c r="AA1478" i="4" s="1"/>
  <c r="X1452" i="4"/>
  <c r="X1449" i="4"/>
  <c r="AA1449" i="4" s="1"/>
  <c r="X1399" i="4"/>
  <c r="AA1399" i="4" s="1"/>
  <c r="X1328" i="4"/>
  <c r="AA1328" i="4" s="1"/>
  <c r="X1325" i="4"/>
  <c r="AA1325" i="4" s="1"/>
  <c r="X1224" i="4"/>
  <c r="AA1224" i="4" s="1"/>
  <c r="X1191" i="4"/>
  <c r="AA1191" i="4" s="1"/>
  <c r="X1188" i="4"/>
  <c r="X1123" i="4"/>
  <c r="X1100" i="4"/>
  <c r="AA1100" i="4" s="1"/>
  <c r="X1076" i="4"/>
  <c r="AA1076" i="4" s="1"/>
  <c r="X1070" i="4"/>
  <c r="AA1070" i="4" s="1"/>
  <c r="X1056" i="4"/>
  <c r="AA1056" i="4" s="1"/>
  <c r="X968" i="4"/>
  <c r="AA968" i="4" s="1"/>
  <c r="X840" i="4"/>
  <c r="AA840" i="4" s="1"/>
  <c r="X742" i="4"/>
  <c r="AA742" i="4" s="1"/>
  <c r="X641" i="4"/>
  <c r="X638" i="4"/>
  <c r="AA638" i="4" s="1"/>
  <c r="X526" i="4"/>
  <c r="AA526" i="4" s="1"/>
  <c r="X1460" i="4"/>
  <c r="AA1460" i="4" s="1"/>
  <c r="X1446" i="4"/>
  <c r="AA1446" i="4" s="1"/>
  <c r="X1368" i="4"/>
  <c r="AA1368" i="4" s="1"/>
  <c r="X1354" i="4"/>
  <c r="AA1354" i="4" s="1"/>
  <c r="Y1316" i="4"/>
  <c r="X1210" i="4"/>
  <c r="X1196" i="4"/>
  <c r="AA1196" i="4" s="1"/>
  <c r="X1067" i="4"/>
  <c r="AA1067" i="4" s="1"/>
  <c r="X1053" i="4"/>
  <c r="AA1053" i="4" s="1"/>
  <c r="X965" i="4"/>
  <c r="AA965" i="4" s="1"/>
  <c r="X875" i="4"/>
  <c r="AA875" i="4" s="1"/>
  <c r="X872" i="4"/>
  <c r="AA872" i="4" s="1"/>
  <c r="X861" i="4"/>
  <c r="AA861" i="4" s="1"/>
  <c r="X750" i="4"/>
  <c r="X714" i="4"/>
  <c r="AA714" i="4" s="1"/>
  <c r="X704" i="4"/>
  <c r="AA704" i="4" s="1"/>
  <c r="X483" i="4"/>
  <c r="AA483" i="4" s="1"/>
  <c r="Y1075" i="4"/>
  <c r="X954" i="4"/>
  <c r="AA954" i="4" s="1"/>
  <c r="X826" i="4"/>
  <c r="AA826" i="4" s="1"/>
  <c r="X698" i="4"/>
  <c r="AA698" i="4" s="1"/>
  <c r="X680" i="4"/>
  <c r="X640" i="4"/>
  <c r="AA640" i="4" s="1"/>
  <c r="X345" i="4"/>
  <c r="AA345" i="4" s="1"/>
  <c r="X268" i="4"/>
  <c r="AA268" i="4" s="1"/>
  <c r="X252" i="4"/>
  <c r="AA252" i="4" s="1"/>
  <c r="X206" i="4"/>
  <c r="AA206" i="4" s="1"/>
  <c r="X190" i="4"/>
  <c r="AA190" i="4" s="1"/>
  <c r="X166" i="4"/>
  <c r="AA166" i="4" s="1"/>
  <c r="X38" i="4"/>
  <c r="X1451" i="4"/>
  <c r="AA1451" i="4" s="1"/>
  <c r="X1324" i="4"/>
  <c r="AA1324" i="4" s="1"/>
  <c r="X1207" i="4"/>
  <c r="AA1207" i="4" s="1"/>
  <c r="X1139" i="4"/>
  <c r="AA1139" i="4" s="1"/>
  <c r="X918" i="4"/>
  <c r="AA918" i="4" s="1"/>
  <c r="X845" i="4"/>
  <c r="X755" i="4"/>
  <c r="X565" i="4"/>
  <c r="AA565" i="4" s="1"/>
  <c r="X342" i="4"/>
  <c r="AA342" i="4" s="1"/>
  <c r="X302" i="4"/>
  <c r="AA302" i="4" s="1"/>
  <c r="X225" i="4"/>
  <c r="AA225" i="4" s="1"/>
  <c r="X210" i="4"/>
  <c r="AA210" i="4" s="1"/>
  <c r="X195" i="4"/>
  <c r="AA195" i="4" s="1"/>
  <c r="X155" i="4"/>
  <c r="AA155" i="4" s="1"/>
  <c r="X67" i="4"/>
  <c r="X51" i="4"/>
  <c r="AA51" i="4" s="1"/>
  <c r="X1440" i="4"/>
  <c r="AA1440" i="4" s="1"/>
  <c r="X1229" i="4"/>
  <c r="AA1229" i="4" s="1"/>
  <c r="X921" i="4"/>
  <c r="AA921" i="4" s="1"/>
  <c r="X664" i="4"/>
  <c r="AA664" i="4" s="1"/>
  <c r="X490" i="4"/>
  <c r="AA490" i="4" s="1"/>
  <c r="X379" i="4"/>
  <c r="AA379" i="4" s="1"/>
  <c r="X331" i="4"/>
  <c r="X128" i="4"/>
  <c r="AA128" i="4" s="1"/>
  <c r="X120" i="4"/>
  <c r="AA120" i="4" s="1"/>
  <c r="X56" i="4"/>
  <c r="AA56" i="4" s="1"/>
  <c r="X32" i="4"/>
  <c r="AA32" i="4" s="1"/>
  <c r="X1330" i="4"/>
  <c r="AA1330" i="4" s="1"/>
  <c r="X1176" i="4"/>
  <c r="AA1176" i="4" s="1"/>
  <c r="X1099" i="4"/>
  <c r="AA1099" i="4" s="1"/>
  <c r="X1084" i="4"/>
  <c r="X860" i="4"/>
  <c r="AA860" i="4" s="1"/>
  <c r="X576" i="4"/>
  <c r="AA576" i="4" s="1"/>
  <c r="X344" i="4"/>
  <c r="AA344" i="4" s="1"/>
  <c r="X1411" i="4"/>
  <c r="AA1411" i="4" s="1"/>
  <c r="X1373" i="4"/>
  <c r="AA1373" i="4" s="1"/>
  <c r="X1333" i="4"/>
  <c r="AA1333" i="4" s="1"/>
  <c r="X1212" i="4"/>
  <c r="X779" i="4"/>
  <c r="AA779" i="4" s="1"/>
  <c r="X341" i="4"/>
  <c r="AA341" i="4" s="1"/>
  <c r="X248" i="4"/>
  <c r="AA248" i="4" s="1"/>
  <c r="X170" i="4"/>
  <c r="AA170" i="4" s="1"/>
  <c r="X114" i="4"/>
  <c r="AA114" i="4" s="1"/>
  <c r="X82" i="4"/>
  <c r="AA82" i="4" s="1"/>
  <c r="X1485" i="4"/>
  <c r="AA1485" i="4" s="1"/>
  <c r="X1336" i="4"/>
  <c r="X975" i="4"/>
  <c r="AA975" i="4" s="1"/>
  <c r="X744" i="4"/>
  <c r="AA744" i="4" s="1"/>
  <c r="X711" i="4"/>
  <c r="AA711" i="4" s="1"/>
  <c r="X370" i="4"/>
  <c r="AA370" i="4" s="1"/>
  <c r="X199" i="4"/>
  <c r="AA199" i="4" s="1"/>
  <c r="X11" i="4"/>
  <c r="AA11" i="4" s="1"/>
  <c r="X21" i="4"/>
  <c r="AA21" i="4" s="1"/>
  <c r="X33" i="4"/>
  <c r="AA33" i="4" s="1"/>
  <c r="X73" i="4"/>
  <c r="AA73" i="4" s="1"/>
  <c r="X76" i="4"/>
  <c r="AA76" i="4" s="1"/>
  <c r="X141" i="4"/>
  <c r="AA141" i="4" s="1"/>
  <c r="X169" i="4"/>
  <c r="AA169" i="4" s="1"/>
  <c r="X193" i="4"/>
  <c r="AA193" i="4" s="1"/>
  <c r="X243" i="4"/>
  <c r="AA243" i="4" s="1"/>
  <c r="X247" i="4"/>
  <c r="AA247" i="4" s="1"/>
  <c r="X293" i="4"/>
  <c r="AA293" i="4" s="1"/>
  <c r="X311" i="4"/>
  <c r="AA311" i="4" s="1"/>
  <c r="X348" i="4"/>
  <c r="AA348" i="4" s="1"/>
  <c r="X431" i="4"/>
  <c r="AA431" i="4" s="1"/>
  <c r="X495" i="4"/>
  <c r="AA495" i="4" s="1"/>
  <c r="X535" i="4"/>
  <c r="AA535" i="4" s="1"/>
  <c r="X610" i="4"/>
  <c r="AA610" i="4" s="1"/>
  <c r="X613" i="4"/>
  <c r="AA613" i="4" s="1"/>
  <c r="X692" i="4"/>
  <c r="AA692" i="4" s="1"/>
  <c r="X823" i="4"/>
  <c r="AA823" i="4" s="1"/>
  <c r="X869" i="4"/>
  <c r="AA869" i="4" s="1"/>
  <c r="X1108" i="4"/>
  <c r="AA1108" i="4" s="1"/>
  <c r="X1431" i="4"/>
  <c r="AA1431" i="4" s="1"/>
  <c r="X25" i="4"/>
  <c r="AA25" i="4" s="1"/>
  <c r="X37" i="4"/>
  <c r="AA37" i="4" s="1"/>
  <c r="X93" i="4"/>
  <c r="AA93" i="4" s="1"/>
  <c r="X100" i="4"/>
  <c r="X116" i="4"/>
  <c r="AA116" i="4" s="1"/>
  <c r="X132" i="4"/>
  <c r="AA132" i="4" s="1"/>
  <c r="X164" i="4"/>
  <c r="AA164" i="4" s="1"/>
  <c r="X173" i="4"/>
  <c r="AA173" i="4" s="1"/>
  <c r="X251" i="4"/>
  <c r="AA251" i="4" s="1"/>
  <c r="X388" i="4"/>
  <c r="AA388" i="4" s="1"/>
  <c r="X412" i="4"/>
  <c r="X482" i="4"/>
  <c r="AA482" i="4" s="1"/>
  <c r="X525" i="4"/>
  <c r="X557" i="4"/>
  <c r="AA557" i="4" s="1"/>
  <c r="X560" i="4"/>
  <c r="AA560" i="4" s="1"/>
  <c r="X766" i="4"/>
  <c r="AA766" i="4" s="1"/>
  <c r="X855" i="4"/>
  <c r="AA855" i="4" s="1"/>
  <c r="X904" i="4"/>
  <c r="AA904" i="4" s="1"/>
  <c r="X1223" i="4"/>
  <c r="X9" i="4"/>
  <c r="AA9" i="4" s="1"/>
  <c r="X12" i="4"/>
  <c r="AA12" i="4" s="1"/>
  <c r="X28" i="4"/>
  <c r="AA28" i="4" s="1"/>
  <c r="X113" i="4"/>
  <c r="AA113" i="4" s="1"/>
  <c r="X145" i="4"/>
  <c r="AA145" i="4" s="1"/>
  <c r="X185" i="4"/>
  <c r="AA185" i="4" s="1"/>
  <c r="X188" i="4"/>
  <c r="AA188" i="4" s="1"/>
  <c r="X223" i="4"/>
  <c r="AA223" i="4" s="1"/>
  <c r="X255" i="4"/>
  <c r="AA255" i="4" s="1"/>
  <c r="X303" i="4"/>
  <c r="AA303" i="4" s="1"/>
  <c r="X375" i="4"/>
  <c r="AA375" i="4" s="1"/>
  <c r="X399" i="4"/>
  <c r="AA399" i="4" s="1"/>
  <c r="X442" i="4"/>
  <c r="AA442" i="4" s="1"/>
  <c r="X519" i="4"/>
  <c r="AA519" i="4" s="1"/>
  <c r="X522" i="4"/>
  <c r="AA522" i="4" s="1"/>
  <c r="X710" i="4"/>
  <c r="X801" i="4"/>
  <c r="AA801" i="4" s="1"/>
  <c r="X853" i="4"/>
  <c r="AA853" i="4" s="1"/>
  <c r="X1225" i="4"/>
  <c r="X1253" i="4"/>
  <c r="AA1253" i="4" s="1"/>
  <c r="Y1385" i="4"/>
  <c r="Y99" i="4"/>
  <c r="Y19" i="4"/>
  <c r="Y289" i="4"/>
  <c r="X959" i="4"/>
  <c r="X41" i="4"/>
  <c r="AA41" i="4" s="1"/>
  <c r="X65" i="4"/>
  <c r="AA65" i="4" s="1"/>
  <c r="X97" i="4"/>
  <c r="AA97" i="4" s="1"/>
  <c r="X316" i="4"/>
  <c r="AA316" i="4" s="1"/>
  <c r="X372" i="4"/>
  <c r="AA372" i="4" s="1"/>
  <c r="X439" i="4"/>
  <c r="AA439" i="4" s="1"/>
  <c r="X637" i="4"/>
  <c r="AA637" i="4" s="1"/>
  <c r="X675" i="4"/>
  <c r="AA675" i="4" s="1"/>
  <c r="Y710" i="4"/>
  <c r="X1069" i="4"/>
  <c r="AA1069" i="4" s="1"/>
  <c r="X1490" i="4"/>
  <c r="AA1490" i="4" s="1"/>
  <c r="X1509" i="4"/>
  <c r="AA1509" i="4" s="1"/>
  <c r="X1495" i="4"/>
  <c r="AA1495" i="4" s="1"/>
  <c r="X1480" i="4"/>
  <c r="AA1480" i="4" s="1"/>
  <c r="X1473" i="4"/>
  <c r="AA1473" i="4" s="1"/>
  <c r="X1468" i="4"/>
  <c r="X1445" i="4"/>
  <c r="AA1445" i="4" s="1"/>
  <c r="X1437" i="4"/>
  <c r="AA1437" i="4" s="1"/>
  <c r="X1429" i="4"/>
  <c r="AA1429" i="4" s="1"/>
  <c r="X1400" i="4"/>
  <c r="AA1400" i="4" s="1"/>
  <c r="X1392" i="4"/>
  <c r="AA1392" i="4" s="1"/>
  <c r="X1385" i="4"/>
  <c r="X1337" i="4"/>
  <c r="AA1337" i="4" s="1"/>
  <c r="X1289" i="4"/>
  <c r="X1281" i="4"/>
  <c r="AA1281" i="4" s="1"/>
  <c r="X1273" i="4"/>
  <c r="AA1273" i="4" s="1"/>
  <c r="X1265" i="4"/>
  <c r="AA1265" i="4" s="1"/>
  <c r="X1257" i="4"/>
  <c r="AA1257" i="4" s="1"/>
  <c r="X1217" i="4"/>
  <c r="AA1217" i="4" s="1"/>
  <c r="X1169" i="4"/>
  <c r="AA1169" i="4" s="1"/>
  <c r="X1153" i="4"/>
  <c r="AA1153" i="4" s="1"/>
  <c r="X1145" i="4"/>
  <c r="X1129" i="4"/>
  <c r="AA1129" i="4" s="1"/>
  <c r="X1121" i="4"/>
  <c r="AA1121" i="4" s="1"/>
  <c r="X1113" i="4"/>
  <c r="AA1113" i="4" s="1"/>
  <c r="X1050" i="4"/>
  <c r="AA1050" i="4" s="1"/>
  <c r="X1492" i="4"/>
  <c r="AA1492" i="4" s="1"/>
  <c r="X1484" i="4"/>
  <c r="AA1484" i="4" s="1"/>
  <c r="X1420" i="4"/>
  <c r="AA1420" i="4" s="1"/>
  <c r="X1397" i="4"/>
  <c r="AA1397" i="4" s="1"/>
  <c r="X1389" i="4"/>
  <c r="AA1389" i="4" s="1"/>
  <c r="X1382" i="4"/>
  <c r="AA1382" i="4" s="1"/>
  <c r="X1374" i="4"/>
  <c r="AA1374" i="4" s="1"/>
  <c r="X1358" i="4"/>
  <c r="AA1358" i="4" s="1"/>
  <c r="X1350" i="4"/>
  <c r="AA1350" i="4" s="1"/>
  <c r="X1318" i="4"/>
  <c r="AA1318" i="4" s="1"/>
  <c r="X1302" i="4"/>
  <c r="AA1302" i="4" s="1"/>
  <c r="X1270" i="4"/>
  <c r="AA1270" i="4" s="1"/>
  <c r="X1198" i="4"/>
  <c r="AA1198" i="4" s="1"/>
  <c r="X1182" i="4"/>
  <c r="AA1182" i="4" s="1"/>
  <c r="X1174" i="4"/>
  <c r="AA1174" i="4" s="1"/>
  <c r="X1158" i="4"/>
  <c r="AA1158" i="4" s="1"/>
  <c r="X1150" i="4"/>
  <c r="AA1150" i="4" s="1"/>
  <c r="X1134" i="4"/>
  <c r="AA1134" i="4" s="1"/>
  <c r="X1126" i="4"/>
  <c r="AA1126" i="4" s="1"/>
  <c r="X1102" i="4"/>
  <c r="AA1102" i="4" s="1"/>
  <c r="X1087" i="4"/>
  <c r="AA1087" i="4" s="1"/>
  <c r="X1071" i="4"/>
  <c r="AA1071" i="4" s="1"/>
  <c r="X1063" i="4"/>
  <c r="AA1063" i="4" s="1"/>
  <c r="X1039" i="4"/>
  <c r="AA1039" i="4" s="1"/>
  <c r="X1031" i="4"/>
  <c r="AA1031" i="4" s="1"/>
  <c r="X1008" i="4"/>
  <c r="AA1008" i="4" s="1"/>
  <c r="X1000" i="4"/>
  <c r="AA1000" i="4" s="1"/>
  <c r="X985" i="4"/>
  <c r="AA985" i="4" s="1"/>
  <c r="X946" i="4"/>
  <c r="AA946" i="4" s="1"/>
  <c r="X938" i="4"/>
  <c r="AA938" i="4" s="1"/>
  <c r="X930" i="4"/>
  <c r="AA930" i="4" s="1"/>
  <c r="X922" i="4"/>
  <c r="AA922" i="4" s="1"/>
  <c r="X914" i="4"/>
  <c r="X906" i="4"/>
  <c r="AA906" i="4" s="1"/>
  <c r="X874" i="4"/>
  <c r="AA874" i="4" s="1"/>
  <c r="X866" i="4"/>
  <c r="AA866" i="4" s="1"/>
  <c r="X851" i="4"/>
  <c r="AA851" i="4" s="1"/>
  <c r="X843" i="4"/>
  <c r="AA843" i="4" s="1"/>
  <c r="X836" i="4"/>
  <c r="AA836" i="4" s="1"/>
  <c r="X828" i="4"/>
  <c r="AA828" i="4" s="1"/>
  <c r="X820" i="4"/>
  <c r="X812" i="4"/>
  <c r="AA812" i="4" s="1"/>
  <c r="X796" i="4"/>
  <c r="AA796" i="4" s="1"/>
  <c r="X780" i="4"/>
  <c r="AA780" i="4" s="1"/>
  <c r="X764" i="4"/>
  <c r="AA764" i="4" s="1"/>
  <c r="X748" i="4"/>
  <c r="AA748" i="4" s="1"/>
  <c r="X732" i="4"/>
  <c r="AA732" i="4" s="1"/>
  <c r="X724" i="4"/>
  <c r="AA724" i="4" s="1"/>
  <c r="X701" i="4"/>
  <c r="X662" i="4"/>
  <c r="AA662" i="4" s="1"/>
  <c r="X655" i="4"/>
  <c r="AA655" i="4" s="1"/>
  <c r="X647" i="4"/>
  <c r="X631" i="4"/>
  <c r="AA631" i="4" s="1"/>
  <c r="X1527" i="4"/>
  <c r="AA1527" i="4" s="1"/>
  <c r="X1511" i="4"/>
  <c r="AA1511" i="4" s="1"/>
  <c r="X1504" i="4"/>
  <c r="AA1504" i="4" s="1"/>
  <c r="X1497" i="4"/>
  <c r="AA1497" i="4" s="1"/>
  <c r="X1489" i="4"/>
  <c r="AA1489" i="4" s="1"/>
  <c r="X1494" i="4"/>
  <c r="AA1494" i="4" s="1"/>
  <c r="X1521" i="4"/>
  <c r="AA1521" i="4" s="1"/>
  <c r="X1526" i="4"/>
  <c r="AA1526" i="4" s="1"/>
  <c r="X1510" i="4"/>
  <c r="AA1510" i="4" s="1"/>
  <c r="X1503" i="4"/>
  <c r="AA1503" i="4" s="1"/>
  <c r="X1496" i="4"/>
  <c r="AA1496" i="4" s="1"/>
  <c r="X1488" i="4"/>
  <c r="X1500" i="4"/>
  <c r="AA1500" i="4" s="1"/>
  <c r="X1472" i="4"/>
  <c r="AA1472" i="4" s="1"/>
  <c r="X1459" i="4"/>
  <c r="AA1459" i="4" s="1"/>
  <c r="X1426" i="4"/>
  <c r="AA1426" i="4" s="1"/>
  <c r="X1416" i="4"/>
  <c r="AA1416" i="4" s="1"/>
  <c r="X1406" i="4"/>
  <c r="AA1406" i="4" s="1"/>
  <c r="X1279" i="4"/>
  <c r="AA1279" i="4" s="1"/>
  <c r="X1256" i="4"/>
  <c r="AA1256" i="4" s="1"/>
  <c r="X1242" i="4"/>
  <c r="AA1242" i="4" s="1"/>
  <c r="X1178" i="4"/>
  <c r="AA1178" i="4" s="1"/>
  <c r="X1147" i="4"/>
  <c r="AA1147" i="4" s="1"/>
  <c r="X1144" i="4"/>
  <c r="AA1144" i="4" s="1"/>
  <c r="X1133" i="4"/>
  <c r="AA1133" i="4" s="1"/>
  <c r="X1116" i="4"/>
  <c r="AA1116" i="4" s="1"/>
  <c r="X1060" i="4"/>
  <c r="AA1060" i="4" s="1"/>
  <c r="X1052" i="4"/>
  <c r="X1041" i="4"/>
  <c r="AA1041" i="4" s="1"/>
  <c r="X1481" i="4"/>
  <c r="AA1481" i="4" s="1"/>
  <c r="X1479" i="4"/>
  <c r="AA1479" i="4" s="1"/>
  <c r="X1469" i="4"/>
  <c r="AA1469" i="4" s="1"/>
  <c r="X1466" i="4"/>
  <c r="AA1466" i="4" s="1"/>
  <c r="X1463" i="4"/>
  <c r="AA1463" i="4" s="1"/>
  <c r="X1456" i="4"/>
  <c r="AA1456" i="4" s="1"/>
  <c r="X1439" i="4"/>
  <c r="AA1439" i="4" s="1"/>
  <c r="X1436" i="4"/>
  <c r="AA1436" i="4" s="1"/>
  <c r="X1433" i="4"/>
  <c r="AA1433" i="4" s="1"/>
  <c r="X1423" i="4"/>
  <c r="AA1423" i="4" s="1"/>
  <c r="X1413" i="4"/>
  <c r="AA1413" i="4" s="1"/>
  <c r="X1403" i="4"/>
  <c r="AA1403" i="4" s="1"/>
  <c r="X1378" i="4"/>
  <c r="AA1378" i="4" s="1"/>
  <c r="X1364" i="4"/>
  <c r="AA1364" i="4" s="1"/>
  <c r="X1338" i="4"/>
  <c r="AA1338" i="4" s="1"/>
  <c r="X1335" i="4"/>
  <c r="AA1335" i="4" s="1"/>
  <c r="X1309" i="4"/>
  <c r="AA1309" i="4" s="1"/>
  <c r="X1290" i="4"/>
  <c r="AA1290" i="4" s="1"/>
  <c r="X1287" i="4"/>
  <c r="AA1287" i="4" s="1"/>
  <c r="X1250" i="4"/>
  <c r="AA1250" i="4" s="1"/>
  <c r="X1239" i="4"/>
  <c r="AA1239" i="4" s="1"/>
  <c r="X1189" i="4"/>
  <c r="AA1189" i="4" s="1"/>
  <c r="X1175" i="4"/>
  <c r="AA1175" i="4" s="1"/>
  <c r="X1172" i="4"/>
  <c r="AA1172" i="4" s="1"/>
  <c r="X1141" i="4"/>
  <c r="AA1141" i="4" s="1"/>
  <c r="X1124" i="4"/>
  <c r="AA1124" i="4" s="1"/>
  <c r="X1057" i="4"/>
  <c r="AA1057" i="4" s="1"/>
  <c r="X1046" i="4"/>
  <c r="X1035" i="4"/>
  <c r="AA1035" i="4" s="1"/>
  <c r="X1024" i="4"/>
  <c r="AA1024" i="4" s="1"/>
  <c r="X1009" i="4"/>
  <c r="AA1009" i="4" s="1"/>
  <c r="X1006" i="4"/>
  <c r="AA1006" i="4" s="1"/>
  <c r="X988" i="4"/>
  <c r="AA988" i="4" s="1"/>
  <c r="X951" i="4"/>
  <c r="AA951" i="4" s="1"/>
  <c r="X940" i="4"/>
  <c r="AA940" i="4" s="1"/>
  <c r="X926" i="4"/>
  <c r="AA926" i="4" s="1"/>
  <c r="X879" i="4"/>
  <c r="X868" i="4"/>
  <c r="AA868" i="4" s="1"/>
  <c r="X865" i="4"/>
  <c r="X854" i="4"/>
  <c r="AA854" i="4" s="1"/>
  <c r="X844" i="4"/>
  <c r="AA844" i="4" s="1"/>
  <c r="X841" i="4"/>
  <c r="AA841" i="4" s="1"/>
  <c r="X831" i="4"/>
  <c r="AA831" i="4" s="1"/>
  <c r="X806" i="4"/>
  <c r="AA806" i="4" s="1"/>
  <c r="X798" i="4"/>
  <c r="AA798" i="4" s="1"/>
  <c r="X795" i="4"/>
  <c r="AA795" i="4" s="1"/>
  <c r="X787" i="4"/>
  <c r="AA787" i="4" s="1"/>
  <c r="X765" i="4"/>
  <c r="AA765" i="4" s="1"/>
  <c r="X743" i="4"/>
  <c r="AA743" i="4" s="1"/>
  <c r="X721" i="4"/>
  <c r="AA721" i="4" s="1"/>
  <c r="X708" i="4"/>
  <c r="AA708" i="4" s="1"/>
  <c r="X697" i="4"/>
  <c r="AA697" i="4" s="1"/>
  <c r="X689" i="4"/>
  <c r="AA689" i="4" s="1"/>
  <c r="X674" i="4"/>
  <c r="AA674" i="4" s="1"/>
  <c r="X666" i="4"/>
  <c r="AA666" i="4" s="1"/>
  <c r="X653" i="4"/>
  <c r="AA653" i="4" s="1"/>
  <c r="X642" i="4"/>
  <c r="AA642" i="4" s="1"/>
  <c r="X628" i="4"/>
  <c r="AA628" i="4" s="1"/>
  <c r="X602" i="4"/>
  <c r="AA602" i="4" s="1"/>
  <c r="X591" i="4"/>
  <c r="AA591" i="4" s="1"/>
  <c r="X583" i="4"/>
  <c r="X1476" i="4"/>
  <c r="AA1476" i="4" s="1"/>
  <c r="X1430" i="4"/>
  <c r="AA1430" i="4" s="1"/>
  <c r="X1421" i="4"/>
  <c r="AA1421" i="4" s="1"/>
  <c r="X1391" i="4"/>
  <c r="AA1391" i="4" s="1"/>
  <c r="X1375" i="4"/>
  <c r="AA1375" i="4" s="1"/>
  <c r="X1355" i="4"/>
  <c r="AA1355" i="4" s="1"/>
  <c r="X1284" i="4"/>
  <c r="AA1284" i="4" s="1"/>
  <c r="X1261" i="4"/>
  <c r="AA1261" i="4" s="1"/>
  <c r="X1244" i="4"/>
  <c r="AA1244" i="4" s="1"/>
  <c r="X1236" i="4"/>
  <c r="X1200" i="4"/>
  <c r="AA1200" i="4" s="1"/>
  <c r="X1197" i="4"/>
  <c r="AA1197" i="4" s="1"/>
  <c r="X1183" i="4"/>
  <c r="AA1183" i="4" s="1"/>
  <c r="X1180" i="4"/>
  <c r="AA1180" i="4" s="1"/>
  <c r="X1155" i="4"/>
  <c r="AA1155" i="4" s="1"/>
  <c r="X1152" i="4"/>
  <c r="AA1152" i="4" s="1"/>
  <c r="X1098" i="4"/>
  <c r="AA1098" i="4" s="1"/>
  <c r="X1090" i="4"/>
  <c r="X1068" i="4"/>
  <c r="AA1068" i="4" s="1"/>
  <c r="X1065" i="4"/>
  <c r="AA1065" i="4" s="1"/>
  <c r="X1043" i="4"/>
  <c r="AA1043" i="4" s="1"/>
  <c r="X1029" i="4"/>
  <c r="AA1029" i="4" s="1"/>
  <c r="X1021" i="4"/>
  <c r="AA1021" i="4" s="1"/>
  <c r="X1003" i="4"/>
  <c r="X982" i="4"/>
  <c r="AA982" i="4" s="1"/>
  <c r="X974" i="4"/>
  <c r="AA974" i="4" s="1"/>
  <c r="X966" i="4"/>
  <c r="AA966" i="4" s="1"/>
  <c r="X958" i="4"/>
  <c r="AA958" i="4" s="1"/>
  <c r="X948" i="4"/>
  <c r="AA948" i="4" s="1"/>
  <c r="X945" i="4"/>
  <c r="AA945" i="4" s="1"/>
  <c r="X934" i="4"/>
  <c r="AA934" i="4" s="1"/>
  <c r="X923" i="4"/>
  <c r="AA923" i="4" s="1"/>
  <c r="X920" i="4"/>
  <c r="AA920" i="4" s="1"/>
  <c r="X909" i="4"/>
  <c r="AA909" i="4" s="1"/>
  <c r="X887" i="4"/>
  <c r="AA887" i="4" s="1"/>
  <c r="X873" i="4"/>
  <c r="AA873" i="4" s="1"/>
  <c r="X852" i="4"/>
  <c r="AA852" i="4" s="1"/>
  <c r="X849" i="4"/>
  <c r="AA849" i="4" s="1"/>
  <c r="X838" i="4"/>
  <c r="AA838" i="4" s="1"/>
  <c r="X825" i="4"/>
  <c r="AA825" i="4" s="1"/>
  <c r="X814" i="4"/>
  <c r="AA814" i="4" s="1"/>
  <c r="X811" i="4"/>
  <c r="AA811" i="4" s="1"/>
  <c r="X792" i="4"/>
  <c r="AA792" i="4" s="1"/>
  <c r="X784" i="4"/>
  <c r="AA784" i="4" s="1"/>
  <c r="X770" i="4"/>
  <c r="AA770" i="4" s="1"/>
  <c r="X759" i="4"/>
  <c r="AA759" i="4" s="1"/>
  <c r="X729" i="4"/>
  <c r="AA729" i="4" s="1"/>
  <c r="X718" i="4"/>
  <c r="AA718" i="4" s="1"/>
  <c r="X715" i="4"/>
  <c r="AA715" i="4" s="1"/>
  <c r="X705" i="4"/>
  <c r="X694" i="4"/>
  <c r="X671" i="4"/>
  <c r="AA671" i="4" s="1"/>
  <c r="X660" i="4"/>
  <c r="AA660" i="4" s="1"/>
  <c r="X650" i="4"/>
  <c r="AA650" i="4" s="1"/>
  <c r="X625" i="4"/>
  <c r="AA625" i="4" s="1"/>
  <c r="X617" i="4"/>
  <c r="AA617" i="4" s="1"/>
  <c r="X607" i="4"/>
  <c r="AA607" i="4" s="1"/>
  <c r="X588" i="4"/>
  <c r="AA588" i="4" s="1"/>
  <c r="X572" i="4"/>
  <c r="AA572" i="4" s="1"/>
  <c r="X556" i="4"/>
  <c r="AA556" i="4" s="1"/>
  <c r="X548" i="4"/>
  <c r="AA548" i="4" s="1"/>
  <c r="X540" i="4"/>
  <c r="AA540" i="4" s="1"/>
  <c r="X532" i="4"/>
  <c r="AA532" i="4" s="1"/>
  <c r="X524" i="4"/>
  <c r="AA524" i="4" s="1"/>
  <c r="X516" i="4"/>
  <c r="AA516" i="4" s="1"/>
  <c r="X508" i="4"/>
  <c r="AA508" i="4" s="1"/>
  <c r="X500" i="4"/>
  <c r="AA500" i="4" s="1"/>
  <c r="X492" i="4"/>
  <c r="AA492" i="4" s="1"/>
  <c r="X484" i="4"/>
  <c r="AA484" i="4" s="1"/>
  <c r="X477" i="4"/>
  <c r="AA477" i="4" s="1"/>
  <c r="X463" i="4"/>
  <c r="AA463" i="4" s="1"/>
  <c r="X1486" i="4"/>
  <c r="AA1486" i="4" s="1"/>
  <c r="X1483" i="4"/>
  <c r="AA1483" i="4" s="1"/>
  <c r="X1471" i="4"/>
  <c r="AA1471" i="4" s="1"/>
  <c r="X1441" i="4"/>
  <c r="AA1441" i="4" s="1"/>
  <c r="X1425" i="4"/>
  <c r="AA1425" i="4" s="1"/>
  <c r="X1383" i="4"/>
  <c r="X1380" i="4"/>
  <c r="AA1380" i="4" s="1"/>
  <c r="X1340" i="4"/>
  <c r="AA1340" i="4" s="1"/>
  <c r="X1320" i="4"/>
  <c r="AA1320" i="4" s="1"/>
  <c r="X1317" i="4"/>
  <c r="AA1317" i="4" s="1"/>
  <c r="X1258" i="4"/>
  <c r="AA1258" i="4" s="1"/>
  <c r="X1216" i="4"/>
  <c r="AA1216" i="4" s="1"/>
  <c r="X1208" i="4"/>
  <c r="AA1208" i="4" s="1"/>
  <c r="X1163" i="4"/>
  <c r="AA1163" i="4" s="1"/>
  <c r="X1146" i="4"/>
  <c r="AA1146" i="4" s="1"/>
  <c r="X1143" i="4"/>
  <c r="AA1143" i="4" s="1"/>
  <c r="X1095" i="4"/>
  <c r="AA1095" i="4" s="1"/>
  <c r="X1088" i="4"/>
  <c r="AA1088" i="4" s="1"/>
  <c r="X1059" i="4"/>
  <c r="AA1059" i="4" s="1"/>
  <c r="X1051" i="4"/>
  <c r="AA1051" i="4" s="1"/>
  <c r="X1026" i="4"/>
  <c r="AA1026" i="4" s="1"/>
  <c r="X1018" i="4"/>
  <c r="X1011" i="4"/>
  <c r="AA1011" i="4" s="1"/>
  <c r="X979" i="4"/>
  <c r="AA979" i="4" s="1"/>
  <c r="X963" i="4"/>
  <c r="AA963" i="4" s="1"/>
  <c r="X955" i="4"/>
  <c r="AA955" i="4" s="1"/>
  <c r="X953" i="4"/>
  <c r="AA953" i="4" s="1"/>
  <c r="X942" i="4"/>
  <c r="AA942" i="4" s="1"/>
  <c r="X931" i="4"/>
  <c r="X928" i="4"/>
  <c r="AA928" i="4" s="1"/>
  <c r="X895" i="4"/>
  <c r="AA895" i="4" s="1"/>
  <c r="X884" i="4"/>
  <c r="AA884" i="4" s="1"/>
  <c r="X859" i="4"/>
  <c r="AA859" i="4" s="1"/>
  <c r="X856" i="4"/>
  <c r="AA856" i="4" s="1"/>
  <c r="X846" i="4"/>
  <c r="X822" i="4"/>
  <c r="AA822" i="4" s="1"/>
  <c r="X789" i="4"/>
  <c r="X781" i="4"/>
  <c r="AA781" i="4" s="1"/>
  <c r="X778" i="4"/>
  <c r="AA778" i="4" s="1"/>
  <c r="X745" i="4"/>
  <c r="AA745" i="4" s="1"/>
  <c r="X726" i="4"/>
  <c r="AA726" i="4" s="1"/>
  <c r="X723" i="4"/>
  <c r="AA723" i="4" s="1"/>
  <c r="X691" i="4"/>
  <c r="AA691" i="4" s="1"/>
  <c r="X683" i="4"/>
  <c r="AA683" i="4" s="1"/>
  <c r="X668" i="4"/>
  <c r="AA668" i="4" s="1"/>
  <c r="X657" i="4"/>
  <c r="AA657" i="4" s="1"/>
  <c r="X644" i="4"/>
  <c r="AA644" i="4" s="1"/>
  <c r="X630" i="4"/>
  <c r="AA630" i="4" s="1"/>
  <c r="X622" i="4"/>
  <c r="AA622" i="4" s="1"/>
  <c r="X614" i="4"/>
  <c r="AA614" i="4" s="1"/>
  <c r="X604" i="4"/>
  <c r="AA604" i="4" s="1"/>
  <c r="X596" i="4"/>
  <c r="X585" i="4"/>
  <c r="AA585" i="4" s="1"/>
  <c r="X561" i="4"/>
  <c r="AA561" i="4" s="1"/>
  <c r="X553" i="4"/>
  <c r="AA553" i="4" s="1"/>
  <c r="X545" i="4"/>
  <c r="AA545" i="4" s="1"/>
  <c r="X537" i="4"/>
  <c r="AA537" i="4" s="1"/>
  <c r="X529" i="4"/>
  <c r="AA529" i="4" s="1"/>
  <c r="X513" i="4"/>
  <c r="AA513" i="4" s="1"/>
  <c r="X489" i="4"/>
  <c r="AA489" i="4" s="1"/>
  <c r="X481" i="4"/>
  <c r="AA481" i="4" s="1"/>
  <c r="X474" i="4"/>
  <c r="AA474" i="4" s="1"/>
  <c r="X1455" i="4"/>
  <c r="AA1455" i="4" s="1"/>
  <c r="X1435" i="4"/>
  <c r="AA1435" i="4" s="1"/>
  <c r="X1432" i="4"/>
  <c r="AA1432" i="4" s="1"/>
  <c r="X1410" i="4"/>
  <c r="AA1410" i="4" s="1"/>
  <c r="X1360" i="4"/>
  <c r="AA1360" i="4" s="1"/>
  <c r="X1357" i="4"/>
  <c r="AA1357" i="4" s="1"/>
  <c r="X1331" i="4"/>
  <c r="AA1331" i="4" s="1"/>
  <c r="X1272" i="4"/>
  <c r="AA1272" i="4" s="1"/>
  <c r="X1269" i="4"/>
  <c r="AA1269" i="4" s="1"/>
  <c r="X1227" i="4"/>
  <c r="AA1227" i="4" s="1"/>
  <c r="X1213" i="4"/>
  <c r="AA1213" i="4" s="1"/>
  <c r="X1171" i="4"/>
  <c r="AA1171" i="4" s="1"/>
  <c r="X1168" i="4"/>
  <c r="AA1168" i="4" s="1"/>
  <c r="X1157" i="4"/>
  <c r="AA1157" i="4" s="1"/>
  <c r="X1140" i="4"/>
  <c r="AA1140" i="4" s="1"/>
  <c r="X1120" i="4"/>
  <c r="AA1120" i="4" s="1"/>
  <c r="X1106" i="4"/>
  <c r="AA1106" i="4" s="1"/>
  <c r="X1103" i="4"/>
  <c r="AA1103" i="4" s="1"/>
  <c r="X1073" i="4"/>
  <c r="AA1073" i="4" s="1"/>
  <c r="X1045" i="4"/>
  <c r="AA1045" i="4" s="1"/>
  <c r="X1034" i="4"/>
  <c r="AA1034" i="4" s="1"/>
  <c r="X1005" i="4"/>
  <c r="AA1005" i="4" s="1"/>
  <c r="X995" i="4"/>
  <c r="AA995" i="4" s="1"/>
  <c r="X987" i="4"/>
  <c r="AA987" i="4" s="1"/>
  <c r="X976" i="4"/>
  <c r="AA976" i="4" s="1"/>
  <c r="X960" i="4"/>
  <c r="AA960" i="4" s="1"/>
  <c r="X936" i="4"/>
  <c r="AA936" i="4" s="1"/>
  <c r="X911" i="4"/>
  <c r="AA911" i="4" s="1"/>
  <c r="X900" i="4"/>
  <c r="AA900" i="4" s="1"/>
  <c r="X892" i="4"/>
  <c r="AA892" i="4" s="1"/>
  <c r="X889" i="4"/>
  <c r="AA889" i="4" s="1"/>
  <c r="X867" i="4"/>
  <c r="AA867" i="4" s="1"/>
  <c r="X864" i="4"/>
  <c r="AA864" i="4" s="1"/>
  <c r="X830" i="4"/>
  <c r="AA830" i="4" s="1"/>
  <c r="X827" i="4"/>
  <c r="AA827" i="4" s="1"/>
  <c r="X805" i="4"/>
  <c r="AA805" i="4" s="1"/>
  <c r="X797" i="4"/>
  <c r="X794" i="4"/>
  <c r="AA794" i="4" s="1"/>
  <c r="X761" i="4"/>
  <c r="AA761" i="4" s="1"/>
  <c r="X734" i="4"/>
  <c r="AA734" i="4" s="1"/>
  <c r="X731" i="4"/>
  <c r="AA731" i="4" s="1"/>
  <c r="X720" i="4"/>
  <c r="AA720" i="4" s="1"/>
  <c r="X707" i="4"/>
  <c r="AA707" i="4" s="1"/>
  <c r="X696" i="4"/>
  <c r="AA696" i="4" s="1"/>
  <c r="X688" i="4"/>
  <c r="AA688" i="4" s="1"/>
  <c r="X665" i="4"/>
  <c r="AA665" i="4" s="1"/>
  <c r="X619" i="4"/>
  <c r="AA619" i="4" s="1"/>
  <c r="X611" i="4"/>
  <c r="AA611" i="4" s="1"/>
  <c r="X601" i="4"/>
  <c r="AA601" i="4" s="1"/>
  <c r="X590" i="4"/>
  <c r="AA590" i="4" s="1"/>
  <c r="X574" i="4"/>
  <c r="AA574" i="4" s="1"/>
  <c r="X558" i="4"/>
  <c r="AA558" i="4" s="1"/>
  <c r="X550" i="4"/>
  <c r="AA550" i="4" s="1"/>
  <c r="X542" i="4"/>
  <c r="AA542" i="4" s="1"/>
  <c r="X534" i="4"/>
  <c r="AA534" i="4" s="1"/>
  <c r="X510" i="4"/>
  <c r="AA510" i="4" s="1"/>
  <c r="X494" i="4"/>
  <c r="AA494" i="4" s="1"/>
  <c r="X486" i="4"/>
  <c r="AA486" i="4" s="1"/>
  <c r="X1443" i="4"/>
  <c r="AA1443" i="4" s="1"/>
  <c r="X1417" i="4"/>
  <c r="AA1417" i="4" s="1"/>
  <c r="X1407" i="4"/>
  <c r="AA1407" i="4" s="1"/>
  <c r="X1351" i="4"/>
  <c r="AA1351" i="4" s="1"/>
  <c r="X1348" i="4"/>
  <c r="AA1348" i="4" s="1"/>
  <c r="X1322" i="4"/>
  <c r="AA1322" i="4" s="1"/>
  <c r="X1283" i="4"/>
  <c r="AA1283" i="4" s="1"/>
  <c r="X1263" i="4"/>
  <c r="AA1263" i="4" s="1"/>
  <c r="X1260" i="4"/>
  <c r="AA1260" i="4" s="1"/>
  <c r="X1221" i="4"/>
  <c r="AA1221" i="4" s="1"/>
  <c r="X1199" i="4"/>
  <c r="AA1199" i="4" s="1"/>
  <c r="X1165" i="4"/>
  <c r="AA1165" i="4" s="1"/>
  <c r="X1154" i="4"/>
  <c r="AA1154" i="4" s="1"/>
  <c r="X1151" i="4"/>
  <c r="AA1151" i="4" s="1"/>
  <c r="X1148" i="4"/>
  <c r="AA1148" i="4" s="1"/>
  <c r="X1117" i="4"/>
  <c r="AA1117" i="4" s="1"/>
  <c r="X1061" i="4"/>
  <c r="AA1061" i="4" s="1"/>
  <c r="X1042" i="4"/>
  <c r="AA1042" i="4" s="1"/>
  <c r="X1028" i="4"/>
  <c r="AA1028" i="4" s="1"/>
  <c r="X1020" i="4"/>
  <c r="AA1020" i="4" s="1"/>
  <c r="X1012" i="4"/>
  <c r="AA1012" i="4" s="1"/>
  <c r="X1002" i="4"/>
  <c r="AA1002" i="4" s="1"/>
  <c r="X999" i="4"/>
  <c r="X992" i="4"/>
  <c r="AA992" i="4" s="1"/>
  <c r="X981" i="4"/>
  <c r="AA981" i="4" s="1"/>
  <c r="X973" i="4"/>
  <c r="AA973" i="4" s="1"/>
  <c r="X957" i="4"/>
  <c r="AA957" i="4" s="1"/>
  <c r="X947" i="4"/>
  <c r="AA947" i="4" s="1"/>
  <c r="X944" i="4"/>
  <c r="AA944" i="4" s="1"/>
  <c r="X933" i="4"/>
  <c r="AA933" i="4" s="1"/>
  <c r="X919" i="4"/>
  <c r="AA919" i="4" s="1"/>
  <c r="X905" i="4"/>
  <c r="AA905" i="4" s="1"/>
  <c r="X886" i="4"/>
  <c r="AA886" i="4" s="1"/>
  <c r="X848" i="4"/>
  <c r="AA848" i="4" s="1"/>
  <c r="X837" i="4"/>
  <c r="AA837" i="4" s="1"/>
  <c r="X835" i="4"/>
  <c r="AA835" i="4" s="1"/>
  <c r="X824" i="4"/>
  <c r="AA824" i="4" s="1"/>
  <c r="X813" i="4"/>
  <c r="AA813" i="4" s="1"/>
  <c r="X802" i="4"/>
  <c r="AA802" i="4" s="1"/>
  <c r="X791" i="4"/>
  <c r="AA791" i="4" s="1"/>
  <c r="X783" i="4"/>
  <c r="AA783" i="4" s="1"/>
  <c r="X758" i="4"/>
  <c r="AA758" i="4" s="1"/>
  <c r="X747" i="4"/>
  <c r="AA747" i="4" s="1"/>
  <c r="X717" i="4"/>
  <c r="AA717" i="4" s="1"/>
  <c r="X659" i="4"/>
  <c r="AA659" i="4" s="1"/>
  <c r="X646" i="4"/>
  <c r="AA646" i="4" s="1"/>
  <c r="X624" i="4"/>
  <c r="AA624" i="4" s="1"/>
  <c r="X609" i="4"/>
  <c r="AA609" i="4" s="1"/>
  <c r="X606" i="4"/>
  <c r="AA606" i="4" s="1"/>
  <c r="X598" i="4"/>
  <c r="AA598" i="4" s="1"/>
  <c r="X571" i="4"/>
  <c r="AA571" i="4" s="1"/>
  <c r="X563" i="4"/>
  <c r="AA563" i="4" s="1"/>
  <c r="X555" i="4"/>
  <c r="AA555" i="4" s="1"/>
  <c r="X539" i="4"/>
  <c r="AA539" i="4" s="1"/>
  <c r="X531" i="4"/>
  <c r="AA531" i="4" s="1"/>
  <c r="X523" i="4"/>
  <c r="AA523" i="4" s="1"/>
  <c r="X515" i="4"/>
  <c r="AA515" i="4" s="1"/>
  <c r="X507" i="4"/>
  <c r="AA507" i="4" s="1"/>
  <c r="X499" i="4"/>
  <c r="AA499" i="4" s="1"/>
  <c r="X491" i="4"/>
  <c r="AA491" i="4" s="1"/>
  <c r="X476" i="4"/>
  <c r="AA476" i="4" s="1"/>
  <c r="X462" i="4"/>
  <c r="AA462" i="4" s="1"/>
  <c r="X454" i="4"/>
  <c r="AA454" i="4" s="1"/>
  <c r="X446" i="4"/>
  <c r="AA446" i="4" s="1"/>
  <c r="X430" i="4"/>
  <c r="AA430" i="4" s="1"/>
  <c r="X1467" i="4"/>
  <c r="AA1467" i="4" s="1"/>
  <c r="X1404" i="4"/>
  <c r="AA1404" i="4" s="1"/>
  <c r="X1401" i="4"/>
  <c r="AA1401" i="4" s="1"/>
  <c r="X1167" i="4"/>
  <c r="AA1167" i="4" s="1"/>
  <c r="X1027" i="4"/>
  <c r="AA1027" i="4" s="1"/>
  <c r="X980" i="4"/>
  <c r="AA980" i="4" s="1"/>
  <c r="X964" i="4"/>
  <c r="X842" i="4"/>
  <c r="AA842" i="4" s="1"/>
  <c r="X807" i="4"/>
  <c r="AA807" i="4" s="1"/>
  <c r="X682" i="4"/>
  <c r="AA682" i="4" s="1"/>
  <c r="X677" i="4"/>
  <c r="AA677" i="4" s="1"/>
  <c r="X506" i="4"/>
  <c r="AA506" i="4" s="1"/>
  <c r="X473" i="4"/>
  <c r="AA473" i="4" s="1"/>
  <c r="X458" i="4"/>
  <c r="AA458" i="4" s="1"/>
  <c r="X447" i="4"/>
  <c r="AA447" i="4" s="1"/>
  <c r="X444" i="4"/>
  <c r="AA444" i="4" s="1"/>
  <c r="X436" i="4"/>
  <c r="AA436" i="4" s="1"/>
  <c r="X425" i="4"/>
  <c r="AA425" i="4" s="1"/>
  <c r="X417" i="4"/>
  <c r="AA417" i="4" s="1"/>
  <c r="X409" i="4"/>
  <c r="AA409" i="4" s="1"/>
  <c r="X401" i="4"/>
  <c r="AA401" i="4" s="1"/>
  <c r="X393" i="4"/>
  <c r="AA393" i="4" s="1"/>
  <c r="X369" i="4"/>
  <c r="AA369" i="4" s="1"/>
  <c r="X361" i="4"/>
  <c r="AA361" i="4" s="1"/>
  <c r="X353" i="4"/>
  <c r="AA353" i="4" s="1"/>
  <c r="X337" i="4"/>
  <c r="AA337" i="4" s="1"/>
  <c r="X329" i="4"/>
  <c r="AA329" i="4" s="1"/>
  <c r="X321" i="4"/>
  <c r="AA321" i="4" s="1"/>
  <c r="X313" i="4"/>
  <c r="AA313" i="4" s="1"/>
  <c r="X290" i="4"/>
  <c r="AA290" i="4" s="1"/>
  <c r="X276" i="4"/>
  <c r="AA276" i="4" s="1"/>
  <c r="X260" i="4"/>
  <c r="AA260" i="4" s="1"/>
  <c r="X244" i="4"/>
  <c r="AA244" i="4" s="1"/>
  <c r="X236" i="4"/>
  <c r="AA236" i="4" s="1"/>
  <c r="X220" i="4"/>
  <c r="AA220" i="4" s="1"/>
  <c r="X213" i="4"/>
  <c r="AA213" i="4" s="1"/>
  <c r="X198" i="4"/>
  <c r="AA198" i="4" s="1"/>
  <c r="X158" i="4"/>
  <c r="AA158" i="4" s="1"/>
  <c r="X142" i="4"/>
  <c r="AA142" i="4" s="1"/>
  <c r="X134" i="4"/>
  <c r="AA134" i="4" s="1"/>
  <c r="X126" i="4"/>
  <c r="AA126" i="4" s="1"/>
  <c r="X110" i="4"/>
  <c r="AA110" i="4" s="1"/>
  <c r="X102" i="4"/>
  <c r="AA102" i="4" s="1"/>
  <c r="X94" i="4"/>
  <c r="AA94" i="4" s="1"/>
  <c r="X86" i="4"/>
  <c r="AA86" i="4" s="1"/>
  <c r="X78" i="4"/>
  <c r="AA78" i="4" s="1"/>
  <c r="X70" i="4"/>
  <c r="AA70" i="4" s="1"/>
  <c r="X22" i="4"/>
  <c r="AA22" i="4" s="1"/>
  <c r="X14" i="4"/>
  <c r="AA14" i="4" s="1"/>
  <c r="X6" i="4"/>
  <c r="AA6" i="4" s="1"/>
  <c r="X1470" i="4"/>
  <c r="AA1470" i="4" s="1"/>
  <c r="X1424" i="4"/>
  <c r="AA1424" i="4" s="1"/>
  <c r="X1251" i="4"/>
  <c r="AA1251" i="4" s="1"/>
  <c r="X1248" i="4"/>
  <c r="AA1248" i="4" s="1"/>
  <c r="X1204" i="4"/>
  <c r="AA1204" i="4" s="1"/>
  <c r="X1170" i="4"/>
  <c r="AA1170" i="4" s="1"/>
  <c r="X1075" i="4"/>
  <c r="X1030" i="4"/>
  <c r="AA1030" i="4" s="1"/>
  <c r="X1014" i="4"/>
  <c r="AA1014" i="4" s="1"/>
  <c r="X998" i="4"/>
  <c r="AA998" i="4" s="1"/>
  <c r="X986" i="4"/>
  <c r="AA986" i="4" s="1"/>
  <c r="X983" i="4"/>
  <c r="AA983" i="4" s="1"/>
  <c r="X967" i="4"/>
  <c r="AA967" i="4" s="1"/>
  <c r="X941" i="4"/>
  <c r="AA941" i="4" s="1"/>
  <c r="X888" i="4"/>
  <c r="AA888" i="4" s="1"/>
  <c r="X871" i="4"/>
  <c r="AA871" i="4" s="1"/>
  <c r="X777" i="4"/>
  <c r="AA777" i="4" s="1"/>
  <c r="X771" i="4"/>
  <c r="AA771" i="4" s="1"/>
  <c r="X768" i="4"/>
  <c r="AA768" i="4" s="1"/>
  <c r="X749" i="4"/>
  <c r="AA749" i="4" s="1"/>
  <c r="X658" i="4"/>
  <c r="AA658" i="4" s="1"/>
  <c r="X643" i="4"/>
  <c r="AA643" i="4" s="1"/>
  <c r="X621" i="4"/>
  <c r="AA621" i="4" s="1"/>
  <c r="X618" i="4"/>
  <c r="AA618" i="4" s="1"/>
  <c r="X589" i="4"/>
  <c r="AA589" i="4" s="1"/>
  <c r="X586" i="4"/>
  <c r="AA586" i="4" s="1"/>
  <c r="X562" i="4"/>
  <c r="X512" i="4"/>
  <c r="AA512" i="4" s="1"/>
  <c r="X509" i="4"/>
  <c r="AA509" i="4" s="1"/>
  <c r="X455" i="4"/>
  <c r="AA455" i="4" s="1"/>
  <c r="X452" i="4"/>
  <c r="AA452" i="4" s="1"/>
  <c r="X441" i="4"/>
  <c r="AA441" i="4" s="1"/>
  <c r="X422" i="4"/>
  <c r="AA422" i="4" s="1"/>
  <c r="X414" i="4"/>
  <c r="AA414" i="4" s="1"/>
  <c r="X406" i="4"/>
  <c r="AA406" i="4" s="1"/>
  <c r="X398" i="4"/>
  <c r="AA398" i="4" s="1"/>
  <c r="X390" i="4"/>
  <c r="AA390" i="4" s="1"/>
  <c r="X374" i="4"/>
  <c r="AA374" i="4" s="1"/>
  <c r="X358" i="4"/>
  <c r="AA358" i="4" s="1"/>
  <c r="X334" i="4"/>
  <c r="AA334" i="4" s="1"/>
  <c r="X310" i="4"/>
  <c r="AA310" i="4" s="1"/>
  <c r="X295" i="4"/>
  <c r="AA295" i="4" s="1"/>
  <c r="X287" i="4"/>
  <c r="AA287" i="4" s="1"/>
  <c r="X281" i="4"/>
  <c r="AA281" i="4" s="1"/>
  <c r="X265" i="4"/>
  <c r="AA265" i="4" s="1"/>
  <c r="X257" i="4"/>
  <c r="AA257" i="4" s="1"/>
  <c r="X249" i="4"/>
  <c r="AA249" i="4" s="1"/>
  <c r="X241" i="4"/>
  <c r="AA241" i="4" s="1"/>
  <c r="X233" i="4"/>
  <c r="AA233" i="4" s="1"/>
  <c r="X217" i="4"/>
  <c r="AA217" i="4" s="1"/>
  <c r="X171" i="4"/>
  <c r="AA171" i="4" s="1"/>
  <c r="X163" i="4"/>
  <c r="AA163" i="4" s="1"/>
  <c r="X147" i="4"/>
  <c r="AA147" i="4" s="1"/>
  <c r="X139" i="4"/>
  <c r="AA139" i="4" s="1"/>
  <c r="X131" i="4"/>
  <c r="AA131" i="4" s="1"/>
  <c r="X115" i="4"/>
  <c r="AA115" i="4" s="1"/>
  <c r="X99" i="4"/>
  <c r="X91" i="4"/>
  <c r="AA91" i="4" s="1"/>
  <c r="X83" i="4"/>
  <c r="AA83" i="4" s="1"/>
  <c r="X59" i="4"/>
  <c r="AA59" i="4" s="1"/>
  <c r="X35" i="4"/>
  <c r="AA35" i="4" s="1"/>
  <c r="X19" i="4"/>
  <c r="X1454" i="4"/>
  <c r="AA1454" i="4" s="1"/>
  <c r="X1327" i="4"/>
  <c r="AA1327" i="4" s="1"/>
  <c r="X1307" i="4"/>
  <c r="AA1307" i="4" s="1"/>
  <c r="X1271" i="4"/>
  <c r="AA1271" i="4" s="1"/>
  <c r="X1173" i="4"/>
  <c r="AA1173" i="4" s="1"/>
  <c r="X989" i="4"/>
  <c r="AA989" i="4" s="1"/>
  <c r="X891" i="4"/>
  <c r="AA891" i="4" s="1"/>
  <c r="X857" i="4"/>
  <c r="AA857" i="4" s="1"/>
  <c r="X832" i="4"/>
  <c r="AA832" i="4" s="1"/>
  <c r="X793" i="4"/>
  <c r="AA793" i="4" s="1"/>
  <c r="X719" i="4"/>
  <c r="AA719" i="4" s="1"/>
  <c r="X700" i="4"/>
  <c r="AA700" i="4" s="1"/>
  <c r="X661" i="4"/>
  <c r="X605" i="4"/>
  <c r="AA605" i="4" s="1"/>
  <c r="X570" i="4"/>
  <c r="AA570" i="4" s="1"/>
  <c r="X549" i="4"/>
  <c r="AA549" i="4" s="1"/>
  <c r="X546" i="4"/>
  <c r="AA546" i="4" s="1"/>
  <c r="X543" i="4"/>
  <c r="AA543" i="4" s="1"/>
  <c r="X530" i="4"/>
  <c r="AA530" i="4" s="1"/>
  <c r="X527" i="4"/>
  <c r="AA527" i="4" s="1"/>
  <c r="X460" i="4"/>
  <c r="AA460" i="4" s="1"/>
  <c r="X427" i="4"/>
  <c r="AA427" i="4" s="1"/>
  <c r="X403" i="4"/>
  <c r="AA403" i="4" s="1"/>
  <c r="X395" i="4"/>
  <c r="AA395" i="4" s="1"/>
  <c r="X387" i="4"/>
  <c r="AA387" i="4" s="1"/>
  <c r="X371" i="4"/>
  <c r="AA371" i="4" s="1"/>
  <c r="X339" i="4"/>
  <c r="AA339" i="4" s="1"/>
  <c r="X323" i="4"/>
  <c r="AA323" i="4" s="1"/>
  <c r="X315" i="4"/>
  <c r="AA315" i="4" s="1"/>
  <c r="X292" i="4"/>
  <c r="AA292" i="4" s="1"/>
  <c r="X270" i="4"/>
  <c r="AA270" i="4" s="1"/>
  <c r="X262" i="4"/>
  <c r="AA262" i="4" s="1"/>
  <c r="X254" i="4"/>
  <c r="AA254" i="4" s="1"/>
  <c r="X246" i="4"/>
  <c r="X230" i="4"/>
  <c r="AA230" i="4" s="1"/>
  <c r="X222" i="4"/>
  <c r="X192" i="4"/>
  <c r="AA192" i="4" s="1"/>
  <c r="X184" i="4"/>
  <c r="AA184" i="4" s="1"/>
  <c r="X136" i="4"/>
  <c r="AA136" i="4" s="1"/>
  <c r="X112" i="4"/>
  <c r="AA112" i="4" s="1"/>
  <c r="X104" i="4"/>
  <c r="AA104" i="4" s="1"/>
  <c r="X96" i="4"/>
  <c r="AA96" i="4" s="1"/>
  <c r="X88" i="4"/>
  <c r="AA88" i="4" s="1"/>
  <c r="X80" i="4"/>
  <c r="AA80" i="4" s="1"/>
  <c r="X72" i="4"/>
  <c r="AA72" i="4" s="1"/>
  <c r="X48" i="4"/>
  <c r="AA48" i="4" s="1"/>
  <c r="X40" i="4"/>
  <c r="AA40" i="4" s="1"/>
  <c r="X16" i="4"/>
  <c r="AA16" i="4" s="1"/>
  <c r="X8" i="4"/>
  <c r="AA8" i="4" s="1"/>
  <c r="X1457" i="4"/>
  <c r="AA1457" i="4" s="1"/>
  <c r="X1316" i="4"/>
  <c r="X1274" i="4"/>
  <c r="X1232" i="4"/>
  <c r="AA1232" i="4" s="1"/>
  <c r="X1001" i="4"/>
  <c r="AA1001" i="4" s="1"/>
  <c r="X956" i="4"/>
  <c r="AA956" i="4" s="1"/>
  <c r="X924" i="4"/>
  <c r="AA924" i="4" s="1"/>
  <c r="X818" i="4"/>
  <c r="AA818" i="4" s="1"/>
  <c r="X722" i="4"/>
  <c r="X706" i="4"/>
  <c r="AA706" i="4" s="1"/>
  <c r="X684" i="4"/>
  <c r="AA684" i="4" s="1"/>
  <c r="X667" i="4"/>
  <c r="AA667" i="4" s="1"/>
  <c r="X595" i="4"/>
  <c r="AA595" i="4" s="1"/>
  <c r="X573" i="4"/>
  <c r="AA573" i="4" s="1"/>
  <c r="X536" i="4"/>
  <c r="AA536" i="4" s="1"/>
  <c r="X533" i="4"/>
  <c r="AA533" i="4" s="1"/>
  <c r="X493" i="4"/>
  <c r="AA493" i="4" s="1"/>
  <c r="X480" i="4"/>
  <c r="AA480" i="4" s="1"/>
  <c r="X475" i="4"/>
  <c r="X457" i="4"/>
  <c r="AA457" i="4" s="1"/>
  <c r="X443" i="4"/>
  <c r="AA443" i="4" s="1"/>
  <c r="X435" i="4"/>
  <c r="AA435" i="4" s="1"/>
  <c r="X416" i="4"/>
  <c r="AA416" i="4" s="1"/>
  <c r="X408" i="4"/>
  <c r="AA408" i="4" s="1"/>
  <c r="X400" i="4"/>
  <c r="AA400" i="4" s="1"/>
  <c r="X392" i="4"/>
  <c r="AA392" i="4" s="1"/>
  <c r="X384" i="4"/>
  <c r="X376" i="4"/>
  <c r="AA376" i="4" s="1"/>
  <c r="X368" i="4"/>
  <c r="X360" i="4"/>
  <c r="AA360" i="4" s="1"/>
  <c r="X336" i="4"/>
  <c r="AA336" i="4" s="1"/>
  <c r="X328" i="4"/>
  <c r="AA328" i="4" s="1"/>
  <c r="X320" i="4"/>
  <c r="AA320" i="4" s="1"/>
  <c r="X312" i="4"/>
  <c r="AA312" i="4" s="1"/>
  <c r="X304" i="4"/>
  <c r="X289" i="4"/>
  <c r="X283" i="4"/>
  <c r="AA283" i="4" s="1"/>
  <c r="X267" i="4"/>
  <c r="AA267" i="4" s="1"/>
  <c r="X259" i="4"/>
  <c r="AA259" i="4" s="1"/>
  <c r="X1482" i="4"/>
  <c r="AA1482" i="4" s="1"/>
  <c r="X1162" i="4"/>
  <c r="AA1162" i="4" s="1"/>
  <c r="X1119" i="4"/>
  <c r="X1019" i="4"/>
  <c r="X972" i="4"/>
  <c r="AA972" i="4" s="1"/>
  <c r="X899" i="4"/>
  <c r="AA899" i="4" s="1"/>
  <c r="X847" i="4"/>
  <c r="AA847" i="4" s="1"/>
  <c r="X821" i="4"/>
  <c r="AA821" i="4" s="1"/>
  <c r="X760" i="4"/>
  <c r="AA760" i="4" s="1"/>
  <c r="X741" i="4"/>
  <c r="AA741" i="4" s="1"/>
  <c r="X520" i="4"/>
  <c r="AA520" i="4" s="1"/>
  <c r="X511" i="4"/>
  <c r="AA511" i="4" s="1"/>
  <c r="X478" i="4"/>
  <c r="AA478" i="4" s="1"/>
  <c r="X468" i="4"/>
  <c r="AA468" i="4" s="1"/>
  <c r="X451" i="4"/>
  <c r="AA451" i="4" s="1"/>
  <c r="X440" i="4"/>
  <c r="AA440" i="4" s="1"/>
  <c r="X432" i="4"/>
  <c r="AA432" i="4" s="1"/>
  <c r="X429" i="4"/>
  <c r="AA429" i="4" s="1"/>
  <c r="X421" i="4"/>
  <c r="AA421" i="4" s="1"/>
  <c r="X413" i="4"/>
  <c r="AA413" i="4" s="1"/>
  <c r="X405" i="4"/>
  <c r="AA405" i="4" s="1"/>
  <c r="X397" i="4"/>
  <c r="AA397" i="4" s="1"/>
  <c r="X389" i="4"/>
  <c r="AA389" i="4" s="1"/>
  <c r="X381" i="4"/>
  <c r="AA381" i="4" s="1"/>
  <c r="X373" i="4"/>
  <c r="AA373" i="4" s="1"/>
  <c r="X365" i="4"/>
  <c r="AA365" i="4" s="1"/>
  <c r="X349" i="4"/>
  <c r="AA349" i="4" s="1"/>
  <c r="X325" i="4"/>
  <c r="X309" i="4"/>
  <c r="AA309" i="4" s="1"/>
  <c r="X301" i="4"/>
  <c r="AA301" i="4" s="1"/>
  <c r="X294" i="4"/>
  <c r="AA294" i="4" s="1"/>
  <c r="X286" i="4"/>
  <c r="AA286" i="4" s="1"/>
  <c r="X280" i="4"/>
  <c r="AA280" i="4" s="1"/>
  <c r="X272" i="4"/>
  <c r="AA272" i="4" s="1"/>
  <c r="X264" i="4"/>
  <c r="AA264" i="4" s="1"/>
  <c r="X240" i="4"/>
  <c r="X232" i="4"/>
  <c r="AA232" i="4" s="1"/>
  <c r="X216" i="4"/>
  <c r="AA216" i="4" s="1"/>
  <c r="X202" i="4"/>
  <c r="AA202" i="4" s="1"/>
  <c r="X186" i="4"/>
  <c r="AA186" i="4" s="1"/>
  <c r="X162" i="4"/>
  <c r="AA162" i="4" s="1"/>
  <c r="X154" i="4"/>
  <c r="AA154" i="4" s="1"/>
  <c r="X146" i="4"/>
  <c r="AA146" i="4" s="1"/>
  <c r="X138" i="4"/>
  <c r="X130" i="4"/>
  <c r="AA130" i="4" s="1"/>
  <c r="X122" i="4"/>
  <c r="AA122" i="4" s="1"/>
  <c r="X106" i="4"/>
  <c r="AA106" i="4" s="1"/>
  <c r="X98" i="4"/>
  <c r="AA98" i="4" s="1"/>
  <c r="X74" i="4"/>
  <c r="AA74" i="4" s="1"/>
  <c r="X66" i="4"/>
  <c r="AA66" i="4" s="1"/>
  <c r="X50" i="4"/>
  <c r="AA50" i="4" s="1"/>
  <c r="X42" i="4"/>
  <c r="X34" i="4"/>
  <c r="AA34" i="4" s="1"/>
  <c r="X18" i="4"/>
  <c r="AA18" i="4" s="1"/>
  <c r="X10" i="4"/>
  <c r="AA10" i="4" s="1"/>
  <c r="X1428" i="4"/>
  <c r="AA1428" i="4" s="1"/>
  <c r="X1414" i="4"/>
  <c r="AA1414" i="4" s="1"/>
  <c r="X1379" i="4"/>
  <c r="AA1379" i="4" s="1"/>
  <c r="X1376" i="4"/>
  <c r="AA1376" i="4" s="1"/>
  <c r="X1356" i="4"/>
  <c r="X1319" i="4"/>
  <c r="AA1319" i="4" s="1"/>
  <c r="X1240" i="4"/>
  <c r="AA1240" i="4" s="1"/>
  <c r="X1237" i="4"/>
  <c r="AA1237" i="4" s="1"/>
  <c r="X1218" i="4"/>
  <c r="AA1218" i="4" s="1"/>
  <c r="X1159" i="4"/>
  <c r="AA1159" i="4" s="1"/>
  <c r="X1025" i="4"/>
  <c r="AA1025" i="4" s="1"/>
  <c r="X1022" i="4"/>
  <c r="AA1022" i="4" s="1"/>
  <c r="X1007" i="4"/>
  <c r="X994" i="4"/>
  <c r="AA994" i="4" s="1"/>
  <c r="X991" i="4"/>
  <c r="AA991" i="4" s="1"/>
  <c r="X962" i="4"/>
  <c r="AA962" i="4" s="1"/>
  <c r="X896" i="4"/>
  <c r="AA896" i="4" s="1"/>
  <c r="X883" i="4"/>
  <c r="AA883" i="4" s="1"/>
  <c r="X877" i="4"/>
  <c r="AA877" i="4" s="1"/>
  <c r="X850" i="4"/>
  <c r="AA850" i="4" s="1"/>
  <c r="X782" i="4"/>
  <c r="AA782" i="4" s="1"/>
  <c r="X763" i="4"/>
  <c r="AA763" i="4" s="1"/>
  <c r="X738" i="4"/>
  <c r="AA738" i="4" s="1"/>
  <c r="X654" i="4"/>
  <c r="AA654" i="4" s="1"/>
  <c r="X651" i="4"/>
  <c r="AA651" i="4" s="1"/>
  <c r="X648" i="4"/>
  <c r="AA648" i="4" s="1"/>
  <c r="X629" i="4"/>
  <c r="AA629" i="4" s="1"/>
  <c r="X554" i="4"/>
  <c r="AA554" i="4" s="1"/>
  <c r="X551" i="4"/>
  <c r="X465" i="4"/>
  <c r="AA465" i="4" s="1"/>
  <c r="X448" i="4"/>
  <c r="AA448" i="4" s="1"/>
  <c r="X445" i="4"/>
  <c r="AA445" i="4" s="1"/>
  <c r="X437" i="4"/>
  <c r="AA437" i="4" s="1"/>
  <c r="X426" i="4"/>
  <c r="AA426" i="4" s="1"/>
  <c r="X410" i="4"/>
  <c r="AA410" i="4" s="1"/>
  <c r="X394" i="4"/>
  <c r="AA394" i="4" s="1"/>
  <c r="X386" i="4"/>
  <c r="AA386" i="4" s="1"/>
  <c r="X378" i="4"/>
  <c r="AA378" i="4" s="1"/>
  <c r="X362" i="4"/>
  <c r="AA362" i="4" s="1"/>
  <c r="X354" i="4"/>
  <c r="AA354" i="4" s="1"/>
  <c r="X346" i="4"/>
  <c r="AA346" i="4" s="1"/>
  <c r="X338" i="4"/>
  <c r="AA338" i="4" s="1"/>
  <c r="X330" i="4"/>
  <c r="AA330" i="4" s="1"/>
  <c r="X322" i="4"/>
  <c r="AA322" i="4" s="1"/>
  <c r="X298" i="4"/>
  <c r="X291" i="4"/>
  <c r="AA291" i="4" s="1"/>
  <c r="X284" i="4"/>
  <c r="AA284" i="4" s="1"/>
  <c r="X269" i="4"/>
  <c r="AA269" i="4" s="1"/>
  <c r="X261" i="4"/>
  <c r="AA261" i="4" s="1"/>
  <c r="X253" i="4"/>
  <c r="AA253" i="4" s="1"/>
  <c r="X245" i="4"/>
  <c r="AA245" i="4" s="1"/>
  <c r="X214" i="4"/>
  <c r="AA214" i="4" s="1"/>
  <c r="X207" i="4"/>
  <c r="X183" i="4"/>
  <c r="AA183" i="4" s="1"/>
  <c r="X175" i="4"/>
  <c r="AA175" i="4" s="1"/>
  <c r="X159" i="4"/>
  <c r="AA159" i="4" s="1"/>
  <c r="X151" i="4"/>
  <c r="AA151" i="4" s="1"/>
  <c r="X135" i="4"/>
  <c r="AA135" i="4" s="1"/>
  <c r="X119" i="4"/>
  <c r="AA119" i="4" s="1"/>
  <c r="X103" i="4"/>
  <c r="AA103" i="4" s="1"/>
  <c r="X87" i="4"/>
  <c r="AA87" i="4" s="1"/>
  <c r="X79" i="4"/>
  <c r="AA79" i="4" s="1"/>
  <c r="X63" i="4"/>
  <c r="AA63" i="4" s="1"/>
  <c r="X55" i="4"/>
  <c r="AA55" i="4" s="1"/>
  <c r="X31" i="4"/>
  <c r="AA31" i="4" s="1"/>
  <c r="X23" i="4"/>
  <c r="AA23" i="4" s="1"/>
  <c r="X7" i="4"/>
  <c r="AA7" i="4" s="1"/>
  <c r="Y876" i="4"/>
  <c r="Y1188" i="4"/>
  <c r="X833" i="4"/>
  <c r="AA833" i="4" s="1"/>
  <c r="Y999" i="4"/>
  <c r="Z959" i="4"/>
  <c r="Z694" i="4"/>
  <c r="Y583" i="4"/>
  <c r="Z289" i="4"/>
  <c r="Y246" i="4"/>
  <c r="X101" i="4"/>
  <c r="AA101" i="4" s="1"/>
  <c r="X117" i="4"/>
  <c r="AA117" i="4" s="1"/>
  <c r="X133" i="4"/>
  <c r="AA133" i="4" s="1"/>
  <c r="X140" i="4"/>
  <c r="AA140" i="4" s="1"/>
  <c r="X165" i="4"/>
  <c r="AA165" i="4" s="1"/>
  <c r="X177" i="4"/>
  <c r="AA177" i="4" s="1"/>
  <c r="X201" i="4"/>
  <c r="AA201" i="4" s="1"/>
  <c r="X212" i="4"/>
  <c r="AA212" i="4" s="1"/>
  <c r="X242" i="4"/>
  <c r="AA242" i="4" s="1"/>
  <c r="X282" i="4"/>
  <c r="AA282" i="4" s="1"/>
  <c r="X319" i="4"/>
  <c r="AA319" i="4" s="1"/>
  <c r="X356" i="4"/>
  <c r="AA356" i="4" s="1"/>
  <c r="X544" i="4"/>
  <c r="AA544" i="4" s="1"/>
  <c r="X578" i="4"/>
  <c r="AA578" i="4" s="1"/>
  <c r="X632" i="4"/>
  <c r="AA632" i="4" s="1"/>
  <c r="X785" i="4"/>
  <c r="AA785" i="4" s="1"/>
  <c r="X949" i="4"/>
  <c r="AA949" i="4" s="1"/>
  <c r="X952" i="4"/>
  <c r="AA952" i="4" s="1"/>
  <c r="Y879" i="4"/>
  <c r="X1384" i="4"/>
  <c r="AA1384" i="4" s="1"/>
  <c r="Y1046" i="4"/>
  <c r="X1040" i="4"/>
  <c r="AA1040" i="4" s="1"/>
  <c r="X1114" i="4"/>
  <c r="AA1114" i="4" s="1"/>
  <c r="X382" i="4"/>
  <c r="AA382" i="4" s="1"/>
  <c r="X326" i="4"/>
  <c r="AA326" i="4" s="1"/>
  <c r="X152" i="4"/>
  <c r="AA152" i="4" s="1"/>
  <c r="X15" i="4"/>
  <c r="AA15" i="4" s="1"/>
  <c r="Z710" i="4"/>
  <c r="Y1225" i="4"/>
  <c r="Y694" i="4"/>
  <c r="Y722" i="4"/>
  <c r="Y1119" i="4"/>
  <c r="Y959" i="4"/>
  <c r="X13" i="4"/>
  <c r="AA13" i="4" s="1"/>
  <c r="X29" i="4"/>
  <c r="AA29" i="4" s="1"/>
  <c r="X60" i="4"/>
  <c r="AA60" i="4" s="1"/>
  <c r="X105" i="4"/>
  <c r="AA105" i="4" s="1"/>
  <c r="X108" i="4"/>
  <c r="AA108" i="4" s="1"/>
  <c r="X137" i="4"/>
  <c r="AA137" i="4" s="1"/>
  <c r="X156" i="4"/>
  <c r="AA156" i="4" s="1"/>
  <c r="X189" i="4"/>
  <c r="AA189" i="4" s="1"/>
  <c r="X227" i="4"/>
  <c r="AA227" i="4" s="1"/>
  <c r="X239" i="4"/>
  <c r="AA239" i="4" s="1"/>
  <c r="X263" i="4"/>
  <c r="AA263" i="4" s="1"/>
  <c r="X279" i="4"/>
  <c r="AA279" i="4" s="1"/>
  <c r="X383" i="4"/>
  <c r="AA383" i="4" s="1"/>
  <c r="X407" i="4"/>
  <c r="AA407" i="4" s="1"/>
  <c r="X420" i="4"/>
  <c r="AA420" i="4" s="1"/>
  <c r="X467" i="4"/>
  <c r="AA467" i="4" s="1"/>
  <c r="X541" i="4"/>
  <c r="AA541" i="4" s="1"/>
  <c r="X695" i="4"/>
  <c r="AA695" i="4" s="1"/>
  <c r="X932" i="4"/>
  <c r="AA932" i="4" s="1"/>
  <c r="X1125" i="4"/>
  <c r="AA1125" i="4" s="1"/>
  <c r="X1128" i="4"/>
  <c r="AA1128" i="4" s="1"/>
  <c r="X1131" i="4"/>
  <c r="AA1131" i="4" s="1"/>
  <c r="X1395" i="4"/>
  <c r="AA1395" i="4" s="1"/>
  <c r="X1398" i="4"/>
  <c r="AA1398" i="4" s="1"/>
  <c r="AA1211" i="4"/>
  <c r="AA1245" i="4"/>
  <c r="AA1277" i="4"/>
  <c r="AA1285" i="4"/>
  <c r="AA1293" i="4"/>
  <c r="AA1301" i="4"/>
  <c r="AA1349" i="4"/>
  <c r="AA1365" i="4"/>
  <c r="AA1388" i="4"/>
  <c r="AA1396" i="4"/>
  <c r="AA1419" i="4"/>
  <c r="AA1464" i="4"/>
  <c r="AA1488" i="4"/>
  <c r="AA1259" i="4"/>
  <c r="AA1405" i="4"/>
  <c r="AA1498" i="4"/>
  <c r="AA1505" i="4"/>
  <c r="AA1525" i="4"/>
  <c r="AA1321" i="4"/>
  <c r="AA1475" i="4"/>
  <c r="AA1266" i="4"/>
  <c r="AA1298" i="4"/>
  <c r="AA1393" i="4"/>
  <c r="AA633" i="4"/>
  <c r="AA753" i="4"/>
  <c r="AA809" i="4"/>
  <c r="AA845" i="4"/>
  <c r="AA927" i="4"/>
  <c r="AA943" i="4"/>
  <c r="AA977" i="4"/>
  <c r="AA1010" i="4"/>
  <c r="AA1049" i="4"/>
  <c r="AA1091" i="4"/>
  <c r="AA1104" i="4"/>
  <c r="AA1341" i="4"/>
  <c r="AA1160" i="4"/>
  <c r="AA1184" i="4"/>
  <c r="AA1187" i="4"/>
  <c r="AA1219" i="4"/>
  <c r="AA1235" i="4"/>
  <c r="AA1243" i="4"/>
  <c r="AA1267" i="4"/>
  <c r="AA1275" i="4"/>
  <c r="AA1280" i="4"/>
  <c r="AA1288" i="4"/>
  <c r="AA1291" i="4"/>
  <c r="AA1312" i="4"/>
  <c r="AA1323" i="4"/>
  <c r="AA1336" i="4"/>
  <c r="AA1339" i="4"/>
  <c r="AA1344" i="4"/>
  <c r="AA1347" i="4"/>
  <c r="AA1352" i="4"/>
  <c r="AA1366" i="4"/>
  <c r="AA1371" i="4"/>
  <c r="AA1402" i="4"/>
  <c r="AA1442" i="4"/>
  <c r="AA1452" i="4"/>
  <c r="AA1458" i="4"/>
  <c r="AA1233" i="4"/>
  <c r="AA1377" i="4"/>
  <c r="AA1408" i="4"/>
  <c r="AA1415" i="4"/>
  <c r="AA1422" i="4"/>
  <c r="AA1461" i="4"/>
  <c r="AA1468" i="4"/>
  <c r="AA1055" i="4"/>
  <c r="AA652" i="4"/>
  <c r="AA1136" i="4"/>
  <c r="AA1296" i="4"/>
  <c r="AA680" i="4"/>
  <c r="AA908" i="4"/>
  <c r="AA769" i="4"/>
  <c r="AA863" i="4"/>
  <c r="AA935" i="4"/>
  <c r="AA1036" i="4"/>
  <c r="AA1123" i="4"/>
  <c r="AA1195" i="4"/>
  <c r="AA30" i="4"/>
  <c r="AA38" i="4"/>
  <c r="AA46" i="4"/>
  <c r="AA54" i="4"/>
  <c r="AA62" i="4"/>
  <c r="AA118" i="4"/>
  <c r="AA297" i="4"/>
  <c r="AA305" i="4"/>
  <c r="AA377" i="4"/>
  <c r="AA385" i="4"/>
  <c r="AA433" i="4"/>
  <c r="AA449" i="4"/>
  <c r="AA479" i="4"/>
  <c r="AA502" i="4"/>
  <c r="AA518" i="4"/>
  <c r="AA566" i="4"/>
  <c r="AA582" i="4"/>
  <c r="AA645" i="4"/>
  <c r="AA676" i="4"/>
  <c r="AA699" i="4"/>
  <c r="AA730" i="4"/>
  <c r="AA746" i="4"/>
  <c r="AA754" i="4"/>
  <c r="AA786" i="4"/>
  <c r="AA810" i="4"/>
  <c r="AA834" i="4"/>
  <c r="AA150" i="4"/>
  <c r="AA182" i="4"/>
  <c r="AA681" i="4"/>
  <c r="AA1264" i="4"/>
  <c r="AA1299" i="4"/>
  <c r="AA1363" i="4"/>
  <c r="AA123" i="4"/>
  <c r="AA197" i="4"/>
  <c r="AA304" i="4"/>
  <c r="AA352" i="4"/>
  <c r="AA517" i="4"/>
  <c r="AA1329" i="4"/>
  <c r="AA27" i="4"/>
  <c r="AA75" i="4"/>
  <c r="AA107" i="4"/>
  <c r="AA179" i="4"/>
  <c r="AA200" i="4"/>
  <c r="AA222" i="4"/>
  <c r="AA273" i="4"/>
  <c r="AA318" i="4"/>
  <c r="AA347" i="4"/>
  <c r="AA366" i="4"/>
  <c r="AA419" i="4"/>
  <c r="AA438" i="4"/>
  <c r="AA459" i="4"/>
  <c r="AA504" i="4"/>
  <c r="AA547" i="4"/>
  <c r="AA568" i="4"/>
  <c r="AA187" i="4"/>
  <c r="AA203" i="4"/>
  <c r="AA350" i="4"/>
  <c r="AA355" i="4"/>
  <c r="AA411" i="4"/>
  <c r="AA470" i="4"/>
  <c r="AA488" i="4"/>
  <c r="AA496" i="4"/>
  <c r="AA579" i="4"/>
  <c r="AA43" i="4"/>
  <c r="AA368" i="4"/>
  <c r="AA584" i="4"/>
  <c r="AA600" i="4"/>
  <c r="AA603" i="4"/>
  <c r="AA615" i="4"/>
  <c r="AA626" i="4"/>
  <c r="AA634" i="4"/>
  <c r="AA647" i="4"/>
  <c r="AA670" i="4"/>
  <c r="AA673" i="4"/>
  <c r="AA678" i="4"/>
  <c r="AA693" i="4"/>
  <c r="AA701" i="4"/>
  <c r="AA709" i="4"/>
  <c r="AA727" i="4"/>
  <c r="AA740" i="4"/>
  <c r="AA756" i="4"/>
  <c r="AA788" i="4"/>
  <c r="AA799" i="4"/>
  <c r="AA804" i="4"/>
  <c r="AA815" i="4"/>
  <c r="AA820" i="4"/>
  <c r="AA846" i="4"/>
  <c r="AA521" i="4"/>
  <c r="AA702" i="4"/>
  <c r="AA733" i="4"/>
  <c r="AA797" i="4"/>
  <c r="AA1048" i="4"/>
  <c r="AA1215" i="4"/>
  <c r="AA1223" i="4"/>
  <c r="AA1295" i="4"/>
  <c r="AA229" i="4"/>
  <c r="AA298" i="4"/>
  <c r="AA335" i="4"/>
  <c r="AA434" i="4"/>
  <c r="AA581" i="4"/>
  <c r="AA882" i="4"/>
  <c r="AA885" i="4"/>
  <c r="AA893" i="4"/>
  <c r="AA898" i="4"/>
  <c r="AA912" i="4"/>
  <c r="AA914" i="4"/>
  <c r="AA917" i="4"/>
  <c r="AA925" i="4"/>
  <c r="AA961" i="4"/>
  <c r="AA969" i="4"/>
  <c r="AA993" i="4"/>
  <c r="AA1013" i="4"/>
  <c r="AA1015" i="4"/>
  <c r="AA1023" i="4"/>
  <c r="AA1047" i="4"/>
  <c r="AA1058" i="4"/>
  <c r="AA1094" i="4"/>
  <c r="AA1118" i="4"/>
  <c r="AA1142" i="4"/>
  <c r="AA1166" i="4"/>
  <c r="AA1177" i="4"/>
  <c r="AA1193" i="4"/>
  <c r="AA1214" i="4"/>
  <c r="AA1222" i="4"/>
  <c r="AA1236" i="4"/>
  <c r="AA1238" i="4"/>
  <c r="AA1241" i="4"/>
  <c r="AA1249" i="4"/>
  <c r="AA1278" i="4"/>
  <c r="AA1286" i="4"/>
  <c r="AA1289" i="4"/>
  <c r="AA1294" i="4"/>
  <c r="AA1297" i="4"/>
  <c r="AA1305" i="4"/>
  <c r="AA39" i="4"/>
  <c r="AA109" i="4"/>
  <c r="AA149" i="4"/>
  <c r="AA157" i="4"/>
  <c r="AA181" i="4"/>
  <c r="AA205" i="4"/>
  <c r="AA219" i="4"/>
  <c r="AA235" i="4"/>
  <c r="AA275" i="4"/>
  <c r="AA384" i="4"/>
  <c r="AA424" i="4"/>
  <c r="AA456" i="4"/>
  <c r="AA464" i="4"/>
  <c r="AA497" i="4"/>
  <c r="AA978" i="4"/>
  <c r="AA1003" i="4"/>
  <c r="AA4" i="4"/>
  <c r="AA44" i="4"/>
  <c r="AA52" i="4"/>
  <c r="AA68" i="4"/>
  <c r="AA100" i="4"/>
  <c r="AA180" i="4"/>
  <c r="AA204" i="4"/>
  <c r="AA211" i="4"/>
  <c r="AA234" i="4"/>
  <c r="AA274" i="4"/>
  <c r="AA423" i="4"/>
  <c r="AA627" i="4"/>
  <c r="AA635" i="4"/>
  <c r="AA712" i="4"/>
  <c r="AA728" i="4"/>
  <c r="AA736" i="4"/>
  <c r="AA776" i="4"/>
  <c r="AA800" i="4"/>
  <c r="AA878" i="4"/>
  <c r="AA894" i="4"/>
  <c r="AA902" i="4"/>
  <c r="AA1004" i="4"/>
  <c r="AA47" i="4"/>
  <c r="AA71" i="4"/>
  <c r="AA95" i="4"/>
  <c r="AA111" i="4"/>
  <c r="AA127" i="4"/>
  <c r="AA143" i="4"/>
  <c r="AA167" i="4"/>
  <c r="AA191" i="4"/>
  <c r="AA207" i="4"/>
  <c r="AA221" i="4"/>
  <c r="AA237" i="4"/>
  <c r="AA277" i="4"/>
  <c r="AA306" i="4"/>
  <c r="AA314" i="4"/>
  <c r="AA402" i="4"/>
  <c r="AA418" i="4"/>
  <c r="AA450" i="4"/>
  <c r="AA466" i="4"/>
  <c r="AA472" i="4"/>
  <c r="AA487" i="4"/>
  <c r="AA503" i="4"/>
  <c r="AA551" i="4"/>
  <c r="AA559" i="4"/>
  <c r="AA567" i="4"/>
  <c r="AA575" i="4"/>
  <c r="AA599" i="4"/>
  <c r="AA661" i="4"/>
  <c r="AA669" i="4"/>
  <c r="AA739" i="4"/>
  <c r="AA471" i="4"/>
  <c r="AA485" i="4"/>
  <c r="AA501" i="4"/>
  <c r="AA525" i="4"/>
  <c r="AA562" i="4"/>
  <c r="AA612" i="4"/>
  <c r="AA620" i="4"/>
  <c r="AA636" i="4"/>
  <c r="AA649" i="4"/>
  <c r="AA656" i="4"/>
  <c r="AA672" i="4"/>
  <c r="AA687" i="4"/>
  <c r="AA690" i="4"/>
  <c r="AA713" i="4"/>
  <c r="AA737" i="4"/>
  <c r="AA750" i="4"/>
  <c r="AA774" i="4"/>
  <c r="AA790" i="4"/>
  <c r="AA817" i="4"/>
  <c r="AA903" i="4"/>
  <c r="AA916" i="4"/>
  <c r="AA1033" i="4"/>
  <c r="AA1052" i="4"/>
  <c r="AA1084" i="4"/>
  <c r="AA1096" i="4"/>
  <c r="AA1115" i="4"/>
  <c r="AA1179" i="4"/>
  <c r="AA1018" i="4"/>
  <c r="AA1037" i="4"/>
  <c r="AA1097" i="4"/>
  <c r="AA1111" i="4"/>
  <c r="AA1137" i="4"/>
  <c r="AA1145" i="4"/>
  <c r="AA1161" i="4"/>
  <c r="AA1201" i="4"/>
  <c r="AA1209" i="4"/>
  <c r="AA1130" i="4"/>
  <c r="AA1138" i="4"/>
  <c r="AA1212" i="4"/>
  <c r="AA1274" i="4"/>
  <c r="AA1282" i="4"/>
  <c r="AA1292" i="4"/>
  <c r="AA1300" i="4"/>
  <c r="AA1303" i="4"/>
  <c r="AA1306" i="4"/>
  <c r="AA1308" i="4"/>
  <c r="AA1311" i="4"/>
  <c r="AA1314" i="4"/>
  <c r="AA1346" i="4"/>
  <c r="AA1356" i="4"/>
  <c r="AA1359" i="4"/>
  <c r="AA1383" i="4"/>
  <c r="AA1387" i="4"/>
  <c r="AA1390" i="4"/>
  <c r="AA1409" i="4"/>
  <c r="AA1418" i="4"/>
  <c r="AA1438" i="4"/>
  <c r="AA1448" i="4"/>
  <c r="AA1462" i="4"/>
  <c r="AA755" i="4"/>
  <c r="AA803" i="4"/>
  <c r="AA865" i="4"/>
  <c r="AA881" i="4"/>
  <c r="AA897" i="4"/>
  <c r="AA929" i="4"/>
  <c r="AA937" i="4"/>
  <c r="AA984" i="4"/>
  <c r="AA1007" i="4"/>
  <c r="AA1038" i="4"/>
  <c r="AA1054" i="4"/>
  <c r="AA1062" i="4"/>
  <c r="AA1078" i="4"/>
  <c r="AA1093" i="4"/>
  <c r="AA1149" i="4"/>
  <c r="AA1181" i="4"/>
  <c r="AA228" i="4"/>
  <c r="AA174" i="4"/>
  <c r="AA616" i="4"/>
  <c r="AA789" i="4"/>
  <c r="AA915" i="4"/>
  <c r="AA931" i="4"/>
  <c r="AA970" i="4"/>
  <c r="AA1032" i="4"/>
  <c r="AA1080" i="4"/>
  <c r="AA1092" i="4"/>
  <c r="AA1127" i="4"/>
  <c r="AA1135" i="4"/>
  <c r="AA1156" i="4"/>
  <c r="AA1220" i="4"/>
  <c r="AA1252" i="4"/>
  <c r="AA1268" i="4"/>
  <c r="AA20" i="4"/>
  <c r="AA218" i="4"/>
  <c r="AA258" i="4"/>
  <c r="AA343" i="4"/>
  <c r="AA351" i="4"/>
  <c r="AA359" i="4"/>
  <c r="AA391" i="4"/>
  <c r="AA415" i="4"/>
  <c r="AA593" i="4"/>
  <c r="AA686" i="4"/>
  <c r="AA705" i="4"/>
  <c r="AA752" i="4"/>
  <c r="AA816" i="4"/>
  <c r="AA829" i="4"/>
  <c r="AA839" i="4"/>
  <c r="AA870" i="4"/>
  <c r="AA939" i="4"/>
  <c r="AA950" i="4"/>
  <c r="AA1019" i="4"/>
  <c r="AA1064" i="4"/>
  <c r="AA1090" i="4"/>
  <c r="AA1122" i="4"/>
  <c r="AA564" i="4"/>
  <c r="AA580" i="4"/>
  <c r="AA663" i="4"/>
  <c r="AA808" i="4"/>
  <c r="AA266" i="4"/>
  <c r="AA327" i="4"/>
  <c r="AA84" i="4"/>
  <c r="AA196" i="4"/>
  <c r="AA226" i="4"/>
  <c r="AA148" i="4"/>
  <c r="AA1194" i="4"/>
  <c r="AA1202" i="4"/>
  <c r="AA1210" i="4"/>
  <c r="AA1226" i="4"/>
  <c r="AA1234" i="4"/>
  <c r="AA160" i="4"/>
  <c r="AA168" i="4"/>
  <c r="AA176" i="4"/>
  <c r="AA208" i="4"/>
  <c r="AA215" i="4"/>
  <c r="AA238" i="4"/>
  <c r="AA278" i="4"/>
  <c r="AA299" i="4"/>
  <c r="AA307" i="4"/>
  <c r="AA331" i="4"/>
  <c r="AA363" i="4"/>
  <c r="AA552" i="4"/>
  <c r="AA623" i="4"/>
  <c r="AA685" i="4"/>
  <c r="AA587" i="4"/>
  <c r="AA775" i="4"/>
  <c r="AA901" i="4"/>
  <c r="AA17" i="4"/>
  <c r="AA49" i="4"/>
  <c r="AA57" i="4"/>
  <c r="AA81" i="4"/>
  <c r="AA89" i="4"/>
  <c r="AA5" i="4"/>
  <c r="AA24" i="4"/>
  <c r="AA45" i="4"/>
  <c r="AA53" i="4"/>
  <c r="AA3" i="4"/>
  <c r="AA67" i="4"/>
  <c r="AA121" i="4"/>
  <c r="AA129" i="4"/>
  <c r="AA161" i="4"/>
  <c r="AA231" i="4"/>
  <c r="AA64" i="4"/>
  <c r="AA69" i="4"/>
  <c r="AA77" i="4"/>
  <c r="AA85" i="4"/>
  <c r="AA144" i="4"/>
  <c r="AA271" i="4"/>
  <c r="AA285" i="4"/>
  <c r="AA300" i="4"/>
  <c r="AA324" i="4"/>
  <c r="AA332" i="4"/>
  <c r="AA340" i="4"/>
  <c r="AA364" i="4"/>
  <c r="AA380" i="4"/>
  <c r="AA396" i="4"/>
  <c r="AA412" i="4"/>
  <c r="AA569" i="4"/>
  <c r="AA757" i="4"/>
  <c r="AA1072" i="4"/>
  <c r="AA1089" i="4"/>
  <c r="AA596" i="4"/>
  <c r="AA910" i="4"/>
  <c r="AA26" i="4"/>
  <c r="AA42" i="4"/>
  <c r="AA58" i="4"/>
  <c r="AA90" i="4"/>
  <c r="AA138" i="4"/>
  <c r="AA178" i="4"/>
  <c r="AA194" i="4"/>
  <c r="AA209" i="4"/>
  <c r="AA224" i="4"/>
  <c r="AA240" i="4"/>
  <c r="AA256" i="4"/>
  <c r="AA317" i="4"/>
  <c r="AA325" i="4"/>
  <c r="AA333" i="4"/>
  <c r="AA357" i="4"/>
  <c r="AA453" i="4"/>
  <c r="AA461" i="4"/>
  <c r="AA469" i="4"/>
  <c r="AA475" i="4"/>
  <c r="AA498" i="4"/>
  <c r="AA514" i="4"/>
  <c r="AA641" i="4"/>
  <c r="AA703" i="4"/>
  <c r="AA1017" i="4"/>
  <c r="AA1044" i="4"/>
  <c r="AA1081" i="4"/>
  <c r="AA2" i="4"/>
  <c r="AA879" i="4" l="1"/>
  <c r="AA583" i="4"/>
  <c r="AA99" i="4"/>
  <c r="AA710" i="4"/>
  <c r="AA964" i="4"/>
  <c r="AA1075" i="4"/>
  <c r="AA876" i="4"/>
  <c r="AA722" i="4"/>
  <c r="AA246" i="4"/>
  <c r="AA1119" i="4"/>
  <c r="AA999" i="4"/>
  <c r="AA19" i="4"/>
  <c r="AA1225" i="4"/>
  <c r="AA1046" i="4"/>
  <c r="AA289" i="4"/>
  <c r="AA1316" i="4"/>
  <c r="AA1188" i="4"/>
  <c r="AA694" i="4"/>
  <c r="AA959" i="4"/>
  <c r="AA1385" i="4"/>
  <c r="AA1531" i="4" l="1"/>
</calcChain>
</file>

<file path=xl/sharedStrings.xml><?xml version="1.0" encoding="utf-8"?>
<sst xmlns="http://schemas.openxmlformats.org/spreadsheetml/2006/main" count="35848" uniqueCount="5796">
  <si>
    <t>Identity Type</t>
  </si>
  <si>
    <t>Username</t>
  </si>
  <si>
    <t>Domain</t>
  </si>
  <si>
    <t>Email</t>
  </si>
  <si>
    <t>First Name</t>
  </si>
  <si>
    <t>Last Name</t>
  </si>
  <si>
    <t>Country Code</t>
  </si>
  <si>
    <t>ID</t>
  </si>
  <si>
    <t>Product Configurations</t>
  </si>
  <si>
    <t>Admin Roles</t>
  </si>
  <si>
    <t>Product Configurations Administered</t>
  </si>
  <si>
    <t>User Groups</t>
  </si>
  <si>
    <t>User Groups Administered</t>
  </si>
  <si>
    <t>Products Administered</t>
  </si>
  <si>
    <t>Contracts Administered</t>
  </si>
  <si>
    <t>Team Products</t>
  </si>
  <si>
    <t>Enterprise Products</t>
  </si>
  <si>
    <t>Developer Access</t>
  </si>
  <si>
    <t>Auto Assigned Products</t>
  </si>
  <si>
    <t>Adobe ID</t>
  </si>
  <si>
    <t>mcarlin@montrose-env.com</t>
  </si>
  <si>
    <t>montrose-env.com</t>
  </si>
  <si>
    <t>Mark</t>
  </si>
  <si>
    <t>Carlin</t>
  </si>
  <si>
    <t>US</t>
  </si>
  <si>
    <t>038E2AA263C9DEEB0A495FEA@038d2aa263c9deeb495fea.e</t>
  </si>
  <si>
    <t>System</t>
  </si>
  <si>
    <t>USA - Corp - IT</t>
  </si>
  <si>
    <t>grant.wicker@enthalpy.com</t>
  </si>
  <si>
    <t>enthalpy.com</t>
  </si>
  <si>
    <t>Grant</t>
  </si>
  <si>
    <t>Wicker</t>
  </si>
  <si>
    <t>04172ACB63C9DF460A495E05@038d2aa263c9deeb495fea.e</t>
  </si>
  <si>
    <t>Federated ID</t>
  </si>
  <si>
    <t>stescamilla@montrose-env.com</t>
  </si>
  <si>
    <t>Stacey</t>
  </si>
  <si>
    <t>Escamilla</t>
  </si>
  <si>
    <t>C7E825EB63D846A50A495C5B@038d2aa263c9deeb495fea.e</t>
  </si>
  <si>
    <t>USA - Environmental Consulting - Environmental Intelligence - Operations</t>
  </si>
  <si>
    <t>mcarlinadmin@montrose-env.com</t>
  </si>
  <si>
    <t>Carlin Admin</t>
  </si>
  <si>
    <t>C5DE265363D849620A495FDA@038d2aa263c9deeb495fea.e</t>
  </si>
  <si>
    <t>sbagchi@montrose-env.com</t>
  </si>
  <si>
    <t>Sohini</t>
  </si>
  <si>
    <t>Bagchi</t>
  </si>
  <si>
    <t>C67F262A63D866EF0A495CA0@038d2aa263c9deeb495fea.e</t>
  </si>
  <si>
    <t>Default Acrobat Pro configuration</t>
  </si>
  <si>
    <t>USA - Environmental Consulting - Santa Ana (Rem) - Operations</t>
  </si>
  <si>
    <t>Acrobat Pro (VIPMP - 99C0A3088A102BD9CB4A)</t>
  </si>
  <si>
    <t>lwork@montrose-env.com</t>
  </si>
  <si>
    <t>Lydia</t>
  </si>
  <si>
    <t>Work</t>
  </si>
  <si>
    <t>08EB268D63DA6A030A495FB1@038d2aa263c9deeb495fea.e</t>
  </si>
  <si>
    <t>USA - Environmental Consulting - Valley Forge - Operations</t>
  </si>
  <si>
    <t>ligordon@montrose-env.com</t>
  </si>
  <si>
    <t>Lindsey</t>
  </si>
  <si>
    <t>Gordon</t>
  </si>
  <si>
    <t>1039261B63DA8F350A495FED@038d2aa263c9deeb495fea.e</t>
  </si>
  <si>
    <t>jwomack@montrose-env.com</t>
  </si>
  <si>
    <t>Jwomack@montrose-env.com</t>
  </si>
  <si>
    <t>Jake</t>
  </si>
  <si>
    <t>Womack</t>
  </si>
  <si>
    <t>12B8266163DAA9CB0A495C28@038d2aa263c9deeb495fea.e</t>
  </si>
  <si>
    <t>USA - Stack - Seattle - Operations</t>
  </si>
  <si>
    <t>mlibman@montrose-env.com</t>
  </si>
  <si>
    <t>Matt</t>
  </si>
  <si>
    <t>Libman</t>
  </si>
  <si>
    <t>3DC925EA63DBECBB0A495FA3@038d2aa263c9deeb495fea.e</t>
  </si>
  <si>
    <t>USA - Stack - Chicago - G&amp;A</t>
  </si>
  <si>
    <t>kacyoung@montrose-env.com</t>
  </si>
  <si>
    <t>Katie</t>
  </si>
  <si>
    <t>Young</t>
  </si>
  <si>
    <t>4AF7245863DC2D0E0A495EBD@038d2aa263c9deeb495fea.e</t>
  </si>
  <si>
    <t>Default Acrobat Standard DC configuration</t>
  </si>
  <si>
    <t>USA - Environmental Consulting - Tampa - Operations</t>
  </si>
  <si>
    <t>Acrobat Standard DC (VIPMP - 99C0A3088A102BD9CB4A)</t>
  </si>
  <si>
    <t>kesmith@montrose-env.com</t>
  </si>
  <si>
    <t>Kenneth</t>
  </si>
  <si>
    <t>Smith</t>
  </si>
  <si>
    <t>DEE6260A63E163DC0A495C48@038d2aa263c9deeb495fea.e</t>
  </si>
  <si>
    <t>USA - Environmental Consulting - Robbinsville - G&amp;A</t>
  </si>
  <si>
    <t>schiew@montrose-env.com</t>
  </si>
  <si>
    <t>Sin Hoi</t>
  </si>
  <si>
    <t>Chiew</t>
  </si>
  <si>
    <t>05E72A4E63E45DD20A495E57@038d2aa263c9deeb495fea.e</t>
  </si>
  <si>
    <t>USA - Stack - Cleveland - Operations</t>
  </si>
  <si>
    <t>tjscuthbertson@montrose-env.com</t>
  </si>
  <si>
    <t>Thomas</t>
  </si>
  <si>
    <t>Cuthbertson</t>
  </si>
  <si>
    <t>6F2728E563E706EB0A495FBA@038d2aa263c9deeb495fea.e</t>
  </si>
  <si>
    <t>CAN - OGI - Operations</t>
  </si>
  <si>
    <t>matandukar@ect2.com</t>
  </si>
  <si>
    <t>ect2.com</t>
  </si>
  <si>
    <t>Madan</t>
  </si>
  <si>
    <t>Tandukar</t>
  </si>
  <si>
    <t>C0FB295363EA5C4C0A495E94@038d2aa263c9deeb495fea.e</t>
  </si>
  <si>
    <t>Default All Apps plan configuration</t>
  </si>
  <si>
    <t>USA - ECT2 - Operations</t>
  </si>
  <si>
    <t>All Apps plan (VIPMP - 99C0A3088A102BD9CB4A)</t>
  </si>
  <si>
    <t>djensen@montrose-env.com</t>
  </si>
  <si>
    <t>Dan</t>
  </si>
  <si>
    <t>Jensen</t>
  </si>
  <si>
    <t>BF9E29CF63EA60350A495EB3@c67c263163d83b8d0a495c06</t>
  </si>
  <si>
    <t>USA - Corp - Enterprise Solution Services</t>
  </si>
  <si>
    <t>jruggaber@montrose-env.com</t>
  </si>
  <si>
    <t>Joel</t>
  </si>
  <si>
    <t>Ruggaber</t>
  </si>
  <si>
    <t>1321268363ECFFB90A495FC6@038d2aa263c9deeb495fea.e</t>
  </si>
  <si>
    <t>USA - Stack - Chicago - Operations</t>
  </si>
  <si>
    <t>lford@montrose-env.com</t>
  </si>
  <si>
    <t>Lee</t>
  </si>
  <si>
    <t>Ford</t>
  </si>
  <si>
    <t>493427C263EEA5BA0A495C9A@038d2aa263c9deeb495fea.e</t>
  </si>
  <si>
    <t>USA - Environmental Consulting - Tampa - Sales &amp; Marketing</t>
  </si>
  <si>
    <t>caduncanson@montrose-env.com</t>
  </si>
  <si>
    <t>Cassie</t>
  </si>
  <si>
    <t>Duncanson-Cappe</t>
  </si>
  <si>
    <t>BE58252263F3DD5B0A495EEF@038d2aa263c9deeb495fea.e</t>
  </si>
  <si>
    <t>Default Acrobat Pro configuration,Default InDesign configuration</t>
  </si>
  <si>
    <t>USA - Corp - Sales</t>
  </si>
  <si>
    <t>Acrobat Pro (VIPMP - 99C0A3088A102BD9CB4A),InDesign (VIPMP - 99C0A3088A102BD9CB4A)</t>
  </si>
  <si>
    <t>wewang@montrose-env.com</t>
  </si>
  <si>
    <t>Wei</t>
  </si>
  <si>
    <t>Wang</t>
  </si>
  <si>
    <t>E0D0266B63F4EF010A495E6F@038d2aa263c9deeb495fea.e</t>
  </si>
  <si>
    <t>dakempisty@ect2.com</t>
  </si>
  <si>
    <t>David</t>
  </si>
  <si>
    <t>Kempisty</t>
  </si>
  <si>
    <t>390E291C63F6DE4E0A495C71@038d2aa263c9deeb495fea.e</t>
  </si>
  <si>
    <t>USA - Corp - R&amp;D</t>
  </si>
  <si>
    <t>adoubleday@montrose-env.com</t>
  </si>
  <si>
    <t>Adam</t>
  </si>
  <si>
    <t>Doubleday</t>
  </si>
  <si>
    <t>6F4527D963F8FA290A495ED7@038d2aa263c9deeb495fea.e</t>
  </si>
  <si>
    <t>jbolakas@montrose-env.com</t>
  </si>
  <si>
    <t>John</t>
  </si>
  <si>
    <t>Bolakas</t>
  </si>
  <si>
    <t>428E27CC63FCC7C10A495E58@038d2aa263c9deeb495fea.e</t>
  </si>
  <si>
    <t>USA - Environmental Consulting - Charlottesville - Operations</t>
  </si>
  <si>
    <t>jorounsaville@montrose-env.com</t>
  </si>
  <si>
    <t>Joseph</t>
  </si>
  <si>
    <t>Rounsaville</t>
  </si>
  <si>
    <t>6B4F28FB63FE1DDD0A495EDD@038d2aa263c9deeb495fea.e</t>
  </si>
  <si>
    <t>USA - Remediation - Northeast - Operations</t>
  </si>
  <si>
    <t>tanelson@montrose-env.com</t>
  </si>
  <si>
    <t>Taylor</t>
  </si>
  <si>
    <t>Nelson</t>
  </si>
  <si>
    <t>937C2A8063FF9B650A495E11@038d2aa263c9deeb495fea.e</t>
  </si>
  <si>
    <t>USA - Corp - Marketing</t>
  </si>
  <si>
    <t>mamatelski@montrose-env.com</t>
  </si>
  <si>
    <t>Marie</t>
  </si>
  <si>
    <t>Matelski</t>
  </si>
  <si>
    <t>9C882AB963FFCA5E0A495FDB@038d2aa263c9deeb495fea.e</t>
  </si>
  <si>
    <t>thlyons@montrose-env.com</t>
  </si>
  <si>
    <t>Lyons</t>
  </si>
  <si>
    <t>B9C22AB96400E0E30A495FDB@038d2aa263c9deeb495fea.e</t>
  </si>
  <si>
    <t>USA - Environmental Consulting - Orlando - Operations,USA - Stack - Northeast - Operations</t>
  </si>
  <si>
    <t>swoodard@ect2.com</t>
  </si>
  <si>
    <t>SWoodard@ect2.com</t>
  </si>
  <si>
    <t>Steven</t>
  </si>
  <si>
    <t>Woodard</t>
  </si>
  <si>
    <t>D93127A86401F4190A495FBD@038d2aa263c9deeb495fea.e</t>
  </si>
  <si>
    <t>sweeks@montrose-env.com</t>
  </si>
  <si>
    <t>Stina</t>
  </si>
  <si>
    <t>Weeks</t>
  </si>
  <si>
    <t>D8B128FF640234940A495EE6@038d2aa263c9deeb495fea.e</t>
  </si>
  <si>
    <t>USA - Stack - Antioch - Operations</t>
  </si>
  <si>
    <t>domatthys@montrose-env.com</t>
  </si>
  <si>
    <t>Douglas</t>
  </si>
  <si>
    <t>Matthys</t>
  </si>
  <si>
    <t>294A2AA16405ECEF0A495CA0@038d2aa263c9deeb495fea.e</t>
  </si>
  <si>
    <t>USA - Environmental Consulting OH - G&amp;A</t>
  </si>
  <si>
    <t>deanna.yates@enthalpy.com</t>
  </si>
  <si>
    <t>Deanna</t>
  </si>
  <si>
    <t>Yates</t>
  </si>
  <si>
    <t>272025796405F90C0A495C7B@038d2aa263c9deeb495fea.e</t>
  </si>
  <si>
    <t>USA - Labs - OH - HR</t>
  </si>
  <si>
    <t>mchowsanitphon@montrose-env.com</t>
  </si>
  <si>
    <t>Michael</t>
  </si>
  <si>
    <t>Chowsanitphon</t>
  </si>
  <si>
    <t>3694253E640672EC0A495FB4@038d2aa263c9deeb495fea.e</t>
  </si>
  <si>
    <t>USA - Stack - Santa Ana - Operations</t>
  </si>
  <si>
    <t>wezhou@montrose-env.com</t>
  </si>
  <si>
    <t>Zhou</t>
  </si>
  <si>
    <t>42DD2991640B8D960A495FC1@038d2aa263c9deeb495fea.e</t>
  </si>
  <si>
    <t>USA - Advisory Services - Chemistry - Operations</t>
  </si>
  <si>
    <t>sarah.mack@enthalpy.com</t>
  </si>
  <si>
    <t>Sarah</t>
  </si>
  <si>
    <t>Mack</t>
  </si>
  <si>
    <t>8D1A2A06640F74B40A495E6D@038d2aa263c9deeb495fea.e</t>
  </si>
  <si>
    <t>USA - Labs - OH - Sales</t>
  </si>
  <si>
    <t>dacoles@montrose-env.com</t>
  </si>
  <si>
    <t>Danielle</t>
  </si>
  <si>
    <t>Coles</t>
  </si>
  <si>
    <t>91C32A52640FE28A0A495F8E@038d2aa263c9deeb495fea.e</t>
  </si>
  <si>
    <t>wayneglenny@montrose-env.com</t>
  </si>
  <si>
    <t>Wayne</t>
  </si>
  <si>
    <t>Glenny</t>
  </si>
  <si>
    <t>A8BE2A2E6410C9430A495FAE@038d2aa263c9deeb495fea.e</t>
  </si>
  <si>
    <t>chwymore@montrose-env.com</t>
  </si>
  <si>
    <t>Christopher</t>
  </si>
  <si>
    <t>Wymore</t>
  </si>
  <si>
    <t>CDCE29ED6411EE4A0A495C53@038d2aa263c9deeb495fea.e</t>
  </si>
  <si>
    <t>amnilles@montrose-env.com</t>
  </si>
  <si>
    <t>Amanda</t>
  </si>
  <si>
    <t>Nilles</t>
  </si>
  <si>
    <t>FCA72A6F641362B70A495F8A@038d2aa263c9deeb495fea.e</t>
  </si>
  <si>
    <t>USA - Stack - OH - G&amp;A</t>
  </si>
  <si>
    <t>gamorales@montrose-env.com</t>
  </si>
  <si>
    <t>Gabriel</t>
  </si>
  <si>
    <t>Morales</t>
  </si>
  <si>
    <t>02812A46641384A90A495C83@038d2aa263c9deeb495fea.e</t>
  </si>
  <si>
    <t>memercer@montrose-env.com</t>
  </si>
  <si>
    <t>Melissa</t>
  </si>
  <si>
    <t>Mercer</t>
  </si>
  <si>
    <t>257A2A6F6414B22A0A495F8A@038d2aa263c9deeb495fea.e</t>
  </si>
  <si>
    <t>mesloan@montrose-env.com</t>
  </si>
  <si>
    <t>Merritt</t>
  </si>
  <si>
    <t>Sloan</t>
  </si>
  <si>
    <t>5FFE2A386417554B0A495FF0@038d2aa263c9deeb495fea.e</t>
  </si>
  <si>
    <t>bwinchester@montrose-env.com</t>
  </si>
  <si>
    <t>Bill</t>
  </si>
  <si>
    <t>Winchester</t>
  </si>
  <si>
    <t>B72F28526419FF850A495E24@038d2aa263c9deeb495fea.e</t>
  </si>
  <si>
    <t>USA - Environmental Consulting - Santa Ana (P&amp;C) - Operations</t>
  </si>
  <si>
    <t>anelskamp@montrose-env.com</t>
  </si>
  <si>
    <t>Anthony</t>
  </si>
  <si>
    <t>Elskamp</t>
  </si>
  <si>
    <t>BBFF2713641A1B1F0A495C79@038d2aa263c9deeb495fea.e</t>
  </si>
  <si>
    <t>gamoralesadmin@montrose-env.com</t>
  </si>
  <si>
    <t>BD9B2947641A1B360A495C26@038d2aa263c9deeb495fea.e</t>
  </si>
  <si>
    <t>rshengadmin@montrose-env.com</t>
  </si>
  <si>
    <t>Ren</t>
  </si>
  <si>
    <t>Sheng Admin</t>
  </si>
  <si>
    <t>B9962A3C641A1B360A495E6A@038d2aa263c9deeb495fea.e</t>
  </si>
  <si>
    <t>jole@montrose-env.com</t>
  </si>
  <si>
    <t>Johnny</t>
  </si>
  <si>
    <t>Le</t>
  </si>
  <si>
    <t>C3082CF9641A2BE80A495ED1@038d2aa263c9deeb495fea.e</t>
  </si>
  <si>
    <t>jiwang@montrose-env.com</t>
  </si>
  <si>
    <t>Jim</t>
  </si>
  <si>
    <t>C5933512641A2DB50A495EA1@038d2aa263c9deeb495fea.e</t>
  </si>
  <si>
    <t>cliff.baldridge@enthalpy.com</t>
  </si>
  <si>
    <t>Clifford</t>
  </si>
  <si>
    <t>Baldridge</t>
  </si>
  <si>
    <t>DBB02736641B1E950A495CF5@038d2aa263c9deeb495fea.e</t>
  </si>
  <si>
    <t>USA - Env Lab - Durham - Operations</t>
  </si>
  <si>
    <t>sparrowmcmorran@montrose-env.com</t>
  </si>
  <si>
    <t>Sparrow</t>
  </si>
  <si>
    <t>McMorran</t>
  </si>
  <si>
    <t>DC2F2AA0641B23140A495E80@038d2aa263c9deeb495fea.e</t>
  </si>
  <si>
    <t>dnygaard@montrose-env.com</t>
  </si>
  <si>
    <t>Dane</t>
  </si>
  <si>
    <t>Nygaard</t>
  </si>
  <si>
    <t>DC412A86641B2DB20A495FBA@038d2aa263c9deeb495fea.e</t>
  </si>
  <si>
    <t>USA - Environmental Consulting - Santa Ana (Rem) - G&amp;A</t>
  </si>
  <si>
    <t>fuhoshino@montrose-env.com</t>
  </si>
  <si>
    <t>Fumiaki</t>
  </si>
  <si>
    <t>Hoshino</t>
  </si>
  <si>
    <t>F09E2A46641B8A1B0A495C83@038d2aa263c9deeb495fea.e</t>
  </si>
  <si>
    <t>chaleshaikeradmin@montrose-env.com</t>
  </si>
  <si>
    <t>0B912BC4641C82D50A495ED8@038d2aa263c9deeb495fea.e</t>
  </si>
  <si>
    <t>System,Support</t>
  </si>
  <si>
    <t>USA - Environmental Consulting - Atlanta - G&amp;A,USA - Real Time Air - Albuquerque - G&amp;A,USA - Environmental Consulting - Nashville - Operations,USA - Advisory Services - Transactional Diligence – Operations,USA - Env Lab - Deer Park - Sales &amp; Marketing,EUR - ECT2 - OH - Finance,USA - CTEH OH - IT,USA - Stack - OH - Sales,USA - Environmental Consulting - Santa Ana (Rem) - Sales &amp; Marketing,USA - Tob Lab - Berkeley - G&amp;A,USA - Environmental Consulting - Wilmington - Operations,USA - RNG - OH - IT,USA - Stack - Cleveland - Sales &amp; Marketing,USA - Real Time Air - OH - HR,USA - LDAR - OH - Finance,USA - Advisory Services - Ecosystem Economics  - Operations,USA - Env Lab - Mt Pleasant - Sales &amp; Marketing,AUS - ECT2 - Operations,CAN - Matrix - G&amp;A,USA - Corp - IT,USA - CTEH - Health Sciences - G&amp;A,USA - Env Lab - Orange - G&amp;A,USA - Environmental Consulting - Atlanta - Operations,USA - Tob Lab - Berkeley - Operations,USA - Environmental Consulting - Wilmington - Sales &amp; Marketing,AUS - ECT2 - Sales &amp; Marketing,USA - Env Lab - Durham - G&amp;A,USA - CTEH OH - Logistics &amp; Variable Staffing,USA - Stack - Power Start-Ups - G&amp;A,USA - Corp - Legal,USA - RNG - OH - Marketing,USA - Advisory Services - Ecosystem Economics  - Sales &amp; Marketing,CAN - Matrix - Operations,USA - ECT2 - OH - IT,USA - LDAR - OH - G&amp;A,USA - Water Treatment - OH - Safety,USA - CTEH - Health Sciences - Operations,USA - Advisory Services OH - Finance,USA - Real Time Air - OH - IT,USA - Environmental Consulting - Robbinsville - G&amp;A,USA - Environmental Consulting OH - Sales,EUR - ECT2 - OH - G&amp;A,USA - Stack - Power Start-Ups - Operations,USA - CTEH OH - Marketing,USA - Env Lab - Denver - Operations,USA - ECT2 - OH - Marketing,USA - Tob Lab - Berkeley - Sales &amp; Marketing,AUS - ECT2 O&amp;M - G&amp;A,USA - RNG - OH - Safety,USA - Environmental Consulting - Robbinsville - Operations,USA - Env Lab - Orange - Operations,USA - Real Time Air - OH - Marketing,USA - LDAR - OH - HR,USA - Water Treatment - OH - Sales &amp; Marketing,USA - Advisory Services - EHSS  - G&amp;A,USA - Real Time Air - Albuquerque - Operations,CAN - Matrix - Sales &amp; Marketing,USA - Environmental Consulting - Southeast - G&amp;A,USA - Stack - Great Plains - G&amp;A,USA - Environmental Consulting - Atlanta - Sales &amp; Marketing,USA - Environmental Consulting - Nashville - Sales &amp; Marketing,USA - Advisory Services OH - G&amp;A,USA - Tob Lab - Durham - G&amp;A,AUS - ECT2 O&amp;M - Operations,USA - CTEH - Health Sciences - Sales &amp; Marketing,USA - Stack - Power Start-Ups - Sales &amp; Marketing,USA - Environmental Consulting - Southeast - Operations,USA - Real Time Air - OH - Safety,USA - Environmental Consulting - Central  - G&amp;A,USA - RNG - OH - Sales,USA - LDAR - OH - Marketing,USA - Water Treatment - Sales &amp; Marketing,CAN - OGI - G&amp;A,USA - LDAR - OH - IT,USA - Env Lab - Durham - Operations,USA - Water Treatment - Operations,USA - Stack - Great Plains - Operations,USA - Environmental Consulting - Wilmington DE - G&amp;A,USA - Advisory Services OH - HR,USA - Corp - M&amp;A,USA - Advisory Services - EHSS  - Operations,USA - Real Time Air - Albuquerque - Sales &amp; Marketing,USA - Environmental Consulting - Wilmington - G&amp;A,AUS - ECT2 - OH - R&amp;D,CAN - Air Quality - OH - Marketing,USA - Stack - Seattle - Sales &amp; Marketing,USA - Corp - HR,USA - Environmental Consulting - Santa Ana (P&amp;C) - Sales &amp; Marketing,USA - CTEH - Disaster Recovery &amp; Innovative Services - Sales &amp; Marketing,USA - Stack - Chicago - Operations,USA - Env Lab - San Diego - Sales &amp; Marketing,USA - Advisory Services - Chemistry  - Operations,USA - OGI - G&amp;A,USA - Advisory Services - Sustainability - Operations,USA - ECT2 O&amp;M - Operations,USA - LDAR - California - G&amp;A,USA - ECT2 - G&amp;A,USA - ECT2 O&amp;M - G&amp;A,USA - Stack - OH - G&amp;A,USA - RNG - G&amp;A,USA - Environmental Consulting - Long Beach - G&amp;A,USA - Water Treatment - OH - G&amp;A,USA - Env Lab - Houston - Operations,USA - CTEH - Emergency Response - G&amp;A,USA - Stack - Chicago - Sales &amp; Marketing,AUS - ECT2 - OH - Safety,USA - Advisory Services - Sustainability - Sales &amp; Marketing,USA - Corp - Information Security,USA - LDAR - California - Operations,USA - Env Lab - Wilmington - G&amp;A,USA - Advisory Services - Chemistry  - Sales &amp; Marketing,USA - OGI - Operations,USA - Stack - Southeast - G&amp;A,USA - ECT2 O&amp;M - Sales &amp; Marketing,USA - Stack - OH - HR,USA - RNG - OH - Finance,USA - Environmental Consulting - Long Beach - Operations,USA - Env Lab - Houston - Sales &amp; Marketing,USA - Real Time Air - OH - Finance,CAN - Air Quality - OH - Safety,USA - Environmental Consulting OH - Marketing,USA - ECT2 - OH - Finance,CAN - Stack - Point Edward - Operations,USA - Water Treatment - OH - HR,USA - Corp - Internal Audit,USA - CTEH - Emergency Response - Operations,USA - Stack - Cleveland - G&amp;A,USA - Env Lab - Wilmington - Operations,USA - OGI - Sales &amp; Marketing,USA - Advisory Services - Transactional Diligence - G&amp;A,USA - Env Lab - Deer Park - G&amp;A,USA - LDAR - California - Sales &amp; Marketing,CAN - Stack - Point Edward - Sales &amp; Marketing,USA - Stack - OH - Marketing,USA - Stack - Southeast - Operations,USA - Environmental Consulting - Orlando - Operations,USA - Stack - OH - IT,USA - Environmental Consulting - Santa Ana (Rem) - G&amp;A,USA - Real Time Air - OH - G&amp;A,USA - RNG - OH - G&amp;A,USA - Environmental Consulting - Long Beach - Sales &amp; Marketing,USA - Env Lab - Mt Pleasant - G&amp;A,AUS - ECT2 - OH - Sales,USA - CTEH OH - HR,CAN - Air Quality - OH - Sales,USA - ECT2 - OH - G&amp;A,USA - Environmental Consulting - Nashville - G&amp;A,USA - Advisory Services - Transactional Diligence - Sales &amp; Marketing,USA - Environmental Consulting - Orlando - Sales &amp; Marketing,USA - RNG - OH - HR,EUR - ECT2 - G&amp;A,USA - Env Lab - Wilmington - Sales &amp; Marketing,USA - Stack - Southeast - Sales &amp; Marketing,USA - Env Lab - Deer Park - Operations,USA - Environmental Consulting OH - Safety,USA - Stack - OH - Safety,USA - Advisory Services - Ecosystem Economics  - G&amp;A,USA - Env Lab - Mt Pleasant - Operations,CAN - Air Quality - OH - Software Development,USA - ECT2 - OH - HR,USA - Water Treatment - OH - IT,USA - Environmental Consulting - Santa Ana (Rem) - Operations,USA - CTEH - Emergency Response - Sales &amp; Marketing,USA - Stack - Cleveland - Operations,USA - Real Time Air - Pinebrook - Sales &amp; Marketing,USA - Environmental Consulting - Charlottesville - Sales &amp; Marketing,CAN - Stack - Edmonton - G&amp;A,USA - Env Lab - El Dorado Hills - Sales &amp; Marketing,USA - Stack - Santa Ana - Sales &amp; Marketing,USA - Corp - Federal,USA - Corp - Sales,USA - Real Time Air - Austin - Sales &amp; Marketing,USA - Corp - Executive,USA - Labs - OH - IT,EUR - ECT2 - OH - Safety,USA - LDAR - Texas - G&amp;A,AUS - ECT2 - OH - G&amp;A,USA - Environmental Consulting - Valley Forge - G&amp;A,USA - Tob Lab - Richmond - Sales &amp; Marketing,CAN - Air Quality - OH - G&amp;A,USA - Stack - Northeast - G&amp;A,USA - Stack - Seattle - G&amp;A,USA - CTEH OH - Software Development,CAN - Stack - Edmonton - Operations,USA - Corp - Shared Services,USA - Real Time Air - Denver - Operations,USA - Environmental Consulting - Oakland - Sales &amp; Marketing,USA - Corp - Finance,USA - Env Lab - Richmond - Sales &amp; Marketing,EUR - ECT2 - OH - Sales,USA - LDAR - Texas - Operations,USA - Real Time Air - Denver - G&amp;A,USA - Advisory Services - HUCO - Sales &amp; Marketing,USA - ECT2 - Operations,USA - Water Treatment - G&amp;A,CAN - Air Quality - OH - HR,USA - Labs - OH - Marketing,USA - Stack - Northeast - Operations,USA - CTEH OH - Finance,AUS - ECT2 - OH - HR,USA - Environmental Consulting - Valley Forge - Operations,USA - Real Time Air - Specialized Monitoring Systems - G&amp;A,USA - Environmental Consulting - Environmental Intelligence - G&amp;A,USA - Stack - Antioch - Operations,CAN - Stack - Edmonton - Sales &amp; Marketing,USA - ECT2 - Sales &amp; Marketing,CAN - Air Quality - OH - IT Systems,USA - Stack - Seattle - Operations,USA - Corp - Financial Systems,USA - CTEH - Disaster Recovery &amp; Innovative Services - G&amp;A,USA - Env Lab - San Diego - G&amp;A,USA - LDAR - Texas - Sales &amp; Marketing,EUR - ECT2 - Sales &amp; Marketing,USA - Real Time Air - Denver - Sales &amp; Marketing,USA - Advisory Services - Sustainability - G&amp;A,USA - Labs - OH - Safety,EUR - ECT2 - Operations,USA - Environmental Consulting - Valley Forge - Sales &amp; Marketing,AUS - ECT2 - OH - IT,USA - Water Treatment - OH - Finance,USA - Environmental Consulting OH - HR,USA - Stack - Antioch - Sales &amp; Marketing,USA - Stack - Northeast - Sales &amp; Marketing,USA - Environmental Consulting - Santa Ana (P&amp;C) - G&amp;A,USA - Real Time Air - Specialized Monitoring Systems - Operations,USA - Environmental Consulting - Environmental Intelligence - Operations,CAN - Air Quality - OH - Legal,USA - Environmental Consulting OH - IT,CAN - Stack - Point Edward - G&amp;A,USA - Environmental Consulting - Santa Ana (P&amp;C) - Operations,USA - CTEH - Disaster Recovery &amp; Innovative Services - Operations,USA - Stack - Chicago - G&amp;A,AUS - ECT2 - OH - Marketing,USA - CTEH OH - G&amp;A,USA - Environmental Consulting - Orlando - G&amp;A,USA - Corp - G&amp;A,USA - Labs - OH - Sales,USA - Env Lab - San Diego - Operations,USA - Advisory Services - Chemistry  - G&amp;A,USA - Env Lab - Houston - G&amp;A,USA - Stack - OH - Finance,USA - Real Time Air - Specialized Monitoring Systems - Sales &amp; Marketing,USA - Environmental Consulting - Environmental Intelligence - Sales &amp; Marketing,USA - Environmental Consulting - Southeast - Sales &amp; Marketing,USA - Tob Lab - Durham - Operations,USA - Environmental Consulting - Wilmington DE - Operations,USA - Corp - Marketing,USA - Environmental Consulting - Oakland - G&amp;A,USA - CTEH - Industrial Hygiene &amp; Safety Services - G&amp;A,USA - Advisory Services - EHSS  - Sales &amp; Marketing,USA - Env Lab - Orange - Sales &amp; Marketing,USA - Real Time Air - OH - Sales,USA - Environmental Consulting - Central - Operations,CAN - OGI - Sales &amp; Marketing,USA - LDAR - OH - Safety,USA - Water Treatment O&amp;M - G&amp;A,CAN - OGI - Operations,USA - ECT2 - OH - R&amp;D,USA - Stack - Great Plains - Sales &amp; Marketing,USA - Advisory Services OH - IT,USA - Env Lab - Durham - Sales &amp; Marketing,USA - Labs - OH - Finance,EUR - ECT2 - OH - HR,USA - CTEH OH - Safety,USA - Environmental Consulting - Tampa - G&amp;A,USA - Real Time Air - OH - Software Development,USA - Environmental Consulting - Central - Sales &amp; Marketing,USA - Environmental Consulting - Oakland - Operations,USA - Env Lab - El Dorado Hills - G&amp;A,USA - Water Treatment O&amp;M - Operations,USA - Real Time Air - Austin - G&amp;A,USA - Advisory Services - HUCO - G&amp;A,CAN - Permit &amp; Comp - G&amp;A,USA - Stack - Gulf Coast - G&amp;A,USA - Stack - Santa Ana - G&amp;A,USA - Advisory Services OH - Marketing,USA - Environmental Consulting - Robbinsville - Sales &amp; Marketing,USA - RNG - Operations,EUR - ECT2 - OH - IT,USA - Tob Lab - Durham - Sales &amp; Marketing,AUS - ECT2 O&amp;M - Sales &amp; Marketing,USA - Environmental Consulting - Wilmington DE - Sales &amp; Marketing,USA - Labs - OH - G&amp;A,USA - Stack - Gulf Coast - Operations,USA - Advisory Services - HUCO - Operations,USA - Real Time Air - Pinebrook - G&amp;A,USA - Environmental Consulting - Charlottesville - G&amp;A,USA - Labs - OH - HR,CAN - Permit &amp; Comp - Operations,USA - LDAR - OH - Sales,USA - Water Treatment O&amp;M - Sales &amp; Marketing,USA - CTEH - Industrial Hygiene &amp; Safety Services - Operations,USA - Environmental Consulting - Sacramento - G&amp;A,USA - Corp - Public Company,USA - RNG - Sales &amp; Marketing,USA - Advisory Services OH - Safety,USA - Env Lab - Richmond - G&amp;A,EUR - ECT2 - OH - Marketing,AUS - ECT2 - G&amp;A,USA - Environmental Consulting - Tampa - Operations,USA - ECT2 - OH - Safety,USA - Tob Lab - Richmond - G&amp;A,USA - Environmental Consulting OH - Finance,USA - Real Time Air - Pinebrook - Operations,USA - Environmental Consulting - Charlottesville - Operations,USA - Env Lab - El Dorado Hills - Operations,USA - Environmental Consulting OH - G&amp;A,USA - CTEH OH - Sales,CAN - Permit &amp; Comp - Sales &amp; Marketing,USA - Environmental Consulting - Sacramento - Sales &amp; Marketing,USA - Corp - Safety,USA - CTEH - Industrial Hygiene &amp; Safety Services - Sales &amp; Marketing,USA - Advisory Services OH - Sales,USA - Environmental Consulting - Sacramento - Operations,USA - Stack - Antioch - G&amp;A,USA - Corp - R&amp;D,USA - Env Lab - Richmond - Operations,EUR - ECT2 - OH - R&amp;D,USA - Real Time Air - Austin - Operations,USA - ECT2 - OH - Sales,USA - Tob Lab - Richmond - Operations,CAN - Air Quality - OH - Finance,USA - Stack - Gulf Coast - Sales &amp; Marketing,USA - Stack - Santa Ana - Operations,AUS - ECT2 - OH - Finance,USA - Environmental Consulting - Tampa - Sales &amp; Marketing</t>
  </si>
  <si>
    <t>jwgable@montrose-env.com</t>
  </si>
  <si>
    <t>Gable</t>
  </si>
  <si>
    <t>38E03512641DA37F0A495EA1@038d2aa263c9deeb495fea.e</t>
  </si>
  <si>
    <t>djensenadmin@montrose-env.com</t>
  </si>
  <si>
    <t>Jensen Admin</t>
  </si>
  <si>
    <t>3C0229B5641DE5700A495E29@038d2aa263c9deeb495fea.e</t>
  </si>
  <si>
    <t>maboward@montrose-env.com</t>
  </si>
  <si>
    <t>Boward</t>
  </si>
  <si>
    <t>3C8A2754641E172E0A495C23@038d2aa263c9deeb495fea.e</t>
  </si>
  <si>
    <t>USA - Environmental Consulting - Orlando - Operations</t>
  </si>
  <si>
    <t>erickline@montrose-env.com</t>
  </si>
  <si>
    <t>Eric</t>
  </si>
  <si>
    <t>Kline</t>
  </si>
  <si>
    <t>AB91270A6421E0660A495CAC@038d2aa263c9deeb495fea.e</t>
  </si>
  <si>
    <t>anelskampadmin@montrose-env.com</t>
  </si>
  <si>
    <t>D44A274664231F3A0A495F94@038d2aa263c9deeb495fea.e</t>
  </si>
  <si>
    <t>joleadmin@montrose-env.com</t>
  </si>
  <si>
    <t>Le Admin</t>
  </si>
  <si>
    <t>D2D92863642320890A495E9A@038d2aa263c9deeb495fea.e</t>
  </si>
  <si>
    <t>rdadams@montrose-env.com</t>
  </si>
  <si>
    <t>Ryan</t>
  </si>
  <si>
    <t>Adams</t>
  </si>
  <si>
    <t>DC0C270A64234F720A495CAC@038d2aa263c9deeb495fea.e</t>
  </si>
  <si>
    <t>USA - Corp - HR</t>
  </si>
  <si>
    <t>jvecchio@montrose-env.com</t>
  </si>
  <si>
    <t>Justin</t>
  </si>
  <si>
    <t>Vecchio</t>
  </si>
  <si>
    <t>03C42A65642466740A495E7E@038d2aa263c9deeb495fea.e</t>
  </si>
  <si>
    <t>USA - OGI - Operations</t>
  </si>
  <si>
    <t>meganwilson@montrose-env.com</t>
  </si>
  <si>
    <t>Megan</t>
  </si>
  <si>
    <t>Wilson</t>
  </si>
  <si>
    <t>04CC29A7642477640A495C8C@038d2aa263c9deeb495fea.e</t>
  </si>
  <si>
    <t>montrosetraining@montrose-env.com</t>
  </si>
  <si>
    <t>Montrose</t>
  </si>
  <si>
    <t>Training</t>
  </si>
  <si>
    <t>08092A6F64247A850A495F8A@038d2aa263c9deeb495fea.e</t>
  </si>
  <si>
    <t>agraham@montrose-env.com</t>
  </si>
  <si>
    <t>Amy</t>
  </si>
  <si>
    <t>Graham</t>
  </si>
  <si>
    <t>2C9D2816642591CD0A495FA8@038d2aa263c9deeb495fea.e</t>
  </si>
  <si>
    <t>liliciaga@montrose-env.com</t>
  </si>
  <si>
    <t>Lisa</t>
  </si>
  <si>
    <t>Liciaga</t>
  </si>
  <si>
    <t>29DC289A6425AD8B0A495C39@038d2aa263c9deeb495fea.e</t>
  </si>
  <si>
    <t>USA - Environmental Consulting OH - Finance</t>
  </si>
  <si>
    <t>jicotton@montrose-env.com</t>
  </si>
  <si>
    <t>Cotton</t>
  </si>
  <si>
    <t>2C242AFD6425B4570A495F86@038d2aa263c9deeb495fea.e</t>
  </si>
  <si>
    <t>gemeahl@montrose-env.com</t>
  </si>
  <si>
    <t>Gerren</t>
  </si>
  <si>
    <t>Meahl</t>
  </si>
  <si>
    <t>2F4B274A6425BA6C0A495C10@038d2aa263c9deeb495fea.e</t>
  </si>
  <si>
    <t>USA - Stack - Southeast - Operations</t>
  </si>
  <si>
    <t>csueli@ect2.com</t>
  </si>
  <si>
    <t>Carl</t>
  </si>
  <si>
    <t>Sueli</t>
  </si>
  <si>
    <t>6A4029366427625B0A495FE4@038d2aa263c9deeb495fea.e</t>
  </si>
  <si>
    <t>AUS - ECT2 O&amp;M - G&amp;A</t>
  </si>
  <si>
    <t>kytrisler@montrose-env.com</t>
  </si>
  <si>
    <t>Kyle</t>
  </si>
  <si>
    <t>Trisler</t>
  </si>
  <si>
    <t>E0992AA0642B87750A495E80@038d2aa263c9deeb495fea.e</t>
  </si>
  <si>
    <t>USA - Environmental Consulting - Sacramento - Operations</t>
  </si>
  <si>
    <t>cajohnson@montrose-env.com</t>
  </si>
  <si>
    <t>Cari</t>
  </si>
  <si>
    <t>Johnson</t>
  </si>
  <si>
    <t>08DE2A86642CCA270A495FBA@038d2aa263c9deeb495fea.e</t>
  </si>
  <si>
    <t>USA - Environmental Consulting - Orlando - Sales &amp; Marketing</t>
  </si>
  <si>
    <t>korourke@montrose-env.com</t>
  </si>
  <si>
    <t>Kevin</t>
  </si>
  <si>
    <t>ORourke</t>
  </si>
  <si>
    <t>1FE129EB642D68180A495EBF@038d2aa263c9deeb495fea.e</t>
  </si>
  <si>
    <t>chfeichtadmin@montrose-env.com</t>
  </si>
  <si>
    <t>Christian</t>
  </si>
  <si>
    <t>Feicht Admin</t>
  </si>
  <si>
    <t>308829E4642DC3D90A495C4F@038d2aa263c9deeb495fea.e</t>
  </si>
  <si>
    <t>anbraun@montrose-env.com</t>
  </si>
  <si>
    <t>Andrew</t>
  </si>
  <si>
    <t>Braun</t>
  </si>
  <si>
    <t>9492274A64306EB40A495C10@038d2aa263c9deeb495fea.e</t>
  </si>
  <si>
    <t>tmengels@montrose-env.com</t>
  </si>
  <si>
    <t>Tom</t>
  </si>
  <si>
    <t>Engels</t>
  </si>
  <si>
    <t>A19A29CA6430829A0A495EF1@038d2aa263c9deeb495fea.e</t>
  </si>
  <si>
    <t>USA - Environmental Consulting - Oakland - Operations</t>
  </si>
  <si>
    <t>erDeSourdy@montrose-env.com</t>
  </si>
  <si>
    <t>Erin</t>
  </si>
  <si>
    <t>DeSourdy</t>
  </si>
  <si>
    <t>ED4F2B37643462600A495E06@038d2aa263c9deeb495fea.e</t>
  </si>
  <si>
    <t>cvillasenor@montrose-env.com</t>
  </si>
  <si>
    <t>Cedrick</t>
  </si>
  <si>
    <t>Villasenor</t>
  </si>
  <si>
    <t>F8F22A3C64349B9F0A495E6A@038d2aa263c9deeb495fea.e</t>
  </si>
  <si>
    <t>rpatry@montrose-env.com</t>
  </si>
  <si>
    <t>Randy</t>
  </si>
  <si>
    <t>Patry</t>
  </si>
  <si>
    <t>8BF629ED64381A240A495C53@038d2aa263c9deeb495fea.e</t>
  </si>
  <si>
    <t>linda.scharpenberg@enthalpy.com</t>
  </si>
  <si>
    <t>Linda</t>
  </si>
  <si>
    <t>Scharpenberg</t>
  </si>
  <si>
    <t>13D432B9643948880A495CC7@038d2aa263c9deeb495fea.e</t>
  </si>
  <si>
    <t>niwelch@montrose-env.com</t>
  </si>
  <si>
    <t>Nicholas</t>
  </si>
  <si>
    <t>Welch</t>
  </si>
  <si>
    <t>818C382E643D6C2B0A495EA3@038d2aa263c9deeb495fea.e</t>
  </si>
  <si>
    <t>USA - ECT2 - OH - Marketing</t>
  </si>
  <si>
    <t>misanders@montrose-env.com</t>
  </si>
  <si>
    <t>Michelle</t>
  </si>
  <si>
    <t>Sanders</t>
  </si>
  <si>
    <t>8176366D643D6C2B0A495E23@038d2aa263c9deeb495fea.e</t>
  </si>
  <si>
    <t>USA - Environmental Consulting OH - Marketing</t>
  </si>
  <si>
    <t>jeremysmith@montrose-env.com</t>
  </si>
  <si>
    <t>Jeremy</t>
  </si>
  <si>
    <t>AC921B91643ECE850A495CEA@038d2aa263c9deeb495fea.e</t>
  </si>
  <si>
    <t>pzemek@montrose-env.com</t>
  </si>
  <si>
    <t>Peter</t>
  </si>
  <si>
    <t>Zemek</t>
  </si>
  <si>
    <t>081B393264419A330A495E30@038d2aa263c9deeb495fea.e</t>
  </si>
  <si>
    <t>jclark@montrose-env.com</t>
  </si>
  <si>
    <t>Clark</t>
  </si>
  <si>
    <t>2E623DFF6442BEFB0A495FB2@038d2aa263c9deeb495fea.e</t>
  </si>
  <si>
    <t>keignaszak@montrose-env.com</t>
  </si>
  <si>
    <t>Ignaszak</t>
  </si>
  <si>
    <t>AC83648A644689F30A495FC0@038d2aa263c9deeb495fea.e</t>
  </si>
  <si>
    <t>USA - Environmental Consulting - Robbinsville - Operations</t>
  </si>
  <si>
    <t>stcampbell@montrose-env.com</t>
  </si>
  <si>
    <t>Campbell</t>
  </si>
  <si>
    <t>8B601AD5644689F40A495E8F@038d2aa263c9deeb495fea.e</t>
  </si>
  <si>
    <t>rebekah.armentrout@enthalpy.com</t>
  </si>
  <si>
    <t>Rebekah</t>
  </si>
  <si>
    <t>Armentrout</t>
  </si>
  <si>
    <t>B616016E6446C6770A495FC3@038d2aa263c9deeb495fea.e</t>
  </si>
  <si>
    <t>USA - Labs - OH - Finance</t>
  </si>
  <si>
    <t>CrWendling@montrose-env.com</t>
  </si>
  <si>
    <t>crwendling@montrose-env.com</t>
  </si>
  <si>
    <t>Craig</t>
  </si>
  <si>
    <t>Wendling</t>
  </si>
  <si>
    <t>B677016E6446C99A0A495FC3@038d2aa263c9deeb495fea.e</t>
  </si>
  <si>
    <t>cadutra@montrose-env.com</t>
  </si>
  <si>
    <t>Carley</t>
  </si>
  <si>
    <t>Dutra</t>
  </si>
  <si>
    <t>0D0D016E644947AF0A495FC3@038d2aa263c9deeb495fea.e</t>
  </si>
  <si>
    <t>micarlyle@montrose-env.com</t>
  </si>
  <si>
    <t>Misty</t>
  </si>
  <si>
    <t>Carlyle</t>
  </si>
  <si>
    <t>0F7C1C2664497A0C0A495E6E@038d2aa263c9deeb495fea.e</t>
  </si>
  <si>
    <t>tgrosshandler@montrose-env.com</t>
  </si>
  <si>
    <t>Todd</t>
  </si>
  <si>
    <t>Grosshandler</t>
  </si>
  <si>
    <t>0346125664499CFC0A495FDD@038d2aa263c9deeb495fea.e</t>
  </si>
  <si>
    <t>USA - Corp - Executive</t>
  </si>
  <si>
    <t>sarahking@montrose-env.com</t>
  </si>
  <si>
    <t>King</t>
  </si>
  <si>
    <t>B07128BE644FD2460A495E73@038d2aa263c9deeb495fea.e</t>
  </si>
  <si>
    <t>lobustamante@montrose-env.com</t>
  </si>
  <si>
    <t>Louis</t>
  </si>
  <si>
    <t>Bustamante</t>
  </si>
  <si>
    <t>B9DB288564502ACA0A495CA4@038d2aa263c9deeb495fea.e</t>
  </si>
  <si>
    <t>jelamoreux@montrose-env.com</t>
  </si>
  <si>
    <t>Jennifer</t>
  </si>
  <si>
    <t>Lamoreux</t>
  </si>
  <si>
    <t>D677276D6451026E0A495E7B@038d2aa263c9deeb495fea.e</t>
  </si>
  <si>
    <t>brmendoza@montrose-env.com</t>
  </si>
  <si>
    <t>Bryan</t>
  </si>
  <si>
    <t>Mendoza</t>
  </si>
  <si>
    <t>AEFF28AF645732560A495E0C@038d2aa263c9deeb495fea.e</t>
  </si>
  <si>
    <t>chmiller@montrose-env.com</t>
  </si>
  <si>
    <t>Miller</t>
  </si>
  <si>
    <t>0CFE2643645A82E20A495CAF@038d2aa263c9deeb495fea.e</t>
  </si>
  <si>
    <t>chweber@montrose-env.com</t>
  </si>
  <si>
    <t>Chris</t>
  </si>
  <si>
    <t>Weber</t>
  </si>
  <si>
    <t>712828FB645D56E20A495EEE@038d2aa263c9deeb495fea.e</t>
  </si>
  <si>
    <t>jschulte@montrose-env.com</t>
  </si>
  <si>
    <t>Schulte</t>
  </si>
  <si>
    <t>6D732520645D68C50A495EDF@038d2aa263c9deeb495fea.e</t>
  </si>
  <si>
    <t>cabraham@montrose-env.com</t>
  </si>
  <si>
    <t>Abraham</t>
  </si>
  <si>
    <t>203324F0645E756A0A495E5D@038d2aa263c9deeb495fea.e</t>
  </si>
  <si>
    <t>USA - Labs - OH - Safety</t>
  </si>
  <si>
    <t>erinrodgers@montrose-env.com</t>
  </si>
  <si>
    <t>Rodgers</t>
  </si>
  <si>
    <t>80B324F7646253210A495C89@038d2aa263c9deeb495fea.e</t>
  </si>
  <si>
    <t>emandrews@montrose-env.com</t>
  </si>
  <si>
    <t>Emily</t>
  </si>
  <si>
    <t>Andrews</t>
  </si>
  <si>
    <t>E06F268164655D690A495C62@038d2aa263c9deeb495fea.e</t>
  </si>
  <si>
    <t>Default Acrobat Pro configuration,Default InDesign configuration,Default Photoshop configuration</t>
  </si>
  <si>
    <t>USA - Environmental Consulting - Sacramento - G&amp;A</t>
  </si>
  <si>
    <t>Acrobat Pro (VIPMP - 99C0A3088A102BD9CB4A),InDesign (VIPMP - 99C0A3088A102BD9CB4A),Photoshop (VIPMP - 99C0A3088A102BD9CB4A)</t>
  </si>
  <si>
    <t>vavasquez@montrose-env.com</t>
  </si>
  <si>
    <t>Vanessa</t>
  </si>
  <si>
    <t>Vasquez</t>
  </si>
  <si>
    <t>7D10269E646B72D70A495C87@038d2aa263c9deeb495fea.e</t>
  </si>
  <si>
    <t>sawieder@montrose-env.com</t>
  </si>
  <si>
    <t>Sandy</t>
  </si>
  <si>
    <t>Wieder</t>
  </si>
  <si>
    <t>05BD60EB646EF09C0A495E10@038d2aa263c9deeb495fea.e</t>
  </si>
  <si>
    <t>slmay@montrose-env.com</t>
  </si>
  <si>
    <t>Stephanie</t>
  </si>
  <si>
    <t>May</t>
  </si>
  <si>
    <t>11F649C8646F52790A495CA1@038d2aa263c9deeb495fea.e</t>
  </si>
  <si>
    <t>USA - Remediation - Florida - operations</t>
  </si>
  <si>
    <t>mpotter@montrose-env.com</t>
  </si>
  <si>
    <t>Potter</t>
  </si>
  <si>
    <t>1B5D60EB646F90EB0A495E10@038d2aa263c9deeb495fea.e</t>
  </si>
  <si>
    <t>djedski@montrose-env.com</t>
  </si>
  <si>
    <t>Diane</t>
  </si>
  <si>
    <t>Jedski</t>
  </si>
  <si>
    <t>A4D71EE1647619570A495CA2@038d2aa263c9deeb495fea.e</t>
  </si>
  <si>
    <t>mahallamasek@montrose-env.com</t>
  </si>
  <si>
    <t>Margaret</t>
  </si>
  <si>
    <t>Hallamasek</t>
  </si>
  <si>
    <t>AD8C1EBB647647530A495C16@038d2aa263c9deeb495fea.e</t>
  </si>
  <si>
    <t>USA - Real Time Air - OH - Sales</t>
  </si>
  <si>
    <t>chdavis@montrose-env.com</t>
  </si>
  <si>
    <t>Cheri</t>
  </si>
  <si>
    <t>Davis</t>
  </si>
  <si>
    <t>D0E51EDA647763680A495CC9@038d2aa263c9deeb495fea.e</t>
  </si>
  <si>
    <t>USA - Stack - Gulf Coast - G&amp;A</t>
  </si>
  <si>
    <t>joehrmann@montrose-env.com</t>
  </si>
  <si>
    <t>Johann</t>
  </si>
  <si>
    <t>Ehrmann</t>
  </si>
  <si>
    <t>E0F21EDF6477A2D90A495E34@038d2aa263c9deeb495fea.e</t>
  </si>
  <si>
    <t>ronda.burrell@enthalpy.com</t>
  </si>
  <si>
    <t>Ronda</t>
  </si>
  <si>
    <t>Burrell</t>
  </si>
  <si>
    <t>DA9A1EDC6477A3430A495FF0@038d2aa263c9deeb495fea.e</t>
  </si>
  <si>
    <t>vigrossman@montrose-env.com</t>
  </si>
  <si>
    <t>Viktoria</t>
  </si>
  <si>
    <t>Grossman</t>
  </si>
  <si>
    <t>DA761DC76477A4980A495E3E@038d2aa263c9deeb495fea.e</t>
  </si>
  <si>
    <t>USA - CTEH - Disaster Recovery &amp; Innovative Services - Operations,USA - Advisory Services - Ecosystem Economics - Operations</t>
  </si>
  <si>
    <t>zanyhus@montrose-env.com</t>
  </si>
  <si>
    <t>Zara</t>
  </si>
  <si>
    <t>Nyhus</t>
  </si>
  <si>
    <t>2ACC1EE0647A15610A495F90@038d2aa263c9deeb495fea.e</t>
  </si>
  <si>
    <t>USA - Real Time Air - OH - Marketing</t>
  </si>
  <si>
    <t>gisantiago@montrose-env.com</t>
  </si>
  <si>
    <t>Giovanni</t>
  </si>
  <si>
    <t>Santiago</t>
  </si>
  <si>
    <t>9F331ED5647DF2120A495C7A@038d2aa263c9deeb495fea.e</t>
  </si>
  <si>
    <t>USA - Corp - Legal</t>
  </si>
  <si>
    <t>quynhgiao.le@enthalpy.com</t>
  </si>
  <si>
    <t>Quynhgiao</t>
  </si>
  <si>
    <t>B7D71ED9647E549A0A495EF3@038d2aa263c9deeb495fea.e</t>
  </si>
  <si>
    <t>USA - Env Lab - Orange - Operations</t>
  </si>
  <si>
    <t>tmorrison@montrose-env.com</t>
  </si>
  <si>
    <t>teresa.morrison@enthalpy.com</t>
  </si>
  <si>
    <t>Teresa</t>
  </si>
  <si>
    <t>Morrison</t>
  </si>
  <si>
    <t>CD731EE5647F32570A495FBE@038d2aa263c9deeb495fea.e</t>
  </si>
  <si>
    <t>USA - Labs - OH - G&amp;A</t>
  </si>
  <si>
    <t>laroquemore@montrose-env.com</t>
  </si>
  <si>
    <t>Lauren</t>
  </si>
  <si>
    <t>Roquemore</t>
  </si>
  <si>
    <t>DE2B1F01647F70D70A495E3F@038d2aa263c9deeb495fea.e</t>
  </si>
  <si>
    <t>dfrank@montrose-env.com</t>
  </si>
  <si>
    <t>Diana</t>
  </si>
  <si>
    <t>Frank</t>
  </si>
  <si>
    <t>D89E1EDC647F88E40A495FCA@038d2aa263c9deeb495fea.e</t>
  </si>
  <si>
    <t>shahadi@montrose-env.com</t>
  </si>
  <si>
    <t>Shilie</t>
  </si>
  <si>
    <t>Ahadi</t>
  </si>
  <si>
    <t>0AA61EBA648103300A495E9A@038d2aa263c9deeb495fea.e</t>
  </si>
  <si>
    <t>USA - LDAR - OH - Sales</t>
  </si>
  <si>
    <t>nategilliland@montrose-env.com</t>
  </si>
  <si>
    <t>Nate</t>
  </si>
  <si>
    <t>Gilliland</t>
  </si>
  <si>
    <t>29C71EDA648247970A495CC9@038d2aa263c9deeb495fea.e</t>
  </si>
  <si>
    <t>USA - Corp - Financial Systems</t>
  </si>
  <si>
    <t>joehrmannadmin@montrose-env.com</t>
  </si>
  <si>
    <t>Ehrmann Admin</t>
  </si>
  <si>
    <t>40691DC7648340450A495E3E@038d2aa263c9deeb495fea.e</t>
  </si>
  <si>
    <t>dkliethermes@montrose-env.com</t>
  </si>
  <si>
    <t>Derek</t>
  </si>
  <si>
    <t>Kliethermes</t>
  </si>
  <si>
    <t>A2A31ED964874C490A495C8A@038d2aa263c9deeb495fea.e</t>
  </si>
  <si>
    <t>USA - CTEH - Emergency Response - Operations</t>
  </si>
  <si>
    <t>bericson@montrose-env.com</t>
  </si>
  <si>
    <t>Blake</t>
  </si>
  <si>
    <t>Ericson</t>
  </si>
  <si>
    <t>AD451ED564874C490A495E1A@038d2aa263c9deeb495fea.e</t>
  </si>
  <si>
    <t>USA - Stack - OH - Sales</t>
  </si>
  <si>
    <t>dduncan@montrose-env.com</t>
  </si>
  <si>
    <t>Duncan</t>
  </si>
  <si>
    <t>9CC01EDA64874C4A0A495CC9@038d2aa263c9deeb495fea.e</t>
  </si>
  <si>
    <t>mikupper@montrose-env.com</t>
  </si>
  <si>
    <t>Kupper</t>
  </si>
  <si>
    <t>9FA41EDE64874C4A0A495CA8@038d2aa263c9deeb495fea.e</t>
  </si>
  <si>
    <t>USA - LDAR - OH - G&amp;A,USA - OGI - G&amp;A</t>
  </si>
  <si>
    <t>sacummins@montrose-env.com</t>
  </si>
  <si>
    <t>Sally</t>
  </si>
  <si>
    <t>Cummins</t>
  </si>
  <si>
    <t>9E3D1EB764874C4A0A495CC5@038d2aa263c9deeb495fea.e</t>
  </si>
  <si>
    <t>cdmauk@montrose-env.com</t>
  </si>
  <si>
    <t>Derrick</t>
  </si>
  <si>
    <t>Mauk</t>
  </si>
  <si>
    <t>A2871EBD64874C4A0A495F85@038d2aa263c9deeb495fea.e</t>
  </si>
  <si>
    <t>Default Acrobat Standard DC configuration,Default Adobe Captivate configuration</t>
  </si>
  <si>
    <t>USA - LDAR - OH - G&amp;A</t>
  </si>
  <si>
    <t>Acrobat Standard DC (VIPMP - 99C0A3088A102BD9CB4A),Adobe Captivate (VIPMP - 99C0A3088A102BD9CB4A)</t>
  </si>
  <si>
    <t>srosso@montrose-env.com</t>
  </si>
  <si>
    <t>Sara</t>
  </si>
  <si>
    <t>Rosso</t>
  </si>
  <si>
    <t>99A71EBE64874C4A0A495EA7@038d2aa263c9deeb495fea.e</t>
  </si>
  <si>
    <t>USA - LDAR - California - G&amp;A</t>
  </si>
  <si>
    <t>kcrosby@montrose-env.com</t>
  </si>
  <si>
    <t>Crosby</t>
  </si>
  <si>
    <t>A67F1EAE64874C4B0A495C15@038d2aa263c9deeb495fea.e</t>
  </si>
  <si>
    <t>USA - Stack - Antioch - G&amp;A</t>
  </si>
  <si>
    <t>mibrennan@montrose-env.com</t>
  </si>
  <si>
    <t>Brennan</t>
  </si>
  <si>
    <t>9E9D1EE464874C4C0A495C41@038d2aa263c9deeb495fea.e</t>
  </si>
  <si>
    <t>michelle.hill@enthalpy.com</t>
  </si>
  <si>
    <t>Hill</t>
  </si>
  <si>
    <t>9FE61FDA648756B50A495FA9@038d2aa263c9deeb495fea.e</t>
  </si>
  <si>
    <t>pkauppi@montrose-env.com</t>
  </si>
  <si>
    <t>Phillip</t>
  </si>
  <si>
    <t>Kauppi</t>
  </si>
  <si>
    <t>C7281EDC6488491A0A495EAE@038d2aa263c9deeb495fea.e</t>
  </si>
  <si>
    <t>kaitlinjudy@montrose-env.com</t>
  </si>
  <si>
    <t>Kaitlin</t>
  </si>
  <si>
    <t>Judy</t>
  </si>
  <si>
    <t>D2301EE26488B20B0A495C85@038d2aa263c9deeb495fea.e</t>
  </si>
  <si>
    <t>diroberts@montrose-env.com</t>
  </si>
  <si>
    <t>Roberts</t>
  </si>
  <si>
    <t>28271E80648B459F0A495CF3@038d2aa263c9deeb495fea.e</t>
  </si>
  <si>
    <t>lebutler@montrose-env.com</t>
  </si>
  <si>
    <t>Levi</t>
  </si>
  <si>
    <t>Butler</t>
  </si>
  <si>
    <t>29CE1DD3648B6DEE0A495FA4@038d2aa263c9deeb495fea.e</t>
  </si>
  <si>
    <t>andrea.mena@enthalpy.com</t>
  </si>
  <si>
    <t>Andrea</t>
  </si>
  <si>
    <t>Mena</t>
  </si>
  <si>
    <t>C9551ED9649060360A495E5D@038d2aa263c9deeb495fea.e</t>
  </si>
  <si>
    <t>USA - Env Lab - Deer Park - Operations</t>
  </si>
  <si>
    <t>amawilliams@montrose-env.com</t>
  </si>
  <si>
    <t>Williams</t>
  </si>
  <si>
    <t>D4851DE764906CB70A495C40@038d2aa263c9deeb495fea.e</t>
  </si>
  <si>
    <t>padonaldson@montrose-env.com</t>
  </si>
  <si>
    <t>Patrick</t>
  </si>
  <si>
    <t>Donaldson</t>
  </si>
  <si>
    <t>F76B1DE76491E5840A495FF1@038d2aa263c9deeb495fea.e</t>
  </si>
  <si>
    <t>jperrini@montrose-env.com</t>
  </si>
  <si>
    <t>Jessica</t>
  </si>
  <si>
    <t>Perrini</t>
  </si>
  <si>
    <t>FBC01DE7649203D10A495FF1@038d2aa263c9deeb495fea.e</t>
  </si>
  <si>
    <t>cfielden@montrose-env.com</t>
  </si>
  <si>
    <t>Cheryl</t>
  </si>
  <si>
    <t>Fielden</t>
  </si>
  <si>
    <t>18D21DE96492DE660A495E4A@038d2aa263c9deeb495fea.e</t>
  </si>
  <si>
    <t>erboelkens@montrose-env.com</t>
  </si>
  <si>
    <t>Boelkens</t>
  </si>
  <si>
    <t>398C1DF164936BF20A495FC8@038d2aa263c9deeb495fea.e</t>
  </si>
  <si>
    <t>USA - Corp - Finance</t>
  </si>
  <si>
    <t>dmutuc@montrose-env.com</t>
  </si>
  <si>
    <t>Denniese</t>
  </si>
  <si>
    <t>Mutuc</t>
  </si>
  <si>
    <t>3EFC1DE76493710B0A495C40@038d2aa263c9deeb495fea.e</t>
  </si>
  <si>
    <t>tristan.burnette@enthalpy.com</t>
  </si>
  <si>
    <t>Tristan</t>
  </si>
  <si>
    <t>Burnette</t>
  </si>
  <si>
    <t>56A71E1464945EAD0A495E04@038d2aa263c9deeb495fea.e</t>
  </si>
  <si>
    <t>USA - Labs - OH - IT</t>
  </si>
  <si>
    <t>brenda.hamilton@enthalpy.com</t>
  </si>
  <si>
    <t>Brenda</t>
  </si>
  <si>
    <t>Hamilton</t>
  </si>
  <si>
    <t>56571E4C64946CC70A495E75@038d2aa263c9deeb495fea.e</t>
  </si>
  <si>
    <t>laura.boivin@enthalpy.com</t>
  </si>
  <si>
    <t>Laura</t>
  </si>
  <si>
    <t>Boivin</t>
  </si>
  <si>
    <t>5ADE1DE964946CFF0A495C47@038d2aa263c9deeb495fea.e</t>
  </si>
  <si>
    <t>USA - Env Lab - Wilmington - G&amp;A</t>
  </si>
  <si>
    <t>urleos@montrose-env.com</t>
  </si>
  <si>
    <t>Urbano</t>
  </si>
  <si>
    <t>Leos</t>
  </si>
  <si>
    <t>626F1DD164948F8C0A495C1A@038d2aa263c9deeb495fea.e</t>
  </si>
  <si>
    <t>USA - Real Time Air - Specialized Monitoring Systems - Operations</t>
  </si>
  <si>
    <t>stargabright@montrose-env.com</t>
  </si>
  <si>
    <t>Argabright</t>
  </si>
  <si>
    <t>5CD91DF264948F8D0A495E68@038d2aa263c9deeb495fea.e</t>
  </si>
  <si>
    <t>USA - Real Time Air - Austin - Operations</t>
  </si>
  <si>
    <t>frgreene@montrose-env.com</t>
  </si>
  <si>
    <t>Fran</t>
  </si>
  <si>
    <t>Greene</t>
  </si>
  <si>
    <t>5FAD1E196494AB400A495C42@038d2aa263c9deeb495fea.e</t>
  </si>
  <si>
    <t>dagratson@montrose-env.com</t>
  </si>
  <si>
    <t>Gratson</t>
  </si>
  <si>
    <t>44564AEC649C474F0A495FA1@038d2aa263c9deeb495fea.e</t>
  </si>
  <si>
    <t>breannasenate@montrose-env.com</t>
  </si>
  <si>
    <t>Breanna</t>
  </si>
  <si>
    <t>Senate</t>
  </si>
  <si>
    <t>68E81DED649D911A0A495FFA@038d2aa263c9deeb495fea.e</t>
  </si>
  <si>
    <t>ashleytuggle@montrose-env.com</t>
  </si>
  <si>
    <t>Ashley</t>
  </si>
  <si>
    <t>Tuggle</t>
  </si>
  <si>
    <t>72735AD9649DE8600A495EA9@038d2aa263c9deeb495fea.e</t>
  </si>
  <si>
    <t>chfeicht@montrose-env.com</t>
  </si>
  <si>
    <t>Feicht</t>
  </si>
  <si>
    <t>451F62C064A549220A495FA2@038d2aa263c9deeb495fea.e</t>
  </si>
  <si>
    <t>alambroseo@montrose-env.com</t>
  </si>
  <si>
    <t>Alexa</t>
  </si>
  <si>
    <t>Ambroseo</t>
  </si>
  <si>
    <t>49C1491F64A5930D0A495FED@038d2aa263c9deeb495fea.e</t>
  </si>
  <si>
    <t>USA - Advisory Services - Sustainability - Operations</t>
  </si>
  <si>
    <t>michael.levine@enthalpy.com</t>
  </si>
  <si>
    <t>Levine</t>
  </si>
  <si>
    <t>5E0E0E4F64A5EA580A495ECA@038d2aa263c9deeb495fea.e</t>
  </si>
  <si>
    <t>anpedersen@montrose-env.com</t>
  </si>
  <si>
    <t>Pederson</t>
  </si>
  <si>
    <t>583E1DF564A5EB3F0A495C69@038d2aa263c9deeb495fea.e</t>
  </si>
  <si>
    <t>kanelson@montrose-env.com</t>
  </si>
  <si>
    <t>Katherine</t>
  </si>
  <si>
    <t>692074E864A6C3420A495E70@038d2aa263c9deeb495fea.e</t>
  </si>
  <si>
    <t>jwatson@montrose-env.com</t>
  </si>
  <si>
    <t>Watson</t>
  </si>
  <si>
    <t>7217617164A6CE960A495C80@038d2aa263c9deeb495fea.e</t>
  </si>
  <si>
    <t>USA - Stack - Southeast - G&amp;A</t>
  </si>
  <si>
    <t>dekelley@montrose-env.com</t>
  </si>
  <si>
    <t>DeAnna</t>
  </si>
  <si>
    <t>Kelley</t>
  </si>
  <si>
    <t>73FC1B6C64A6E3150A495C34@038d2aa263c9deeb495fea.e</t>
  </si>
  <si>
    <t>USA - Advisory Services - Chemistry - G&amp;A</t>
  </si>
  <si>
    <t>sacoppola@montrose-env.com</t>
  </si>
  <si>
    <t>Coppola</t>
  </si>
  <si>
    <t>79261DEC64A6F5AD0A495C18@038d2aa263c9deeb495fea.e</t>
  </si>
  <si>
    <t>USA - Environmental Consulting - Wilmington DE - Operations</t>
  </si>
  <si>
    <t>cuholshouser@montrose-env.com</t>
  </si>
  <si>
    <t>Curtis</t>
  </si>
  <si>
    <t>Holshouser</t>
  </si>
  <si>
    <t>A8E1646464A877240A495CF3@038d2aa263c9deeb495fea.e</t>
  </si>
  <si>
    <t>USA - Environmental Consulting - Atlanta - Operations</t>
  </si>
  <si>
    <t>pzimmermann@ect2.com</t>
  </si>
  <si>
    <t>Paul</t>
  </si>
  <si>
    <t>Zimmerman</t>
  </si>
  <si>
    <t>E27B679D64AC0CF60A495C86@038d2aa263c9deeb495fea.e</t>
  </si>
  <si>
    <t>USA - ECT2 O&amp;M - Operations</t>
  </si>
  <si>
    <t>mamiller@montrose-env.com</t>
  </si>
  <si>
    <t>E4E44DB264AC150B0A495E12@038d2aa263c9deeb495fea.e</t>
  </si>
  <si>
    <t>ranarez@montrose-env.com</t>
  </si>
  <si>
    <t>Raul</t>
  </si>
  <si>
    <t>Narez</t>
  </si>
  <si>
    <t>E8DF783864AC24560A495CC3@038d2aa263c9deeb495fea.e</t>
  </si>
  <si>
    <t>jowickeradmin@montrose-env.com</t>
  </si>
  <si>
    <t>Jordan</t>
  </si>
  <si>
    <t>Wicker Admin</t>
  </si>
  <si>
    <t>F32C0C5764AC62180A495CB1@038d2aa263c9deeb495fea.e</t>
  </si>
  <si>
    <t>bryan.vining@enthalpy.com</t>
  </si>
  <si>
    <t>Vining</t>
  </si>
  <si>
    <t>0E456B7764AD49F80A495FC1@038d2aa263c9deeb495fea.e</t>
  </si>
  <si>
    <t>jcarling@montrose-env.com</t>
  </si>
  <si>
    <t>Carling</t>
  </si>
  <si>
    <t>3C7C5EDE64AEC22A0A495FD0@038d2aa263c9deeb495fea.e</t>
  </si>
  <si>
    <t>breck@montrose-env.com</t>
  </si>
  <si>
    <t>Eck</t>
  </si>
  <si>
    <t>4A87251964AEFDFB0A495E58@038d2aa263c9deeb495fea.e</t>
  </si>
  <si>
    <t>sedyra@montrose-env.com</t>
  </si>
  <si>
    <t>Sean</t>
  </si>
  <si>
    <t>Dyra</t>
  </si>
  <si>
    <t>63D9491F64AFF0930A495FED@038d2aa263c9deeb495fea.e</t>
  </si>
  <si>
    <t>jufinnigan@montrose-env.com</t>
  </si>
  <si>
    <t>Julia</t>
  </si>
  <si>
    <t>Finnigan</t>
  </si>
  <si>
    <t>682763AB64AFF2660A495E8D@038d2aa263c9deeb495fea.e</t>
  </si>
  <si>
    <t>ktstickel@montrose-env.com</t>
  </si>
  <si>
    <t>K.T.</t>
  </si>
  <si>
    <t>Stickel</t>
  </si>
  <si>
    <t>68C11DF564AFF3890A495C69@038d2aa263c9deeb495fea.e</t>
  </si>
  <si>
    <t>aljennings@montrose-env.com</t>
  </si>
  <si>
    <t>Alex</t>
  </si>
  <si>
    <t>Jennings</t>
  </si>
  <si>
    <t>63A9643564AFF9420A495E75@038d2aa263c9deeb495fea.e</t>
  </si>
  <si>
    <t>USA - Environmental Consulting - Valley Forge - G&amp;A</t>
  </si>
  <si>
    <t>swynkoop@ect2.com</t>
  </si>
  <si>
    <t>Sandra</t>
  </si>
  <si>
    <t>Wynkoop</t>
  </si>
  <si>
    <t>717D082C64B049900A495FE1@038d2aa263c9deeb495fea.e</t>
  </si>
  <si>
    <t>USA - RNG - OH - G&amp;A</t>
  </si>
  <si>
    <t>jpeterson@montrose-env.com</t>
  </si>
  <si>
    <t>Peterson</t>
  </si>
  <si>
    <t>7F151F3164B57C800A495E97@038d2aa263c9deeb495fea.e</t>
  </si>
  <si>
    <t>USA - Stack - Santa Ana - G&amp;A</t>
  </si>
  <si>
    <t>rymount@montrose-env.com</t>
  </si>
  <si>
    <t>Mount</t>
  </si>
  <si>
    <t>ADC81F3164B6E8330A495E97@038d2aa263c9deeb495fea.e</t>
  </si>
  <si>
    <t>ercromer@montrose-env.com</t>
  </si>
  <si>
    <t>Ericka</t>
  </si>
  <si>
    <t>Cromer</t>
  </si>
  <si>
    <t>B3461F3064B70A300A495E64@038d2aa263c9deeb495fea.e</t>
  </si>
  <si>
    <t>USA - Stack - Great Plains - Operations</t>
  </si>
  <si>
    <t>macongdon@montrose-env.com</t>
  </si>
  <si>
    <t>Marcus</t>
  </si>
  <si>
    <t>Congdon</t>
  </si>
  <si>
    <t>D30F1F3764B810230A495E32@038d2aa263c9deeb495fea.e</t>
  </si>
  <si>
    <t>nimusser@montrose-env.com</t>
  </si>
  <si>
    <t>Nikki</t>
  </si>
  <si>
    <t>Musser</t>
  </si>
  <si>
    <t>F1D71DE664B93B9D0A495FD8@038d2aa263c9deeb495fea.e</t>
  </si>
  <si>
    <t>mnixon@montrose-env.com</t>
  </si>
  <si>
    <t>Nixon</t>
  </si>
  <si>
    <t>74741DE164BEA23E0A495CF4@038d2aa263c9deeb495fea.e</t>
  </si>
  <si>
    <t>dzweig@avdmanagement.com</t>
  </si>
  <si>
    <t>dzweig@montrose-env.com</t>
  </si>
  <si>
    <t>Zweig</t>
  </si>
  <si>
    <t>7B071F3664BEB5790A495EFC@038d2aa263c9deeb495fea.e</t>
  </si>
  <si>
    <t>acgondran@montrose-env.com</t>
  </si>
  <si>
    <t>Gondran</t>
  </si>
  <si>
    <t>79161F5764BEB9F60A495C28@038d2aa263c9deeb495fea.e</t>
  </si>
  <si>
    <t>brclark@montrose-env.com</t>
  </si>
  <si>
    <t>Bryana</t>
  </si>
  <si>
    <t>80981F5E64BEB9F60A495E0D@038d2aa263c9deeb495fea.e</t>
  </si>
  <si>
    <t>ext-jamclaughlin@montrose-env.com</t>
  </si>
  <si>
    <t>James</t>
  </si>
  <si>
    <t>McLaughlin</t>
  </si>
  <si>
    <t>81341F6364BEB9F90A495C79@038d2aa263c9deeb495fea.e</t>
  </si>
  <si>
    <t>jestucker@montrose-env.com</t>
  </si>
  <si>
    <t>Stucker</t>
  </si>
  <si>
    <t>80471DE764BEB9F90A495CDD@038d2aa263c9deeb495fea.e</t>
  </si>
  <si>
    <t>mashekell@montrose-env.com</t>
  </si>
  <si>
    <t>Shekell</t>
  </si>
  <si>
    <t>7B5F1F3764BEBA980A495C06@038d2aa263c9deeb495fea.e</t>
  </si>
  <si>
    <t>abraun@envstd.com</t>
  </si>
  <si>
    <t>envstd.com</t>
  </si>
  <si>
    <t>797B1E0364BEBC500A495FBA@038d2aa263c9deeb495fea.e</t>
  </si>
  <si>
    <t>rirodriguez@montrose-env.com</t>
  </si>
  <si>
    <t>Ricky</t>
  </si>
  <si>
    <t>Rodriguez</t>
  </si>
  <si>
    <t>87331F3A64BEDD040A495C64@038d2aa263c9deeb495fea.e</t>
  </si>
  <si>
    <t>USA - Real Time Air - Albuquerque - Operations</t>
  </si>
  <si>
    <t>daniel.chavez@enthalpy.com</t>
  </si>
  <si>
    <t>Daniel</t>
  </si>
  <si>
    <t>Chavez</t>
  </si>
  <si>
    <t>AFB01E6D64C020A10A495E46@038d2aa263c9deeb495fea.e</t>
  </si>
  <si>
    <t>bbeck@montrose-env.com</t>
  </si>
  <si>
    <t>Britney</t>
  </si>
  <si>
    <t>Beck</t>
  </si>
  <si>
    <t>D1221DE764C12C1A0A495CDD@038d2aa263c9deeb495fea.e</t>
  </si>
  <si>
    <t>USA - Stack - Gulf Coast - Operations</t>
  </si>
  <si>
    <t>deangle@montrose-env.com</t>
  </si>
  <si>
    <t>Dexter</t>
  </si>
  <si>
    <t>Angle</t>
  </si>
  <si>
    <t>D3911F7B64C14BF00A495FBD@038d2aa263c9deeb495fea.e</t>
  </si>
  <si>
    <t>USA - Corp - Internal Audit</t>
  </si>
  <si>
    <t>togregg@montrose-env.com</t>
  </si>
  <si>
    <t>Gregg</t>
  </si>
  <si>
    <t>F62F1F5764C272460A495C28@038d2aa263c9deeb495fea.e</t>
  </si>
  <si>
    <t>jritchey@montrose-env.com</t>
  </si>
  <si>
    <t>Ritchey</t>
  </si>
  <si>
    <t>FBC11F3164C28DA70A495E97@038d2aa263c9deeb495fea.e</t>
  </si>
  <si>
    <t>anbury@montrose-env.com</t>
  </si>
  <si>
    <t>Andy</t>
  </si>
  <si>
    <t>Bury</t>
  </si>
  <si>
    <t>0D721F6364C2B4880A495C79@038d2aa263c9deeb495fea.e</t>
  </si>
  <si>
    <t>USA - Environmental Consulting - Environmental Intelligence - G&amp;A</t>
  </si>
  <si>
    <t>kmjones@montrose-env.com</t>
  </si>
  <si>
    <t>Kelli</t>
  </si>
  <si>
    <t>Jones</t>
  </si>
  <si>
    <t>1B731E2864C3B6830A495F9C@038d2aa263c9deeb495fea.e</t>
  </si>
  <si>
    <t>USA - Stack - OH - HR</t>
  </si>
  <si>
    <t>jemyers@montrose-env.com</t>
  </si>
  <si>
    <t>Myers</t>
  </si>
  <si>
    <t>1ABE1DFA64C3C4730A495ED2@038d2aa263c9deeb495fea.e</t>
  </si>
  <si>
    <t>lauren.parker@enthalpy.com</t>
  </si>
  <si>
    <t>Parker</t>
  </si>
  <si>
    <t>25E41F6864C40D150A495E7A@038d2aa263c9deeb495fea.e</t>
  </si>
  <si>
    <t>ryangerstner@montrose-env.com</t>
  </si>
  <si>
    <t>Gerstner</t>
  </si>
  <si>
    <t>2CFD1E2964C427AE0A495E86@038d2aa263c9deeb495fea.e</t>
  </si>
  <si>
    <t>jalotfi@montrose-env.com</t>
  </si>
  <si>
    <t>Jared</t>
  </si>
  <si>
    <t>Lotfi</t>
  </si>
  <si>
    <t>8A121DF764C7AEE40A495E63@038d2aa263c9deeb495fea.e</t>
  </si>
  <si>
    <t>lycarbajal@montrose-env.com</t>
  </si>
  <si>
    <t>Lynnette</t>
  </si>
  <si>
    <t>Carbajal</t>
  </si>
  <si>
    <t>93A41E1064C7E2410A495C22@038d2aa263c9deeb495fea.e</t>
  </si>
  <si>
    <t>jordan.wicker@enthalpy.com</t>
  </si>
  <si>
    <t>BAB71E2564C8FF8D0A495C04@038d2aa263c9deeb495fea.e</t>
  </si>
  <si>
    <t>viliu@montrose-env.com</t>
  </si>
  <si>
    <t>Vincent</t>
  </si>
  <si>
    <t>Liu</t>
  </si>
  <si>
    <t>B7DF1DFE64C9046B0A495E77@038d2aa263c9deeb495fea.e</t>
  </si>
  <si>
    <t>nhendricks@montrose-env.com</t>
  </si>
  <si>
    <t>Neal</t>
  </si>
  <si>
    <t>Hendricks</t>
  </si>
  <si>
    <t>BE0B1F1A64C90BAE0A495CE9@038d2aa263c9deeb495fea.e</t>
  </si>
  <si>
    <t>lstewart@montrose-env.com</t>
  </si>
  <si>
    <t>Luz</t>
  </si>
  <si>
    <t>Stewart</t>
  </si>
  <si>
    <t>BBF21E2564C917710A495FEF@038d2aa263c9deeb495fea.e</t>
  </si>
  <si>
    <t>USA - Corp - Shared Services</t>
  </si>
  <si>
    <t>malcolm.jeffries@enthalpy.com</t>
  </si>
  <si>
    <t>Malcolm</t>
  </si>
  <si>
    <t>Jeffries</t>
  </si>
  <si>
    <t>BFA51E4C64C93A8F0A495EDD@038d2aa263c9deeb495fea.e</t>
  </si>
  <si>
    <t>USA - Env Lab - Wilmington - Operations</t>
  </si>
  <si>
    <t>AnVorick@montrose-env.com</t>
  </si>
  <si>
    <t>anvorick@montrose-env.com</t>
  </si>
  <si>
    <t>Ana</t>
  </si>
  <si>
    <t>Vorick</t>
  </si>
  <si>
    <t>BC7D1E4D64C940C90A495FA7@038d2aa263c9deeb495fea.e</t>
  </si>
  <si>
    <t>kaosagie@montrose-env.com</t>
  </si>
  <si>
    <t>Kathlyn</t>
  </si>
  <si>
    <t>Osagie</t>
  </si>
  <si>
    <t>F66C1F1D64CA82FB0A495C5F@038d2aa263c9deeb495fea.e</t>
  </si>
  <si>
    <t>adlucas@montrose-env.com</t>
  </si>
  <si>
    <t>Lucas</t>
  </si>
  <si>
    <t>1AE91E2064CBA66F0A495FCA@038d2aa263c9deeb495fea.e</t>
  </si>
  <si>
    <t>Lacotton@montrose-env.com</t>
  </si>
  <si>
    <t>lacotton@montrose-env.com</t>
  </si>
  <si>
    <t>Lawrence</t>
  </si>
  <si>
    <t>AE831E2564D110860A495E42@038d2aa263c9deeb495fea.e</t>
  </si>
  <si>
    <t>USA - Environmental Consulting - Nashville - Operations</t>
  </si>
  <si>
    <t>sakaiser@montrose-env.com</t>
  </si>
  <si>
    <t>Kaiser</t>
  </si>
  <si>
    <t>B5841E0464D132460A495FA3@038d2aa263c9deeb495fea.e</t>
  </si>
  <si>
    <t>Default InDesign configuration</t>
  </si>
  <si>
    <t>USA - CTEH OH - HR</t>
  </si>
  <si>
    <t>InDesign (VIPMP - 99C0A3088A102BD9CB4A)</t>
  </si>
  <si>
    <t>vimacedonio@montrose-env.com</t>
  </si>
  <si>
    <t>Victor</t>
  </si>
  <si>
    <t>Macedonio</t>
  </si>
  <si>
    <t>E70D1DF764D26B860A495ED5@038d2aa263c9deeb495fea.e</t>
  </si>
  <si>
    <t>whuang@montrose-env.com</t>
  </si>
  <si>
    <t>Wendy</t>
  </si>
  <si>
    <t>Huang</t>
  </si>
  <si>
    <t>EABD1E2F64D2742E0A495C19@038d2aa263c9deeb495fea.e</t>
  </si>
  <si>
    <t>maengel@montrose-env.com</t>
  </si>
  <si>
    <t>Matthew</t>
  </si>
  <si>
    <t>Engel</t>
  </si>
  <si>
    <t>F1081E0464D2917C0A495FCD@038d2aa263c9deeb495fea.e</t>
  </si>
  <si>
    <t>jklewis@ect2.com</t>
  </si>
  <si>
    <t>Jeffrey</t>
  </si>
  <si>
    <t>Lewis</t>
  </si>
  <si>
    <t>07A31DF864D33CBC0A495E0A@038d2aa263c9deeb495fea.e</t>
  </si>
  <si>
    <t>EUR - ECT2 - Operations</t>
  </si>
  <si>
    <t>jklewis@ect2.se</t>
  </si>
  <si>
    <t>ect2.se</t>
  </si>
  <si>
    <t>SE</t>
  </si>
  <si>
    <t>1BE11F2D64D3C4170A495F8D@038d2aa263c9deeb495fea.e</t>
  </si>
  <si>
    <t>cdeaner@montrose-env.com</t>
  </si>
  <si>
    <t>Claire</t>
  </si>
  <si>
    <t>Deaner</t>
  </si>
  <si>
    <t>1D7A1E0064D3DE570A495CFA@038d2aa263c9deeb495fea.e</t>
  </si>
  <si>
    <t>adbrooks@montrose-env.com</t>
  </si>
  <si>
    <t>Adrienne</t>
  </si>
  <si>
    <t>Brooks</t>
  </si>
  <si>
    <t>2BE71E2464D4067A0A495CF6@038d2aa263c9deeb495fea.e</t>
  </si>
  <si>
    <t>USA - Advisory Services - Risk Management Solutions - Operations</t>
  </si>
  <si>
    <t>ladelaney@montrose-env.com</t>
  </si>
  <si>
    <t>Laken</t>
  </si>
  <si>
    <t>Delaney</t>
  </si>
  <si>
    <t>27571E9564D52A310A495FEC@038d2aa263c9deeb495fea.e</t>
  </si>
  <si>
    <t>ddaniels@montrose-env.com</t>
  </si>
  <si>
    <t>denese.daniels@enthalpy.com</t>
  </si>
  <si>
    <t>Denese</t>
  </si>
  <si>
    <t>Daniels</t>
  </si>
  <si>
    <t>2C6E1EDD64D533490A495EEA@038d2aa263c9deeb495fea.e</t>
  </si>
  <si>
    <t>rugreenwood@montrose-env.com</t>
  </si>
  <si>
    <t>Ruthy</t>
  </si>
  <si>
    <t>Greenwood</t>
  </si>
  <si>
    <t>C8EC1E9564DA7BF20A495FEC@038d2aa263c9deeb495fea.e</t>
  </si>
  <si>
    <t>USA - Advisory Services - Transactional Diligence - Operations</t>
  </si>
  <si>
    <t>yevilovchik@montrose-env.com</t>
  </si>
  <si>
    <t>Yelena</t>
  </si>
  <si>
    <t>Vilovchik</t>
  </si>
  <si>
    <t>CE211E7764DA88C60A495C98@038d2aa263c9deeb495fea.e</t>
  </si>
  <si>
    <t>stlane@montrose-env.com</t>
  </si>
  <si>
    <t>Stephany</t>
  </si>
  <si>
    <t>Lane</t>
  </si>
  <si>
    <t>D0791E8764DA89150A495EA2@038d2aa263c9deeb495fea.e</t>
  </si>
  <si>
    <t>USA - Advisory Services - Transactional Diligence – Operations</t>
  </si>
  <si>
    <t>jose.castillo@enthalpy.com</t>
  </si>
  <si>
    <t>Jose</t>
  </si>
  <si>
    <t>Aparicio-Castillo</t>
  </si>
  <si>
    <t>D5491EAB64DAA9380A495FB7@038d2aa263c9deeb495fea.e</t>
  </si>
  <si>
    <t>apedicone@montrose-env.com</t>
  </si>
  <si>
    <t>Annmarie</t>
  </si>
  <si>
    <t>Pedicone</t>
  </si>
  <si>
    <t>F9601E9D64DB966A0A495C0B@038d2aa263c9deeb495fea.e</t>
  </si>
  <si>
    <t>vigraham@montrose-env.com</t>
  </si>
  <si>
    <t>Viktor</t>
  </si>
  <si>
    <t>33851E8864DCE76E0A495CCE@038d2aa263c9deeb495fea.e</t>
  </si>
  <si>
    <t>amartinez@montrose-env.com</t>
  </si>
  <si>
    <t>Amadeo</t>
  </si>
  <si>
    <t>Martinez</t>
  </si>
  <si>
    <t>34401EB164DCE8660A495CEA@038d2aa263c9deeb495fea.e</t>
  </si>
  <si>
    <t>JamNavarrete@montrose-env.com</t>
  </si>
  <si>
    <t>jamnavarrete@montrose-env.com</t>
  </si>
  <si>
    <t>Navarrete</t>
  </si>
  <si>
    <t>42A41E9664DD23850A495CCB@038d2aa263c9deeb495fea.e</t>
  </si>
  <si>
    <t>mischimkus@montrose-env.com</t>
  </si>
  <si>
    <t>Schimkus</t>
  </si>
  <si>
    <t>55351E8064DD5C280A495EEB@038d2aa263c9deeb495fea.e</t>
  </si>
  <si>
    <t>antasoglou@montrose-env.com</t>
  </si>
  <si>
    <t>Antonios</t>
  </si>
  <si>
    <t>Tasoglou</t>
  </si>
  <si>
    <t>0105378164DE83CF0A495E68@038d2aa263c9deeb495fea.e</t>
  </si>
  <si>
    <t>USA - Real Time Air - Denver - Operations</t>
  </si>
  <si>
    <t>arbirk@montrose-env.com</t>
  </si>
  <si>
    <t>Aaron</t>
  </si>
  <si>
    <t>Birk</t>
  </si>
  <si>
    <t>37C406D064DFAD570A495FDF@038d2aa263c9deeb495fea.e</t>
  </si>
  <si>
    <t>tpetryszyn@montrose-env.com</t>
  </si>
  <si>
    <t>Ted</t>
  </si>
  <si>
    <t>Petryszyn</t>
  </si>
  <si>
    <t>36E508C664DFADD70A495FF7@038d2aa263c9deeb495fea.e</t>
  </si>
  <si>
    <t>kschafer@montrose-env.com</t>
  </si>
  <si>
    <t>Kristina</t>
  </si>
  <si>
    <t>Schafer</t>
  </si>
  <si>
    <t>439B2B3264DFECD80A495C35@038d2aa263c9deeb495fea.e</t>
  </si>
  <si>
    <t>USA - Stack - Seattle - G&amp;A</t>
  </si>
  <si>
    <t>symaddux@montrose-env.com</t>
  </si>
  <si>
    <t>Sydney</t>
  </si>
  <si>
    <t>Maddux</t>
  </si>
  <si>
    <t>9D212B3264E37A570A495C35@038d2aa263c9deeb495fea.e</t>
  </si>
  <si>
    <t>jigu@montrose-env.com</t>
  </si>
  <si>
    <t>Jingyi</t>
  </si>
  <si>
    <t>Gu</t>
  </si>
  <si>
    <t>A52B2CFC64E390F60A495C34@038d2aa263c9deeb495fea.e</t>
  </si>
  <si>
    <t>USA - CTEH - Disaster Recovery &amp; Innovative Services - Operations</t>
  </si>
  <si>
    <t>wwgesner@montrose-env.com</t>
  </si>
  <si>
    <t>William</t>
  </si>
  <si>
    <t>Gesner</t>
  </si>
  <si>
    <t>28CD43D064E65DD30A495FCA@038d2aa263c9deeb495fea.e</t>
  </si>
  <si>
    <t>denjohnson@montrose-env.com</t>
  </si>
  <si>
    <t>Denise</t>
  </si>
  <si>
    <t>1D921DAA64E757C40A495FBA@038d2aa263c9deeb495fea.e</t>
  </si>
  <si>
    <t>USA - Stack - OH - Finance</t>
  </si>
  <si>
    <t>grprowse@montrose-env.com</t>
  </si>
  <si>
    <t>Prowse</t>
  </si>
  <si>
    <t>27E81E9364E776920A495CFE@038d2aa263c9deeb495fea.e</t>
  </si>
  <si>
    <t>bevanderloo@montrose-env.com</t>
  </si>
  <si>
    <t>Bethany</t>
  </si>
  <si>
    <t>Vanderloo</t>
  </si>
  <si>
    <t>28AF1E9064E776940A495C2B@038d2aa263c9deeb495fea.e</t>
  </si>
  <si>
    <t>scbrown@montrose-env.com</t>
  </si>
  <si>
    <t>Scott</t>
  </si>
  <si>
    <t>Brown</t>
  </si>
  <si>
    <t>2C611ED764E78FAA0A495C8E@038d2aa263c9deeb495fea.e</t>
  </si>
  <si>
    <t>jeclements@montrose-env.com</t>
  </si>
  <si>
    <t>Clements</t>
  </si>
  <si>
    <t>2D841F9964E798B30A495C9C@038d2aa263c9deeb495fea.e</t>
  </si>
  <si>
    <t>zaboerchers@montrose-env.com</t>
  </si>
  <si>
    <t>Zachary</t>
  </si>
  <si>
    <t>Boerchers</t>
  </si>
  <si>
    <t>61E21DA364E8C1290A495FF0@038d2aa263c9deeb495fea.e</t>
  </si>
  <si>
    <t>USA - Stack - Northeast - Operations</t>
  </si>
  <si>
    <t>restanton@montrose-env.com</t>
  </si>
  <si>
    <t>Rebecca</t>
  </si>
  <si>
    <t>Stanton</t>
  </si>
  <si>
    <t>5CA61EB664E8DB620A495E18@038d2aa263c9deeb495fea.e</t>
  </si>
  <si>
    <t>ercooper@montrose-env.com</t>
  </si>
  <si>
    <t>Cooper</t>
  </si>
  <si>
    <t>643B1EDA64E8F1390A495E82@038d2aa263c9deeb495fea.e</t>
  </si>
  <si>
    <t>E4211E8164ED15B10A495FD2@c67c263163d83b8d0a495c06</t>
  </si>
  <si>
    <t>grwickeradmin@montrose-env.com</t>
  </si>
  <si>
    <t>DF781DAD64ED165E0A495FC7@038d2aa263c9deeb495fea.e</t>
  </si>
  <si>
    <t>jobetz@montrose-env.com</t>
  </si>
  <si>
    <t>Betz</t>
  </si>
  <si>
    <t>05C61DA364EE00490A495FF0@038d2aa263c9deeb495fea.e</t>
  </si>
  <si>
    <t>jaoffermann@montrose-env.com</t>
  </si>
  <si>
    <t>Janis</t>
  </si>
  <si>
    <t>Offermann</t>
  </si>
  <si>
    <t>04921DA864EE09BD0A495EB0@038d2aa263c9deeb495fea.e</t>
  </si>
  <si>
    <t>aurandall@montrose-env.com</t>
  </si>
  <si>
    <t>Audrey</t>
  </si>
  <si>
    <t>Randall</t>
  </si>
  <si>
    <t>0C431FB664EE1DDC0A495E7C@038d2aa263c9deeb495fea.e</t>
  </si>
  <si>
    <t>jmpratt@montrose-env.com</t>
  </si>
  <si>
    <t>Pratt</t>
  </si>
  <si>
    <t>2EAB1DD664EF3E410A495C31@038d2aa263c9deeb495fea.e</t>
  </si>
  <si>
    <t>juvanharen@montrose-env.com</t>
  </si>
  <si>
    <t>Jules</t>
  </si>
  <si>
    <t>Van Haren</t>
  </si>
  <si>
    <t>39A01DA364EF3EC60A495FF0@038d2aa263c9deeb495fea.e</t>
  </si>
  <si>
    <t>USA - Environmental Consulting - Wilmington - Operations</t>
  </si>
  <si>
    <t>echetty@montrose-env.com</t>
  </si>
  <si>
    <t>Esha</t>
  </si>
  <si>
    <t>Chetty</t>
  </si>
  <si>
    <t>4F8B1EB164EFB01D0A495C63@038d2aa263c9deeb495fea.e</t>
  </si>
  <si>
    <t>tounderwood@montrose-env.com</t>
  </si>
  <si>
    <t>Tony</t>
  </si>
  <si>
    <t>Underwood</t>
  </si>
  <si>
    <t>76391EB164F0A2C70A495C63@038d2aa263c9deeb495fea.e</t>
  </si>
  <si>
    <t>alfraser@montrose-env.com</t>
  </si>
  <si>
    <t>Alexandria</t>
  </si>
  <si>
    <t>Fraser</t>
  </si>
  <si>
    <t>685A1FB764F76C420A495FF4@038d2aa263c9deeb495fea.e</t>
  </si>
  <si>
    <t>Default Acrobat Pro configuration,Default Illustrator configuration</t>
  </si>
  <si>
    <t>Acrobat Pro (VIPMP - 99C0A3088A102BD9CB4A),Illustrator (VIPMP - 99C0A3088A102BD9CB4A)</t>
  </si>
  <si>
    <t>tosiegmund-roberts@montrose-env.com</t>
  </si>
  <si>
    <t>Tori</t>
  </si>
  <si>
    <t>Siegmund-Roberts</t>
  </si>
  <si>
    <t>5FC31DB164F76F370A495EB3@038d2aa263c9deeb495fea.e</t>
  </si>
  <si>
    <t>USA - LDAR - California - Operations</t>
  </si>
  <si>
    <t>beboling@montrose-env.com</t>
  </si>
  <si>
    <t>Benjamin</t>
  </si>
  <si>
    <t>Boling</t>
  </si>
  <si>
    <t>6C9A1DD664F76F670A495C68@038d2aa263c9deeb495fea.e</t>
  </si>
  <si>
    <t>hallen@montrose-env.com</t>
  </si>
  <si>
    <t>hunter.allen@enthalpy.com</t>
  </si>
  <si>
    <t>Hunter</t>
  </si>
  <si>
    <t>Allen</t>
  </si>
  <si>
    <t>AA801DB164F8E7AE0A495CC7@038d2aa263c9deeb495fea.e</t>
  </si>
  <si>
    <t>brfields@montrose-env.com</t>
  </si>
  <si>
    <t>Bryce</t>
  </si>
  <si>
    <t>Fields</t>
  </si>
  <si>
    <t>07277CF464FB64E60A495E9A@038d2aa263c9deeb495fea.e</t>
  </si>
  <si>
    <t>cawiesner@montrose-env.com</t>
  </si>
  <si>
    <t>Cathy</t>
  </si>
  <si>
    <t>Wiesner</t>
  </si>
  <si>
    <t>838F3B8064FF1D6D0A495C80@038d2aa263c9deeb495fea.e</t>
  </si>
  <si>
    <t>vrespass@montrose-env.com</t>
  </si>
  <si>
    <t>Valgena</t>
  </si>
  <si>
    <t>Respass</t>
  </si>
  <si>
    <t>8D0B19B664FF5C660A495C81@038d2aa263c9deeb495fea.e</t>
  </si>
  <si>
    <t>dathal@montrose-env.com</t>
  </si>
  <si>
    <t>Thal</t>
  </si>
  <si>
    <t>91342EA064FF62E10A495CEF@038d2aa263c9deeb495fea.e</t>
  </si>
  <si>
    <t>karoy@montrose-env.com</t>
  </si>
  <si>
    <t>Roy</t>
  </si>
  <si>
    <t>B3196861650062510A495E86@038d2aa263c9deeb495fea.e</t>
  </si>
  <si>
    <t>stromero@montrose-env.com</t>
  </si>
  <si>
    <t>Romero</t>
  </si>
  <si>
    <t>BD7D37C265007EF60A495CDC@038d2aa263c9deeb495fea.e</t>
  </si>
  <si>
    <t>ansanchez@montrose-env.com</t>
  </si>
  <si>
    <t>Andres</t>
  </si>
  <si>
    <t>Sanchez</t>
  </si>
  <si>
    <t>BDEF590965008DA70A495F90@038d2aa263c9deeb495fea.e</t>
  </si>
  <si>
    <t>krgorman@montrose-env.com</t>
  </si>
  <si>
    <t>Kristen</t>
  </si>
  <si>
    <t>Gorman</t>
  </si>
  <si>
    <t>BE681B0965008FDF0A495FDC@038d2aa263c9deeb495fea.e</t>
  </si>
  <si>
    <t>llittleton@montrose-env.com</t>
  </si>
  <si>
    <t>Littleton</t>
  </si>
  <si>
    <t>26D41DA46501F3640A495FC9@038d2aa263c9deeb495fea.e</t>
  </si>
  <si>
    <t>arossetti@montrose-env.com</t>
  </si>
  <si>
    <t>Anitra</t>
  </si>
  <si>
    <t>Rossetti</t>
  </si>
  <si>
    <t>60F21DE165033E840A495E33@038d2aa263c9deeb495fea.e</t>
  </si>
  <si>
    <t>kawildermuth@montrose-env.com</t>
  </si>
  <si>
    <t>Katarina</t>
  </si>
  <si>
    <t>Wildermuth</t>
  </si>
  <si>
    <t>95F91DA665047CD90A495FB6@038d2aa263c9deeb495fea.e</t>
  </si>
  <si>
    <t>tosebenick@ect2.com</t>
  </si>
  <si>
    <t>Toni</t>
  </si>
  <si>
    <t>Sebenick</t>
  </si>
  <si>
    <t>694E7E056508936A0A495E42@038d2aa263c9deeb495fea.e</t>
  </si>
  <si>
    <t>USA - ECT2 - OH - Finance</t>
  </si>
  <si>
    <t>alittle@montrose-env.com</t>
  </si>
  <si>
    <t>Amber</t>
  </si>
  <si>
    <t>Little</t>
  </si>
  <si>
    <t>9CEE10646509FA2C0A495CE8@038d2aa263c9deeb495fea.e</t>
  </si>
  <si>
    <t>maridgely@montrose-env.com</t>
  </si>
  <si>
    <t>Mallory</t>
  </si>
  <si>
    <t>Ridgely</t>
  </si>
  <si>
    <t>9D1410646509FB930A495CE8@038d2aa263c9deeb495fea.e</t>
  </si>
  <si>
    <t>erhoutz@ect2.com</t>
  </si>
  <si>
    <t>Erika</t>
  </si>
  <si>
    <t>Houtz</t>
  </si>
  <si>
    <t>A1397E05650A2A730A495E42@038d2aa263c9deeb495fea.e</t>
  </si>
  <si>
    <t>tfguidry@montrose-env.com</t>
  </si>
  <si>
    <t>Guidry III</t>
  </si>
  <si>
    <t>C59926B3650B640A0A495C69@038d2aa263c9deeb495fea.e</t>
  </si>
  <si>
    <t>USA - Environmental Consulting - Central - G&amp;A</t>
  </si>
  <si>
    <t>beclarke@montrose-env.com</t>
  </si>
  <si>
    <t>Clarke</t>
  </si>
  <si>
    <t>1D581DDB650C39B20A495CE4@038d2aa263c9deeb495fea.e</t>
  </si>
  <si>
    <t>USA - Environmental Consulting - Southeast - Operations</t>
  </si>
  <si>
    <t>gaperacca@montrose-env.com</t>
  </si>
  <si>
    <t>Galen</t>
  </si>
  <si>
    <t>Peracca</t>
  </si>
  <si>
    <t>1E571EB7650C39B20A495C4E@038d2aa263c9deeb495fea.e</t>
  </si>
  <si>
    <t>Vakhy@montrose-env.com</t>
  </si>
  <si>
    <t>vkhy@montrose-env.com</t>
  </si>
  <si>
    <t>Vannak</t>
  </si>
  <si>
    <t>Khy</t>
  </si>
  <si>
    <t>41D20BB0650D9EF80A495EB9@038d2aa263c9deeb495fea.e</t>
  </si>
  <si>
    <t>rmay@montrose-env.com</t>
  </si>
  <si>
    <t>Robert</t>
  </si>
  <si>
    <t>4A4C1DAC650DB33D0A495E41@038d2aa263c9deeb495fea.e</t>
  </si>
  <si>
    <t>rkepp@montrose-env.com</t>
  </si>
  <si>
    <t>Richard</t>
  </si>
  <si>
    <t>Kepp</t>
  </si>
  <si>
    <t>509C1EB4650DF8740A495C38@038d2aa263c9deeb495fea.e</t>
  </si>
  <si>
    <t>USA - Corp - Safety</t>
  </si>
  <si>
    <t>lnava@montrose-env.com</t>
  </si>
  <si>
    <t>Leonel</t>
  </si>
  <si>
    <t>Nava</t>
  </si>
  <si>
    <t>A4241DAC6511919F0A495E4C@038d2aa263c9deeb495fea.e</t>
  </si>
  <si>
    <t>rgeehr@montrose-env.com</t>
  </si>
  <si>
    <t>Geehr</t>
  </si>
  <si>
    <t>D4951E806512EA340A495CC4@038d2aa263c9deeb495fea.e</t>
  </si>
  <si>
    <t>mvalentin@montrose-env.com</t>
  </si>
  <si>
    <t>Missy</t>
  </si>
  <si>
    <t>Valentin</t>
  </si>
  <si>
    <t>E5D11EA5651328A70A495FF3@038d2aa263c9deeb495fea.e</t>
  </si>
  <si>
    <t>hfmohamed@montrose-env.com</t>
  </si>
  <si>
    <t>Hemed</t>
  </si>
  <si>
    <t>Mohamed</t>
  </si>
  <si>
    <t>DE8E1EAE65133B700A495C0D@038d2aa263c9deeb495fea.e</t>
  </si>
  <si>
    <t>dacraft@montrose-env.com</t>
  </si>
  <si>
    <t>Craft</t>
  </si>
  <si>
    <t>E13B188C65133B9A0A495E2D@038d2aa263c9deeb495fea.e</t>
  </si>
  <si>
    <t>chfarmer@montrose-env.com</t>
  </si>
  <si>
    <t>Christie</t>
  </si>
  <si>
    <t>Farmer</t>
  </si>
  <si>
    <t>E1CD1DCD65134D800A495C73@038d2aa263c9deeb495fea.e</t>
  </si>
  <si>
    <t>kilauderdale@montrose-env.com</t>
  </si>
  <si>
    <t>Kimberly</t>
  </si>
  <si>
    <t>Lauderdale</t>
  </si>
  <si>
    <t>08B71EAF651494000A495FAE@038d2aa263c9deeb495fea.e</t>
  </si>
  <si>
    <t>USA - Sensible EDP - Albuquerque - Operations</t>
  </si>
  <si>
    <t>magouveia@montrose-env.com</t>
  </si>
  <si>
    <t>Max</t>
  </si>
  <si>
    <t>Gouveia</t>
  </si>
  <si>
    <t>33A41E866515C7D90A495C45@038d2aa263c9deeb495fea.e</t>
  </si>
  <si>
    <t>USA - Stack - Power Start-Ups - Operations</t>
  </si>
  <si>
    <t>jrubio@montrose-env.com</t>
  </si>
  <si>
    <t>Rubio</t>
  </si>
  <si>
    <t>34E81BF16515E0380A495E40@038d2aa263c9deeb495fea.e</t>
  </si>
  <si>
    <t>agoracke@montrose-env.com</t>
  </si>
  <si>
    <t>Austin</t>
  </si>
  <si>
    <t>Goracke</t>
  </si>
  <si>
    <t>600D1E8A6516D7260A495C66@038d2aa263c9deeb495fea.e</t>
  </si>
  <si>
    <t>aunickles-teichmann@montrose-env.com</t>
  </si>
  <si>
    <t>Nickles-Teichmann</t>
  </si>
  <si>
    <t>63E91EE36516D9A60A495FEF@038d2aa263c9deeb495fea.e</t>
  </si>
  <si>
    <t>sakilmer@montrose-env.com</t>
  </si>
  <si>
    <t>Kilmer</t>
  </si>
  <si>
    <t>6BEE1EE365170D0C0A495FEF@038d2aa263c9deeb495fea.e</t>
  </si>
  <si>
    <t>amvalois@montrose-env.com</t>
  </si>
  <si>
    <t>amanda.valois@enthalpy.com</t>
  </si>
  <si>
    <t>Valois</t>
  </si>
  <si>
    <t>E0000EB0651AF1720A495E0A@038d2aa263c9deeb495fea.e</t>
  </si>
  <si>
    <t>nilinden@ect2.se</t>
  </si>
  <si>
    <t>Nina</t>
  </si>
  <si>
    <t>Linden</t>
  </si>
  <si>
    <t>0C5D0EB0651C19900A495E0A@038d2aa263c9deeb495fea.e</t>
  </si>
  <si>
    <t>rrauls@montrose-env.com</t>
  </si>
  <si>
    <t>RRauls@montrose-env.com</t>
  </si>
  <si>
    <t>Roddy</t>
  </si>
  <si>
    <t>Rauls</t>
  </si>
  <si>
    <t>0D1A1EAE651C269F0A495FD4@038d2aa263c9deeb495fea.e</t>
  </si>
  <si>
    <t>matinsley@montrose-env.com</t>
  </si>
  <si>
    <t>Tinsley</t>
  </si>
  <si>
    <t>34ED1E8C651D8F730A495FCC@038d2aa263c9deeb495fea.e</t>
  </si>
  <si>
    <t>blairaxley@montrose-env.com</t>
  </si>
  <si>
    <t>Blair</t>
  </si>
  <si>
    <t>Axley</t>
  </si>
  <si>
    <t>3C171DA6651D9B7A0A495C37@038d2aa263c9deeb495fea.e</t>
  </si>
  <si>
    <t>jrfarwell@montrose-env.com</t>
  </si>
  <si>
    <t>Junior</t>
  </si>
  <si>
    <t>Farwell</t>
  </si>
  <si>
    <t>477F0EB0651DF3480A495E0A@038d2aa263c9deeb495fea.e</t>
  </si>
  <si>
    <t>damozley@montrose-env.com</t>
  </si>
  <si>
    <t>Danese</t>
  </si>
  <si>
    <t>Mozley</t>
  </si>
  <si>
    <t>689F1DF2651EA22F0A495C04@038d2aa263c9deeb495fea.e</t>
  </si>
  <si>
    <t>tyronfitzgerald@montrose-env.com</t>
  </si>
  <si>
    <t>Tyron</t>
  </si>
  <si>
    <t>Fitzgerald</t>
  </si>
  <si>
    <t>67F4188C651EAC920A495E2D@038d2aa263c9deeb495fea.e</t>
  </si>
  <si>
    <t>USA - Corp - Information Security</t>
  </si>
  <si>
    <t>mekuhlman@montrose-env.com</t>
  </si>
  <si>
    <t>Kuhlman</t>
  </si>
  <si>
    <t>6C6B1E86651EB7F10A495C45@038d2aa263c9deeb495fea.e</t>
  </si>
  <si>
    <t>Default Acrobat Pro configuration,Default InDesign configuration,Default Illustrator configuration</t>
  </si>
  <si>
    <t>Acrobat Pro (VIPMP - 99C0A3088A102BD9CB4A),InDesign (VIPMP - 99C0A3088A102BD9CB4A),Illustrator (VIPMP - 99C0A3088A102BD9CB4A)</t>
  </si>
  <si>
    <t>gburch@montrose-env.com</t>
  </si>
  <si>
    <t>Greg</t>
  </si>
  <si>
    <t>Burch</t>
  </si>
  <si>
    <t>78261EB3651EE50A0A495FB1@038d2aa263c9deeb495fea.e</t>
  </si>
  <si>
    <t>GaMata@montrose-env.com</t>
  </si>
  <si>
    <t>gamata@montrose-env.com</t>
  </si>
  <si>
    <t>Gary</t>
  </si>
  <si>
    <t>Mata</t>
  </si>
  <si>
    <t>70E41DCF651EFC5A0A495FE2@038d2aa263c9deeb495fea.e</t>
  </si>
  <si>
    <t>kaschuler@montrose-env.com</t>
  </si>
  <si>
    <t>Renee</t>
  </si>
  <si>
    <t>Schuler</t>
  </si>
  <si>
    <t>195B1D6C652029220A495EBF@038d2aa263c9deeb495fea.e</t>
  </si>
  <si>
    <t>anamora@montrose-env.com</t>
  </si>
  <si>
    <t>Mora</t>
  </si>
  <si>
    <t>6771570765241A340A495E97@038d2aa263c9deeb495fea.e</t>
  </si>
  <si>
    <t>USA - Environmental Consulting OH - Safety</t>
  </si>
  <si>
    <t>mvavra@montrose-env.com</t>
  </si>
  <si>
    <t>Monica</t>
  </si>
  <si>
    <t>Vavra</t>
  </si>
  <si>
    <t>6B2823F2652428C10A495FCD@038d2aa263c9deeb495fea.e</t>
  </si>
  <si>
    <t>skirby@montrose-env.com</t>
  </si>
  <si>
    <t>Kirby</t>
  </si>
  <si>
    <t>6A22642C65243B760A495C62@038d2aa263c9deeb495fea.e</t>
  </si>
  <si>
    <t>ajpuskas@montrose-env.com</t>
  </si>
  <si>
    <t>Puskas</t>
  </si>
  <si>
    <t>6AF94853652445460A495CDC@038d2aa263c9deeb495fea.e</t>
  </si>
  <si>
    <t>mahall@montrose-env.com</t>
  </si>
  <si>
    <t>Hall</t>
  </si>
  <si>
    <t>9C1A509B6525C2640A495C69@038d2aa263c9deeb495fea.e</t>
  </si>
  <si>
    <t>USA - Advisory Services - Sustainability - G&amp;A</t>
  </si>
  <si>
    <t>reparsons@montrose-env.com</t>
  </si>
  <si>
    <t>resanfratello@montrose-env.com</t>
  </si>
  <si>
    <t>Parsons</t>
  </si>
  <si>
    <t>B7465A696526B02E0A495C3E@038d2aa263c9deeb495fea.e</t>
  </si>
  <si>
    <t>kylecummings@montrose-env.com</t>
  </si>
  <si>
    <t>Cummings</t>
  </si>
  <si>
    <t>C09761F4652701E70A495FC4@038d2aa263c9deeb495fea.e</t>
  </si>
  <si>
    <t>ranounou@montrose-env.com</t>
  </si>
  <si>
    <t>Roger</t>
  </si>
  <si>
    <t>Nounou</t>
  </si>
  <si>
    <t>C51551EE652712ED0A495E39@038d2aa263c9deeb495fea.e</t>
  </si>
  <si>
    <t>ctsentas@montrose-env.com</t>
  </si>
  <si>
    <t>Constantine</t>
  </si>
  <si>
    <t>Tsentas</t>
  </si>
  <si>
    <t>8CDF4557652973B30A495FAD@038d2aa263c9deeb495fea.e</t>
  </si>
  <si>
    <t>skirschner@montrose-env.com</t>
  </si>
  <si>
    <t>Steve</t>
  </si>
  <si>
    <t>Kirschner</t>
  </si>
  <si>
    <t>0D4048A86529D0D80A495CC1@038d2aa263c9deeb495fea.e</t>
  </si>
  <si>
    <t>dacrawford@montrose-env.com</t>
  </si>
  <si>
    <t>Crawford</t>
  </si>
  <si>
    <t>602962F6652D3ADB0A495FA5@038d2aa263c9deeb495fea.e</t>
  </si>
  <si>
    <t>alzuniga@montrose-env.com</t>
  </si>
  <si>
    <t>Alexis</t>
  </si>
  <si>
    <t>Zuniga</t>
  </si>
  <si>
    <t>5E39451B652D64610A495E32@038d2aa263c9deeb495fea.e</t>
  </si>
  <si>
    <t>USA - LDAR - West - Operations</t>
  </si>
  <si>
    <t>sjaworski@montrose-env.com</t>
  </si>
  <si>
    <t>Shawn</t>
  </si>
  <si>
    <t>Jaworski</t>
  </si>
  <si>
    <t>68064E29652D87150A495E37@038d2aa263c9deeb495fea.e</t>
  </si>
  <si>
    <t>USA - Stack - Midwest - Operations</t>
  </si>
  <si>
    <t>dhirschberg@montrose-env.com</t>
  </si>
  <si>
    <t>Dana</t>
  </si>
  <si>
    <t>Hirschberg</t>
  </si>
  <si>
    <t>682A2B7A652D88840A495F9C@038d2aa263c9deeb495fea.e</t>
  </si>
  <si>
    <t>jgroenenboom@montrose-env.com</t>
  </si>
  <si>
    <t>Groenenboom</t>
  </si>
  <si>
    <t>98BD3D34652ED6CD0A495C7C@038d2aa263c9deeb495fea.e</t>
  </si>
  <si>
    <t>kapalm@montrose-env.com</t>
  </si>
  <si>
    <t>Kara</t>
  </si>
  <si>
    <t>Palm</t>
  </si>
  <si>
    <t>96FE4EB2652EDB190A495E73@038d2aa263c9deeb495fea.e</t>
  </si>
  <si>
    <t>ariciaboyd@montrose-env.com</t>
  </si>
  <si>
    <t>Aricia</t>
  </si>
  <si>
    <t>Boyd</t>
  </si>
  <si>
    <t>BF7E4968652FC9060A495CF2@038d2aa263c9deeb495fea.e</t>
  </si>
  <si>
    <t>kelly.kuhlmann@enthalpy.com</t>
  </si>
  <si>
    <t>Kelly</t>
  </si>
  <si>
    <t>Kuhlmann</t>
  </si>
  <si>
    <t>C7FE509B653009F90A495C69@038d2aa263c9deeb495fea.e</t>
  </si>
  <si>
    <t>jsmith@montrose-env.com</t>
  </si>
  <si>
    <t>Jai</t>
  </si>
  <si>
    <t>26951E4565313F7C0A495EEE@038d2aa263c9deeb495fea.e</t>
  </si>
  <si>
    <t>hunortman@montrose-env.com</t>
  </si>
  <si>
    <t>Nortman</t>
  </si>
  <si>
    <t>2B811E20653151110A495E96@038d2aa263c9deeb495fea.e</t>
  </si>
  <si>
    <t>gabrienna.huerta@enthalpy.com</t>
  </si>
  <si>
    <t>Gabrienna</t>
  </si>
  <si>
    <t>Huerta</t>
  </si>
  <si>
    <t>31311E20653190AB0A495EFE@038d2aa263c9deeb495fea.e</t>
  </si>
  <si>
    <t>sydney.jump@enthalpy.com</t>
  </si>
  <si>
    <t>Jump</t>
  </si>
  <si>
    <t>62701E3F6532AB6E0A495C4D@038d2aa263c9deeb495fea.e</t>
  </si>
  <si>
    <t>USA - Env Lab - Houston - Operations</t>
  </si>
  <si>
    <t>linda.le@enthalpy.com</t>
  </si>
  <si>
    <t>68B41E4A6532C5B40A495E98@038d2aa263c9deeb495fea.e</t>
  </si>
  <si>
    <t>dablye@montrose-env.com</t>
  </si>
  <si>
    <t>Blye</t>
  </si>
  <si>
    <t>177D1BD9653695250A495EBA@038d2aa263c9deeb495fea.e</t>
  </si>
  <si>
    <t>saziemer@montrose-env.com</t>
  </si>
  <si>
    <t>Ziemer</t>
  </si>
  <si>
    <t>18FD2C35653699270A495CDF@038d2aa263c9deeb495fea.e</t>
  </si>
  <si>
    <t>MarkPoole@montrose-env.com</t>
  </si>
  <si>
    <t>markpoole@montrose-env.com</t>
  </si>
  <si>
    <t>Poole</t>
  </si>
  <si>
    <t>3EF807D26537D74E0A495FBA@038d2aa263c9deeb495fea.e</t>
  </si>
  <si>
    <t>srkrieger@montrose-env.com</t>
  </si>
  <si>
    <t>Shaun</t>
  </si>
  <si>
    <t>Krieger</t>
  </si>
  <si>
    <t>011F1D5A65384ACF0A495F98@038d2aa263c9deeb495fea.e</t>
  </si>
  <si>
    <t>CrFry@montrose-env.com</t>
  </si>
  <si>
    <t>crfry@montrose-env.com</t>
  </si>
  <si>
    <t>Fry</t>
  </si>
  <si>
    <t>1CCF5E1A6539657D0A495FDA@038d2aa263c9deeb495fea.e</t>
  </si>
  <si>
    <t>shmurphy@montrose-env.com</t>
  </si>
  <si>
    <t>Sheldon</t>
  </si>
  <si>
    <t>Murphy</t>
  </si>
  <si>
    <t>390C73AF653A62A10A495EE4@038d2aa263c9deeb495fea.e</t>
  </si>
  <si>
    <t>tanoel@montrose-env.com</t>
  </si>
  <si>
    <t>Tammy</t>
  </si>
  <si>
    <t>Noel</t>
  </si>
  <si>
    <t>3B433EFB653A6B100A495F88@038d2aa263c9deeb495fea.e</t>
  </si>
  <si>
    <t>LiOgata@montrose-env.com</t>
  </si>
  <si>
    <t>liogata@montrose-env.com</t>
  </si>
  <si>
    <t>Liana</t>
  </si>
  <si>
    <t>Ogata</t>
  </si>
  <si>
    <t>428173B8653A89A20A495FDE@038d2aa263c9deeb495fea.e</t>
  </si>
  <si>
    <t>MaNurimba@montrose-env.com</t>
  </si>
  <si>
    <t>manurimba@montrose-env.com</t>
  </si>
  <si>
    <t>Nurimba</t>
  </si>
  <si>
    <t>419164D2653A89A20A495F8B@038d2aa263c9deeb495fea.e</t>
  </si>
  <si>
    <t>ToWong@montrose-env.com</t>
  </si>
  <si>
    <t>towong@montrose-env.com</t>
  </si>
  <si>
    <t>Wong</t>
  </si>
  <si>
    <t>3E522BE9653A89A30A495C84@038d2aa263c9deeb495fea.e</t>
  </si>
  <si>
    <t>GeMunoz@montrose-env.com</t>
  </si>
  <si>
    <t>gemunoz@montrose-env.com</t>
  </si>
  <si>
    <t>George</t>
  </si>
  <si>
    <t>Munoz</t>
  </si>
  <si>
    <t>40EC0A1B653A8B240A495C2A@038d2aa263c9deeb495fea.e</t>
  </si>
  <si>
    <t>laurengauthier@montrose-env.com</t>
  </si>
  <si>
    <t>Gauthier</t>
  </si>
  <si>
    <t>15A81E5F653BB4690A495ED9@038d2aa263c9deeb495fea.e</t>
  </si>
  <si>
    <t>USA - Environmental Consulting - Valley Forge - Sales &amp; Marketing</t>
  </si>
  <si>
    <t>summerjeschke-dean@montrose-env.com</t>
  </si>
  <si>
    <t>Summer</t>
  </si>
  <si>
    <t>Jeschke-Dean</t>
  </si>
  <si>
    <t>1AD41E57653BD8D10A495E9F@038d2aa263c9deeb495fea.e</t>
  </si>
  <si>
    <t>stacey.larson@enthalpy.com</t>
  </si>
  <si>
    <t>Larson</t>
  </si>
  <si>
    <t>75471E68653FCAB60A495E27@038d2aa263c9deeb495fea.e</t>
  </si>
  <si>
    <t>USA - Env Lab - Mt Pleasant - Operations</t>
  </si>
  <si>
    <t>paking@montrose-env.com</t>
  </si>
  <si>
    <t>74E41E33653FD48D0A495E3F@038d2aa263c9deeb495fea.e</t>
  </si>
  <si>
    <t>jlewis@montrose-env.com</t>
  </si>
  <si>
    <t>Jonathan</t>
  </si>
  <si>
    <t>75861E82653FDF8E0A495FF8@038d2aa263c9deeb495fea.e</t>
  </si>
  <si>
    <t>stwansley@montrose-env.com</t>
  </si>
  <si>
    <t>stephaniewansley@montrose-env.com</t>
  </si>
  <si>
    <t>Wansley</t>
  </si>
  <si>
    <t>7A9B1E34654004120A495FD2@038d2aa263c9deeb495fea.e</t>
  </si>
  <si>
    <t>michaelnash@montrose-env.com</t>
  </si>
  <si>
    <t>Nash</t>
  </si>
  <si>
    <t>79371E77654004260A495ECC@038d2aa263c9deeb495fea.e</t>
  </si>
  <si>
    <t>USA - RNG - Operations</t>
  </si>
  <si>
    <t>magehle@montrose-env.com</t>
  </si>
  <si>
    <t>Mariah</t>
  </si>
  <si>
    <t>Gehle</t>
  </si>
  <si>
    <t>7B281EC26540046C0A495EEA@038d2aa263c9deeb495fea.e</t>
  </si>
  <si>
    <t>vkashuba@montrose-env.com</t>
  </si>
  <si>
    <t>Vaughn</t>
  </si>
  <si>
    <t>Kashuba</t>
  </si>
  <si>
    <t>7B9F1E39654006350A495FA1@038d2aa263c9deeb495fea.e</t>
  </si>
  <si>
    <t>agustinbaccega@montrose-env.com</t>
  </si>
  <si>
    <t>Agustin</t>
  </si>
  <si>
    <t>Baccega</t>
  </si>
  <si>
    <t>A1131E3265414A160A495CAC@038d2aa263c9deeb495fea.e</t>
  </si>
  <si>
    <t>USA - Environmental Consulting - Orlando - G&amp;A</t>
  </si>
  <si>
    <t>tbullman@montrose-env.com</t>
  </si>
  <si>
    <t>Timmerly</t>
  </si>
  <si>
    <t>Bullman</t>
  </si>
  <si>
    <t>CA061E4B65427B010A495FD5@038d2aa263c9deeb495fea.e</t>
  </si>
  <si>
    <t>sdonovan@montrose-env.com</t>
  </si>
  <si>
    <t>Donovan</t>
  </si>
  <si>
    <t>CC641E5D654294CA0A495FC7@038d2aa263c9deeb495fea.e</t>
  </si>
  <si>
    <t>samuelallen@montrose-env.com</t>
  </si>
  <si>
    <t>Samuel</t>
  </si>
  <si>
    <t>D19F1E566542B0220A495FA8@038d2aa263c9deeb495fea.e</t>
  </si>
  <si>
    <t>daniel.forrest@enthalpy.com</t>
  </si>
  <si>
    <t>Forrest</t>
  </si>
  <si>
    <t>1C7E1E8D6543C6C30A495FFC@038d2aa263c9deeb495fea.e</t>
  </si>
  <si>
    <t>heatherbell@montrose-env.com</t>
  </si>
  <si>
    <t>Heather</t>
  </si>
  <si>
    <t>Bell</t>
  </si>
  <si>
    <t>1D091E3E6543C6C40A495E72@038d2aa263c9deeb495fea.e</t>
  </si>
  <si>
    <t>USA - Eco Services - Environmental Intelligence - Operations</t>
  </si>
  <si>
    <t>kagill@montrose-env.com</t>
  </si>
  <si>
    <t>Gill</t>
  </si>
  <si>
    <t>85761E44654820440A495FA6@038d2aa263c9deeb495fea.e</t>
  </si>
  <si>
    <t>jinachung@montrose-env.com</t>
  </si>
  <si>
    <t>Jina</t>
  </si>
  <si>
    <t>Chung</t>
  </si>
  <si>
    <t>97C31E496548DEDB0A495E6E@038d2aa263c9deeb495fea.e</t>
  </si>
  <si>
    <t>USA - ECT2 - OH - HR</t>
  </si>
  <si>
    <t>jalee@montrose-env.com</t>
  </si>
  <si>
    <t>Jane</t>
  </si>
  <si>
    <t>A25C1E3E654933590A495E72@038d2aa263c9deeb495fea.e</t>
  </si>
  <si>
    <t>dagerard@montrose-env.com</t>
  </si>
  <si>
    <t>Gerard</t>
  </si>
  <si>
    <t>ACA51E3865494F9C0A495C2D@038d2aa263c9deeb495fea.e</t>
  </si>
  <si>
    <t>adicks@montrose-env.com</t>
  </si>
  <si>
    <t>Allan</t>
  </si>
  <si>
    <t>Dicks</t>
  </si>
  <si>
    <t>DB921E43654A77030A495E98@038d2aa263c9deeb495fea.e</t>
  </si>
  <si>
    <t>apsoni@montrose-env.com</t>
  </si>
  <si>
    <t>Aparana</t>
  </si>
  <si>
    <t>Soni</t>
  </si>
  <si>
    <t>27151E2A654BC3E80A495FE9@038d2aa263c9deeb495fea.e</t>
  </si>
  <si>
    <t>castelling@montrose-env.com</t>
  </si>
  <si>
    <t>Caroline</t>
  </si>
  <si>
    <t>Stelling</t>
  </si>
  <si>
    <t>2B741E3C654BCA950A495FD3@038d2aa263c9deeb495fea.e</t>
  </si>
  <si>
    <t>pcmiller@montrose-env.com</t>
  </si>
  <si>
    <t>82B21E34654E3C9E0A495C77@038d2aa263c9deeb495fea.e</t>
  </si>
  <si>
    <t>markbanner@montrose-env.com</t>
  </si>
  <si>
    <t>Banner</t>
  </si>
  <si>
    <t>FBEF1E4F65521BC80A495E77@038d2aa263c9deeb495fea.e</t>
  </si>
  <si>
    <t>changheesong@montrose-env.com</t>
  </si>
  <si>
    <t>Changhee</t>
  </si>
  <si>
    <t>Song</t>
  </si>
  <si>
    <t>FCA01E19655253710A495FE6@038d2aa263c9deeb495fea.e</t>
  </si>
  <si>
    <t>crchristensen@montrose-env.com</t>
  </si>
  <si>
    <t>Christensen</t>
  </si>
  <si>
    <t>091C1E156552A0BB0A495FB0@038d2aa263c9deeb495fea.e</t>
  </si>
  <si>
    <t>dustinwarrington@montrose-env.com</t>
  </si>
  <si>
    <t>Dustin</t>
  </si>
  <si>
    <t>Warrington</t>
  </si>
  <si>
    <t>10EC1968655405610A495E66@038d2aa263c9deeb495fea.e</t>
  </si>
  <si>
    <t>echavez@montrose-env.com</t>
  </si>
  <si>
    <t>Eva</t>
  </si>
  <si>
    <t>32733C606555267E0A495E09@038d2aa263c9deeb495fea.e</t>
  </si>
  <si>
    <t>frportofe@montrose-env.com</t>
  </si>
  <si>
    <t>Fred</t>
  </si>
  <si>
    <t>Portofe</t>
  </si>
  <si>
    <t>374C3ED0655536080A495E8E@038d2aa263c9deeb495fea.e</t>
  </si>
  <si>
    <t>shannonspeir@montrose-env.com</t>
  </si>
  <si>
    <t>Shannon</t>
  </si>
  <si>
    <t>Speir</t>
  </si>
  <si>
    <t>5AEB54FF655660DE0A495FB0@038d2aa263c9deeb495fea.e</t>
  </si>
  <si>
    <t>brianfarmer@montrose-env.com</t>
  </si>
  <si>
    <t>Brian</t>
  </si>
  <si>
    <t>591B51196556666C0A495FE2@038d2aa263c9deeb495fea.e</t>
  </si>
  <si>
    <t>bllewis@montrose-env.com</t>
  </si>
  <si>
    <t>7CE064A465578D0D0A495FCC@038d2aa263c9deeb495fea.e</t>
  </si>
  <si>
    <t>michaelhussey@montrose-env.com</t>
  </si>
  <si>
    <t>Hussey</t>
  </si>
  <si>
    <t>87B41C4C6557C9C90A495F98@038d2aa263c9deeb495fea.e</t>
  </si>
  <si>
    <t>USA - CTEH - Health Sciences - Operations</t>
  </si>
  <si>
    <t>stdavis@montrose-env.com</t>
  </si>
  <si>
    <t>D09A6E13655B986F0A495C16@038d2aa263c9deeb495fea.e</t>
  </si>
  <si>
    <t>anboxell@montrose-env.com</t>
  </si>
  <si>
    <t>Boxell</t>
  </si>
  <si>
    <t>D1382735655BB0280A495FEA@038d2aa263c9deeb495fea.e</t>
  </si>
  <si>
    <t>john.goyette@enthalpy.com</t>
  </si>
  <si>
    <t>Goyette</t>
  </si>
  <si>
    <t>D1994655655BC3CB0A495CE8@038d2aa263c9deeb495fea.e</t>
  </si>
  <si>
    <t>jhamner@montrose-env.com</t>
  </si>
  <si>
    <t>Hamner</t>
  </si>
  <si>
    <t>CE321973655BC8200A495C9A@038d2aa263c9deeb495fea.e</t>
  </si>
  <si>
    <t>eileenmildenberger@montrose-env.com</t>
  </si>
  <si>
    <t>Eileen</t>
  </si>
  <si>
    <t>Mildenberger</t>
  </si>
  <si>
    <t>EF9D2735655CE92D0A495FEA@038d2aa263c9deeb495fea.e</t>
  </si>
  <si>
    <t>martinrosen@montrose-env.com</t>
  </si>
  <si>
    <t>Martin</t>
  </si>
  <si>
    <t>Rosen</t>
  </si>
  <si>
    <t>F67C2462655D26610A495FD3@038d2aa263c9deeb495fea.e</t>
  </si>
  <si>
    <t>bricebasiliko@montrose-env.com</t>
  </si>
  <si>
    <t>Brice</t>
  </si>
  <si>
    <t>Basiliko</t>
  </si>
  <si>
    <t>09E36B31655E08E40A495FFE@038d2aa263c9deeb495fea.e</t>
  </si>
  <si>
    <t>ricardorodriguez@montrose-env.com</t>
  </si>
  <si>
    <t>Ricardo</t>
  </si>
  <si>
    <t>ADBC4BD66564C8730A495E77@038d2aa263c9deeb495fea.e</t>
  </si>
  <si>
    <t>lskow@montrose-env.com</t>
  </si>
  <si>
    <t>Skow</t>
  </si>
  <si>
    <t>D981477B656645E00A495ED7@038d2aa263c9deeb495fea.e</t>
  </si>
  <si>
    <t>xgonzales@montrose-env.com</t>
  </si>
  <si>
    <t>Xavier</t>
  </si>
  <si>
    <t>Gonzales</t>
  </si>
  <si>
    <t>E1316E13656651370A495C16@038d2aa263c9deeb495fea.e</t>
  </si>
  <si>
    <t>ssanchez@montrose-env.com</t>
  </si>
  <si>
    <t>Sergio</t>
  </si>
  <si>
    <t>E52B595165666F570A495FAB@038d2aa263c9deeb495fea.e</t>
  </si>
  <si>
    <t>pagrimm@montrose-env.com</t>
  </si>
  <si>
    <t>patrickgrimm@montrose-env.com</t>
  </si>
  <si>
    <t>Grimm</t>
  </si>
  <si>
    <t>FFB20B92656775250A495C09@038d2aa263c9deeb495fea.e</t>
  </si>
  <si>
    <t>nawhite@ect2.com</t>
  </si>
  <si>
    <t>Nancy</t>
  </si>
  <si>
    <t>White</t>
  </si>
  <si>
    <t>087C141A6567A0650A495F9D@038d2aa263c9deeb495fea.e</t>
  </si>
  <si>
    <t>USA - RNG - OH - Finance</t>
  </si>
  <si>
    <t>yvetteyoung@montrose-env.com</t>
  </si>
  <si>
    <t>Yvette</t>
  </si>
  <si>
    <t>049B103B6567BDCC0A495FBC@038d2aa263c9deeb495fea.e</t>
  </si>
  <si>
    <t>fionabroomfield@montrose-env.com</t>
  </si>
  <si>
    <t>Fiona</t>
  </si>
  <si>
    <t>Broomfield</t>
  </si>
  <si>
    <t>1D8A64A4656899460A495FCC@038d2aa263c9deeb495fea.e</t>
  </si>
  <si>
    <t>dylem@montrose-env.com</t>
  </si>
  <si>
    <t>Dylan</t>
  </si>
  <si>
    <t>Lem</t>
  </si>
  <si>
    <t>266C0F2C6568BF5D0A495E64@038d2aa263c9deeb495fea.e</t>
  </si>
  <si>
    <t>USA - LDAR - OH - IT</t>
  </si>
  <si>
    <t>rochellmiller@montrose-env.com</t>
  </si>
  <si>
    <t>Rochell</t>
  </si>
  <si>
    <t>2FD44F636568FCFB0A495EB4@038d2aa263c9deeb495fea.e</t>
  </si>
  <si>
    <t>nathanmudry@montrose-env.com</t>
  </si>
  <si>
    <t>Nathan</t>
  </si>
  <si>
    <t>Mudry</t>
  </si>
  <si>
    <t>03211D786569157F0A495C3E@038d2aa263c9deeb495fea.e</t>
  </si>
  <si>
    <t>mitchfosteradmin@montrose-env.com</t>
  </si>
  <si>
    <t>Mitch</t>
  </si>
  <si>
    <t>Foster Admin</t>
  </si>
  <si>
    <t>037A1D786569192A0A495C3E@038d2aa263c9deeb495fea.e</t>
  </si>
  <si>
    <t>dwright@montrose-env.com</t>
  </si>
  <si>
    <t>Wright</t>
  </si>
  <si>
    <t>1C6B1D7B656A07230A495FB5@038d2aa263c9deeb495fea.e</t>
  </si>
  <si>
    <t>marcmajorhaynes@montrose-env.com</t>
  </si>
  <si>
    <t>Marc</t>
  </si>
  <si>
    <t>Major Haynes</t>
  </si>
  <si>
    <t>23671D51656A406B0A495EE1@038d2aa263c9deeb495fea.e</t>
  </si>
  <si>
    <t>serome@montrose-env.com</t>
  </si>
  <si>
    <t>Rome</t>
  </si>
  <si>
    <t>26F21D7B656A66700A495FB5@038d2aa263c9deeb495fea.e</t>
  </si>
  <si>
    <t>brianfrewerd@ect2.com</t>
  </si>
  <si>
    <t>Frewerd</t>
  </si>
  <si>
    <t>26E71D57656A67D00A495C9B@038d2aa263c9deeb495fea.e</t>
  </si>
  <si>
    <t>USA - ECT2 - OH - Sales</t>
  </si>
  <si>
    <t>kfaddis@montrose-env.com</t>
  </si>
  <si>
    <t>Keye</t>
  </si>
  <si>
    <t>Faddis</t>
  </si>
  <si>
    <t>27E61D91656A67D20A495FF3@038d2aa263c9deeb495fea.e</t>
  </si>
  <si>
    <t>alice.delia@enthalpy.com</t>
  </si>
  <si>
    <t>Alice</t>
  </si>
  <si>
    <t>Delia</t>
  </si>
  <si>
    <t>65D51D6E656DF6520A495FA0@038d2aa263c9deeb495fea.e</t>
  </si>
  <si>
    <t>USA - Env Lab - Mt Pleasant - G&amp;A</t>
  </si>
  <si>
    <t>jegonzalez@montrose-env.com</t>
  </si>
  <si>
    <t>Gonzalez</t>
  </si>
  <si>
    <t>25E51E52656F75000A495C92@038d2aa263c9deeb495fea.e</t>
  </si>
  <si>
    <t>patriciacuomo@montrose-env.com</t>
  </si>
  <si>
    <t>Patricia</t>
  </si>
  <si>
    <t>Cuomo</t>
  </si>
  <si>
    <t>45FE1E356570BA130A495FF5@038d2aa263c9deeb495fea.e</t>
  </si>
  <si>
    <t>nicholassherwood@montrose-env.com</t>
  </si>
  <si>
    <t>Sherwood</t>
  </si>
  <si>
    <t>454E1E336570C0E20A495CE7@038d2aa263c9deeb495fea.e</t>
  </si>
  <si>
    <t>pamaliro@montrose-env.com</t>
  </si>
  <si>
    <t>Maliro</t>
  </si>
  <si>
    <t>48231D816570E57F0A495C25@038d2aa263c9deeb495fea.e</t>
  </si>
  <si>
    <t>toddakin@montrose-env.com</t>
  </si>
  <si>
    <t>Akin</t>
  </si>
  <si>
    <t>4AF91D4E6570F4620A495E27@038d2aa263c9deeb495fea.e</t>
  </si>
  <si>
    <t>rdstafford@montrose-env.com</t>
  </si>
  <si>
    <t>Raymond</t>
  </si>
  <si>
    <t>Stafford Jr.</t>
  </si>
  <si>
    <t>7A2D1D4B65731D080A495FD3@038d2aa263c9deeb495fea.e</t>
  </si>
  <si>
    <t>nwoltkamp@montrose-env.com</t>
  </si>
  <si>
    <t>Woltkamp</t>
  </si>
  <si>
    <t>84D11D57657379430A495EDF@038d2aa263c9deeb495fea.e</t>
  </si>
  <si>
    <t>datucker@ect2.com</t>
  </si>
  <si>
    <t>Tucker</t>
  </si>
  <si>
    <t>CB2F1EE66577288D0A495E82@038d2aa263c9deeb495fea.e</t>
  </si>
  <si>
    <t>isabellebrewer@montrose-env.com</t>
  </si>
  <si>
    <t>Isabelle</t>
  </si>
  <si>
    <t>Brewer</t>
  </si>
  <si>
    <t>D13F1D7B657761290A495FA3@038d2aa263c9deeb495fea.e</t>
  </si>
  <si>
    <t>ext-bertross@montrose-env.com</t>
  </si>
  <si>
    <t>Bert</t>
  </si>
  <si>
    <t>Ross</t>
  </si>
  <si>
    <t>D3221E33657764840A495FAA@038d2aa263c9deeb495fea.e</t>
  </si>
  <si>
    <t>carowshan@montrose-env.com</t>
  </si>
  <si>
    <t>Rowshan</t>
  </si>
  <si>
    <t>D42E1D54657783AA0A495FB2@038d2aa263c9deeb495fea.e</t>
  </si>
  <si>
    <t>USA - Advisory Services - Chemistry  - Operations</t>
  </si>
  <si>
    <t>robeegle-renna@montrose-env.com</t>
  </si>
  <si>
    <t>Robiana</t>
  </si>
  <si>
    <t>Beegle-Renna</t>
  </si>
  <si>
    <t>DCCD1D576577B0300A495EDF@038d2aa263c9deeb495fea.e</t>
  </si>
  <si>
    <t>robert.brunner@montrose-env.com</t>
  </si>
  <si>
    <t>Brunner</t>
  </si>
  <si>
    <t>EC6C1DA165786DF10A495E6E@038d2aa263c9deeb495fea.e</t>
  </si>
  <si>
    <t>USA - Advisory Services OH - Finance</t>
  </si>
  <si>
    <t>pabeck@montrose-env.com</t>
  </si>
  <si>
    <t>Paula</t>
  </si>
  <si>
    <t>F05A1D5965788BEF0A495EB5@038d2aa263c9deeb495fea.e</t>
  </si>
  <si>
    <t>jegable@montrose-env.com</t>
  </si>
  <si>
    <t>Jen</t>
  </si>
  <si>
    <t>F4841E3E65789A300A495FE9@038d2aa263c9deeb495fea.e</t>
  </si>
  <si>
    <t>tasteltz@montrose-env.com</t>
  </si>
  <si>
    <t>Tanner</t>
  </si>
  <si>
    <t>Steltz</t>
  </si>
  <si>
    <t>03DE1E246578D82C0A495C39@038d2aa263c9deeb495fea.e</t>
  </si>
  <si>
    <t>stephanie.rodriguez@enthalpy.com</t>
  </si>
  <si>
    <t>FCA71E586578F7750A495C58@038d2aa263c9deeb495fea.e</t>
  </si>
  <si>
    <t>sheryll.flauding@enthalpy.com</t>
  </si>
  <si>
    <t>Sheryll</t>
  </si>
  <si>
    <t>Flauding</t>
  </si>
  <si>
    <t>06E11E376578FD840A495F9F@038d2aa263c9deeb495fea.e</t>
  </si>
  <si>
    <t>ext-carrielledavidson@montrose-env.com</t>
  </si>
  <si>
    <t>Carrielle</t>
  </si>
  <si>
    <t>Davidson</t>
  </si>
  <si>
    <t>14731D5A6579BC800A495F8F@038d2aa263c9deeb495fea.e</t>
  </si>
  <si>
    <t>jedrummond@montrose-env.com</t>
  </si>
  <si>
    <t>Jesse</t>
  </si>
  <si>
    <t>Drummond</t>
  </si>
  <si>
    <t>217A1D746579FF830A495E92@038d2aa263c9deeb495fea.e</t>
  </si>
  <si>
    <t>beadams@montrose-env.com</t>
  </si>
  <si>
    <t>Ben</t>
  </si>
  <si>
    <t>17DE1D57657A07DD0A495C1C@038d2aa263c9deeb495fea.e</t>
  </si>
  <si>
    <t>stsurman@montrose-env.com</t>
  </si>
  <si>
    <t>Surman</t>
  </si>
  <si>
    <t>3BB81D79657B3B5F0A495E1B@038d2aa263c9deeb495fea.e</t>
  </si>
  <si>
    <t>ledupes@montrose-env.com</t>
  </si>
  <si>
    <t>Lester</t>
  </si>
  <si>
    <t>Dupes</t>
  </si>
  <si>
    <t>4D321DA1657C45870A495E6E@038d2aa263c9deeb495fea.e</t>
  </si>
  <si>
    <t>bwilliams@montrose-env.com</t>
  </si>
  <si>
    <t>Blenda</t>
  </si>
  <si>
    <t>Chavez-Williams</t>
  </si>
  <si>
    <t>9D3B1D7C658099650A495E81@038d2aa263c9deeb495fea.e</t>
  </si>
  <si>
    <t>kesantiago@montrose-env.com</t>
  </si>
  <si>
    <t>C6091D7A6581C3A10A495FA8@038d2aa263c9deeb495fea.e</t>
  </si>
  <si>
    <t>alexa.cross@enthalpy.com</t>
  </si>
  <si>
    <t>Cross</t>
  </si>
  <si>
    <t>BD611D816581D76C0A495EF0@038d2aa263c9deeb495fea.e</t>
  </si>
  <si>
    <t>jlwaltz@montrose-env.com</t>
  </si>
  <si>
    <t>Waltz</t>
  </si>
  <si>
    <t>E0D01E2F65830C110A495F84@038d2aa263c9deeb495fea.e</t>
  </si>
  <si>
    <t>koblaufuss@montrose-env.com</t>
  </si>
  <si>
    <t>Kortney</t>
  </si>
  <si>
    <t>Blaufuss</t>
  </si>
  <si>
    <t>ECBE1E1B658341090A495FFE@038d2aa263c9deeb495fea.e</t>
  </si>
  <si>
    <t>dabarton@montrose-env.com</t>
  </si>
  <si>
    <t>Darrin</t>
  </si>
  <si>
    <t>Barton</t>
  </si>
  <si>
    <t>E6F21DA1658358A50A495E6E@038d2aa263c9deeb495fea.e</t>
  </si>
  <si>
    <t>avella@montrose-env.com</t>
  </si>
  <si>
    <t>Vella</t>
  </si>
  <si>
    <t>FE6C1E3565847FA60A495FF5@038d2aa263c9deeb495fea.e</t>
  </si>
  <si>
    <t>malybeer@montrose-env.com</t>
  </si>
  <si>
    <t>Lybeer</t>
  </si>
  <si>
    <t>03541D5B6584B9580A495C85@038d2aa263c9deeb495fea.e</t>
  </si>
  <si>
    <t>arjinian@montrose-env.com</t>
  </si>
  <si>
    <t>Arthur</t>
  </si>
  <si>
    <t>Jinian</t>
  </si>
  <si>
    <t>180E1E51658582B90A495EBF@038d2aa263c9deeb495fea.e</t>
  </si>
  <si>
    <t>USA - Sensible EDP - OH - Software Development</t>
  </si>
  <si>
    <t>ammartin@montrose-env.com</t>
  </si>
  <si>
    <t>Ammie</t>
  </si>
  <si>
    <t>67741E57658B47050A495ED8@038d2aa263c9deeb495fea.e</t>
  </si>
  <si>
    <t>stzeiner@montrose-env.com</t>
  </si>
  <si>
    <t>Zeiner</t>
  </si>
  <si>
    <t>63161D5D658B47050A495E8B@038d2aa263c9deeb495fea.e</t>
  </si>
  <si>
    <t>jojackson@montrose-env.com</t>
  </si>
  <si>
    <t>Jonah</t>
  </si>
  <si>
    <t>Jackson</t>
  </si>
  <si>
    <t>74391E32658B47060A495E2B@038d2aa263c9deeb495fea.e</t>
  </si>
  <si>
    <t>belanders@montrose-env.com</t>
  </si>
  <si>
    <t>Landers</t>
  </si>
  <si>
    <t>66EA1E56658B47060A495C83@038d2aa263c9deeb495fea.e</t>
  </si>
  <si>
    <t>toweinmann@montrose-env.com</t>
  </si>
  <si>
    <t>Weinmann</t>
  </si>
  <si>
    <t>68041D5B658B47060A495C85@038d2aa263c9deeb495fea.e</t>
  </si>
  <si>
    <t>mahaslett@montrose-env.com</t>
  </si>
  <si>
    <t>Haslett</t>
  </si>
  <si>
    <t>6ED81E2F658B47080A495FF8@038d2aa263c9deeb495fea.e</t>
  </si>
  <si>
    <t>hepaul@montrose-env.com</t>
  </si>
  <si>
    <t>6AA91D56658B47080A495EA5@038d2aa263c9deeb495fea.e</t>
  </si>
  <si>
    <t>kaoelschlager@montrose-env.com</t>
  </si>
  <si>
    <t>Karen</t>
  </si>
  <si>
    <t>Oelschlager</t>
  </si>
  <si>
    <t>69301D7B658B47080A495CF1@038d2aa263c9deeb495fea.e</t>
  </si>
  <si>
    <t>jokraycik@montrose-env.com</t>
  </si>
  <si>
    <t>Joe</t>
  </si>
  <si>
    <t>Kraycik</t>
  </si>
  <si>
    <t>6F6D1E2E658B47080A495F8B@038d2aa263c9deeb495fea.e</t>
  </si>
  <si>
    <t>bemcmillan@montrose-env.com</t>
  </si>
  <si>
    <t>McMillan</t>
  </si>
  <si>
    <t>62851D81658B47090A495EF0@038d2aa263c9deeb495fea.e</t>
  </si>
  <si>
    <t>kemorton@montrose-env.com</t>
  </si>
  <si>
    <t>Kelsey</t>
  </si>
  <si>
    <t>Morton</t>
  </si>
  <si>
    <t>67641D81658B470A0A495C25@038d2aa263c9deeb495fea.e</t>
  </si>
  <si>
    <t>stlein@montrose-env.com</t>
  </si>
  <si>
    <t>Lein</t>
  </si>
  <si>
    <t>725D1D7A658B470B0A495FA8@038d2aa263c9deeb495fea.e</t>
  </si>
  <si>
    <t>alreed@montrose-env.com</t>
  </si>
  <si>
    <t>Alyssa</t>
  </si>
  <si>
    <t>Reed</t>
  </si>
  <si>
    <t>725E1D7A658B470B0A495FA8@038d2aa263c9deeb495fea.e</t>
  </si>
  <si>
    <t>deaungst@montrose-env.com</t>
  </si>
  <si>
    <t>Aungst</t>
  </si>
  <si>
    <t>6F2F1D53658B470B0A495EAD@038d2aa263c9deeb495fea.e</t>
  </si>
  <si>
    <t>kapodufalski@montrose-env.com</t>
  </si>
  <si>
    <t>Kate</t>
  </si>
  <si>
    <t>Podufalski</t>
  </si>
  <si>
    <t>63B91D52658B470C0A495E74@038d2aa263c9deeb495fea.e</t>
  </si>
  <si>
    <t>nidinenna@montrose-env.com</t>
  </si>
  <si>
    <t>Nicole</t>
  </si>
  <si>
    <t>DiNenna</t>
  </si>
  <si>
    <t>37F31DA4658B470C0A495F8A@038d2aa263c9deeb495fea.e</t>
  </si>
  <si>
    <t>jaacker@montrose-env.com</t>
  </si>
  <si>
    <t>Acker</t>
  </si>
  <si>
    <t>6B061E2F658B470D0A495F84@038d2aa263c9deeb495fea.e</t>
  </si>
  <si>
    <t>jejensen@montrose-env.com</t>
  </si>
  <si>
    <t>6E0A1D50658B470D0A495FCD@038d2aa263c9deeb495fea.e</t>
  </si>
  <si>
    <t>miwaldman@montrose-env.com</t>
  </si>
  <si>
    <t>Miranda</t>
  </si>
  <si>
    <t>Waldman</t>
  </si>
  <si>
    <t>74AF1E37658B470D0A495F9F@038d2aa263c9deeb495fea.e</t>
  </si>
  <si>
    <t>abbossbaly@montrose-env.com</t>
  </si>
  <si>
    <t>Abigail</t>
  </si>
  <si>
    <t>Bossbaly</t>
  </si>
  <si>
    <t>6F6E1E2E658B470E0A495F8B@038d2aa263c9deeb495fea.e</t>
  </si>
  <si>
    <t>migreen@montrose-env.com</t>
  </si>
  <si>
    <t>Mike</t>
  </si>
  <si>
    <t>Green</t>
  </si>
  <si>
    <t>68A41D55658B470E0A495FD9@038d2aa263c9deeb495fea.e</t>
  </si>
  <si>
    <t>brdunphy@montrose-env.com</t>
  </si>
  <si>
    <t>Brett</t>
  </si>
  <si>
    <t>Dunphy</t>
  </si>
  <si>
    <t>6AD61E40658B470F0A495FE3@038d2aa263c9deeb495fea.e</t>
  </si>
  <si>
    <t>losanderson@montrose-env.com</t>
  </si>
  <si>
    <t>Sanderson</t>
  </si>
  <si>
    <t>6C181E3E658B470F0A495FE9@038d2aa263c9deeb495fea.e</t>
  </si>
  <si>
    <t>gayakub@montrose-env.com</t>
  </si>
  <si>
    <t>Yakub</t>
  </si>
  <si>
    <t>6AAB1D56658B470F0A495EA5@038d2aa263c9deeb495fea.e</t>
  </si>
  <si>
    <t>pahickman@montrose-env.com</t>
  </si>
  <si>
    <t>Patty</t>
  </si>
  <si>
    <t>Hickman</t>
  </si>
  <si>
    <t>64251E4E658B470F0A495E48@038d2aa263c9deeb495fea.e</t>
  </si>
  <si>
    <t>stlennon@montrose-env.com</t>
  </si>
  <si>
    <t>Lennon</t>
  </si>
  <si>
    <t>646C1EA6658B47100A495C7E@038d2aa263c9deeb495fea.e</t>
  </si>
  <si>
    <t>dwhoster@montrose-env.com</t>
  </si>
  <si>
    <t>Dwight</t>
  </si>
  <si>
    <t>Hoster</t>
  </si>
  <si>
    <t>6D7D1D57658B47100A495EDF@038d2aa263c9deeb495fea.e</t>
  </si>
  <si>
    <t>memichell@montrose-env.com</t>
  </si>
  <si>
    <t>Meg</t>
  </si>
  <si>
    <t>Michell</t>
  </si>
  <si>
    <t>66EC1E56658B47110A495C83@038d2aa263c9deeb495fea.e</t>
  </si>
  <si>
    <t>divlahogiani@montrose-env.com</t>
  </si>
  <si>
    <t>Dina</t>
  </si>
  <si>
    <t>Vlahogiani</t>
  </si>
  <si>
    <t>6C281E5C658B47110A495CC4@038d2aa263c9deeb495fea.e</t>
  </si>
  <si>
    <t>rovitale@montrose-env.com</t>
  </si>
  <si>
    <t>Rock</t>
  </si>
  <si>
    <t>Vitale</t>
  </si>
  <si>
    <t>6D4A1D4E658B47110A495E27@038d2aa263c9deeb495fea.e</t>
  </si>
  <si>
    <t>amcover@montrose-env.com</t>
  </si>
  <si>
    <t>Cover</t>
  </si>
  <si>
    <t>65E61D7C658B47120A495E7F@038d2aa263c9deeb495fea.e</t>
  </si>
  <si>
    <t>brbelding@montrose-env.com</t>
  </si>
  <si>
    <t>Bradley</t>
  </si>
  <si>
    <t>Belding</t>
  </si>
  <si>
    <t>6D811D57658B47120A495EDF@038d2aa263c9deeb495fea.e</t>
  </si>
  <si>
    <t>shdrummond@montrose-env.com</t>
  </si>
  <si>
    <t>Sharon</t>
  </si>
  <si>
    <t>67641E2A658B47130A495CAC@038d2aa263c9deeb495fea.e</t>
  </si>
  <si>
    <t>kakelly@montrose-env.com</t>
  </si>
  <si>
    <t>Katelyn</t>
  </si>
  <si>
    <t>6A121D57658B47130A495C1C@038d2aa263c9deeb495fea.e</t>
  </si>
  <si>
    <t>apmartinez@montrose-env.com</t>
  </si>
  <si>
    <t>April</t>
  </si>
  <si>
    <t>753C1E86658B47140A495F91@038d2aa263c9deeb495fea.e</t>
  </si>
  <si>
    <t>kastarr@montrose-env.com</t>
  </si>
  <si>
    <t>Starr</t>
  </si>
  <si>
    <t>6A561E2E658B47140A495C24@038d2aa263c9deeb495fea.e</t>
  </si>
  <si>
    <t>mimorrisson@montrose-env.com</t>
  </si>
  <si>
    <t>Morrisson</t>
  </si>
  <si>
    <t>63911D78658B47140A495EB3@038d2aa263c9deeb495fea.e</t>
  </si>
  <si>
    <t>patravers@montrose-env.com</t>
  </si>
  <si>
    <t>Travers</t>
  </si>
  <si>
    <t>74BC1E5C658B47150A495C23@038d2aa263c9deeb495fea.e</t>
  </si>
  <si>
    <t>kassidyhooper@montrose-env.com</t>
  </si>
  <si>
    <t>Kassidy</t>
  </si>
  <si>
    <t>Hooper</t>
  </si>
  <si>
    <t>74B11E37658B47160A495F9F@038d2aa263c9deeb495fea.e</t>
  </si>
  <si>
    <t>jomanners@montrose-env.com</t>
  </si>
  <si>
    <t>Joelle</t>
  </si>
  <si>
    <t>Manners</t>
  </si>
  <si>
    <t>743D1E32658B47160A495E2B@038d2aa263c9deeb495fea.e</t>
  </si>
  <si>
    <t>dakulaw@montrose-env.com</t>
  </si>
  <si>
    <t>Dannielle</t>
  </si>
  <si>
    <t>Kulaw</t>
  </si>
  <si>
    <t>66ED1E56658B47160A495C83@038d2aa263c9deeb495fea.e</t>
  </si>
  <si>
    <t>shgilday@montrose-env.com</t>
  </si>
  <si>
    <t>Gilday</t>
  </si>
  <si>
    <t>743E1E32658B47170A495E2B@038d2aa263c9deeb495fea.e</t>
  </si>
  <si>
    <t>adcasto@montrose-env.com</t>
  </si>
  <si>
    <t>Addison</t>
  </si>
  <si>
    <t>Casto</t>
  </si>
  <si>
    <t>63921D78658B47170A495EB3@038d2aa263c9deeb495fea.e</t>
  </si>
  <si>
    <t>lwebb@montrose-env.com</t>
  </si>
  <si>
    <t>Webb</t>
  </si>
  <si>
    <t>6ED91E2F658B47170A495FF8@038d2aa263c9deeb495fea.e</t>
  </si>
  <si>
    <t>relenz@montrose-env.com</t>
  </si>
  <si>
    <t>Lenz</t>
  </si>
  <si>
    <t>655C1E54658B47180A495E52@038d2aa263c9deeb495fea.e</t>
  </si>
  <si>
    <t>helord@montrose-env.com</t>
  </si>
  <si>
    <t>Lord</t>
  </si>
  <si>
    <t>66EE1E56658B47180A495C83@038d2aa263c9deeb495fea.e</t>
  </si>
  <si>
    <t>doujones@montrose-env.com</t>
  </si>
  <si>
    <t>6A571E2E658B47180A495C24@038d2aa263c9deeb495fea.e</t>
  </si>
  <si>
    <t>noneubert@montrose-env.com</t>
  </si>
  <si>
    <t>Noah</t>
  </si>
  <si>
    <t>Neubert</t>
  </si>
  <si>
    <t>81A21D74658C38330A495E92@038d2aa263c9deeb495fea.e</t>
  </si>
  <si>
    <t>brjavorka@montrose-env.com</t>
  </si>
  <si>
    <t>Brittney</t>
  </si>
  <si>
    <t>Javorka</t>
  </si>
  <si>
    <t>A4A21E86658DD6C40A495F91@038d2aa263c9deeb495fea.e</t>
  </si>
  <si>
    <t>jrevuelta@montrose-env.com</t>
  </si>
  <si>
    <t>Revuelta</t>
  </si>
  <si>
    <t>AC881D72658E08D30A495FA1@038d2aa263c9deeb495fea.e</t>
  </si>
  <si>
    <t>ameyles@montrose-env.com</t>
  </si>
  <si>
    <t>Eyles</t>
  </si>
  <si>
    <t>B6771D50658F565D0A495FCD@038d2aa263c9deeb495fea.e</t>
  </si>
  <si>
    <t>edcapozzi@montrose-env.com</t>
  </si>
  <si>
    <t>Edward</t>
  </si>
  <si>
    <t>Capozzi</t>
  </si>
  <si>
    <t>F4DB1D7B65940DBF0A495CF1@038d2aa263c9deeb495fea.e</t>
  </si>
  <si>
    <t>vmanthripragada@montrose-env.com</t>
  </si>
  <si>
    <t>Vijay</t>
  </si>
  <si>
    <t>Manthripragada</t>
  </si>
  <si>
    <t>F7201E2C6594226F0A495C0B@038d2aa263c9deeb495fea.e</t>
  </si>
  <si>
    <t>patrickrohrbough@montrose-env.com</t>
  </si>
  <si>
    <t>Rohrbough</t>
  </si>
  <si>
    <t>F7C11D5165942F340A495C1D@038d2aa263c9deeb495fea.e</t>
  </si>
  <si>
    <t>isabellasantarsieri@montrose-env.com</t>
  </si>
  <si>
    <t>Isabella</t>
  </si>
  <si>
    <t>Santarsieri</t>
  </si>
  <si>
    <t>07AF1D50659448070A495FC9@038d2aa263c9deeb495fea.e</t>
  </si>
  <si>
    <t>pclark@montrose-env.com</t>
  </si>
  <si>
    <t>03321E266594691C0A495F99@038d2aa263c9deeb495fea.e</t>
  </si>
  <si>
    <t>dbailey@montrose-env.com</t>
  </si>
  <si>
    <t>Donna</t>
  </si>
  <si>
    <t>Bailey</t>
  </si>
  <si>
    <t>13D31D4B659575340A495FD3@038d2aa263c9deeb495fea.e</t>
  </si>
  <si>
    <t>farevuelta@montrose-env.com</t>
  </si>
  <si>
    <t>Fatima</t>
  </si>
  <si>
    <t>1E711E2D6595A1A50A495C51@038d2aa263c9deeb495fea.e</t>
  </si>
  <si>
    <t>EUR - ECT2 - G&amp;A</t>
  </si>
  <si>
    <t>MMaier@Montrose-env.com</t>
  </si>
  <si>
    <t>mmaier@montrose-env.com</t>
  </si>
  <si>
    <t>Martha</t>
  </si>
  <si>
    <t>Maier</t>
  </si>
  <si>
    <t>315A1D806595D04D0A495FAE@038d2aa263c9deeb495fea.e</t>
  </si>
  <si>
    <t>annalmonte@montrose-env.com</t>
  </si>
  <si>
    <t>Ann</t>
  </si>
  <si>
    <t>Almonte</t>
  </si>
  <si>
    <t>24BF1733659754500A495EEF@038d2aa263c9deeb495fea.e</t>
  </si>
  <si>
    <t>kylemoore@montrose-env.com</t>
  </si>
  <si>
    <t>Moore</t>
  </si>
  <si>
    <t>88510E69659BFFD50A495FB6@038d2aa263c9deeb495fea.e</t>
  </si>
  <si>
    <t>wilambourn@montrose-env.com</t>
  </si>
  <si>
    <t>Lambourn</t>
  </si>
  <si>
    <t>8B871D48659C1C420A495EB7@038d2aa263c9deeb495fea.e</t>
  </si>
  <si>
    <t>sefarrell@montrose-env.com</t>
  </si>
  <si>
    <t>Farrell</t>
  </si>
  <si>
    <t>91EF1809659C42420A495CFB@038d2aa263c9deeb495fea.e</t>
  </si>
  <si>
    <t>taylor.nasu@enthalpy.com</t>
  </si>
  <si>
    <t>Nasu</t>
  </si>
  <si>
    <t>98370EBC659C7BDC0A495E95@038d2aa263c9deeb495fea.e</t>
  </si>
  <si>
    <t>limiller@montrose-env.com</t>
  </si>
  <si>
    <t>C1130E7A659D8B080A495C62@038d2aa263c9deeb495fea.e</t>
  </si>
  <si>
    <t>lorynboorstein@montrose-env.com</t>
  </si>
  <si>
    <t>Loryn</t>
  </si>
  <si>
    <t>Boorstein</t>
  </si>
  <si>
    <t>C4EA14E5659D96380A495FFB@038d2aa263c9deeb495fea.e</t>
  </si>
  <si>
    <t>USA - Sensible EDP - Denver - Operations</t>
  </si>
  <si>
    <t>briennewode@montrose-env.com</t>
  </si>
  <si>
    <t>Brie</t>
  </si>
  <si>
    <t>Wode</t>
  </si>
  <si>
    <t>EE0A0CB6659F08100A495CB6@038d2aa263c9deeb495fea.e</t>
  </si>
  <si>
    <t>philipalia@montrose-env.com</t>
  </si>
  <si>
    <t>Philip</t>
  </si>
  <si>
    <t>Alia</t>
  </si>
  <si>
    <t>05AE1D07659FF0C40A495FBE@038d2aa263c9deeb495fea.e</t>
  </si>
  <si>
    <t>kbagwell@montrose-env.com</t>
  </si>
  <si>
    <t>Katrina</t>
  </si>
  <si>
    <t>Bagwell</t>
  </si>
  <si>
    <t>0D4B13B265A00BC90A495F87@038d2aa263c9deeb495fea.e</t>
  </si>
  <si>
    <t>dwagner@montrose-env.com</t>
  </si>
  <si>
    <t>Wagner</t>
  </si>
  <si>
    <t>0E9715B465A02B2E0A495EA4@038d2aa263c9deeb495fea.e</t>
  </si>
  <si>
    <t>lasadorf@montrose-env.com</t>
  </si>
  <si>
    <t>Sadorf</t>
  </si>
  <si>
    <t>16CF13B265A044C40A495F87@038d2aa263c9deeb495fea.e</t>
  </si>
  <si>
    <t>dagramonte@montrose-env.com</t>
  </si>
  <si>
    <t>Agramonte</t>
  </si>
  <si>
    <t>1836238565A047A10A495C89@038d2aa263c9deeb495fea.e</t>
  </si>
  <si>
    <t>emwhite@montrose-env.com</t>
  </si>
  <si>
    <t>Emma</t>
  </si>
  <si>
    <t>1136240D65A04A4C0A495EF5@038d2aa263c9deeb495fea.e</t>
  </si>
  <si>
    <t>ramandel@montrose-env.com</t>
  </si>
  <si>
    <t>Mandel</t>
  </si>
  <si>
    <t>3D2D139465A18B8A0A495CA5@038d2aa263c9deeb495fea.e</t>
  </si>
  <si>
    <t>emjosephadmin@montrose-env.com</t>
  </si>
  <si>
    <t>Emmanuel</t>
  </si>
  <si>
    <t>Joseph Admin</t>
  </si>
  <si>
    <t>452E12BC65A1B50E0A495C6C@038d2aa263c9deeb495fea.e</t>
  </si>
  <si>
    <t>emjoseph@montrose-env.com</t>
  </si>
  <si>
    <t>mannytorres@montrose-env.com</t>
  </si>
  <si>
    <t>Manny</t>
  </si>
  <si>
    <t>Torres Admin</t>
  </si>
  <si>
    <t>46E10EF965A1B5210A495FF3@038d2aa263c9deeb495fea.e</t>
  </si>
  <si>
    <t>smpearce@montrose-env.com</t>
  </si>
  <si>
    <t>Susan</t>
  </si>
  <si>
    <t>Pearce</t>
  </si>
  <si>
    <t>905B14E565A564C10A495FFB@038d2aa263c9deeb495fea.e</t>
  </si>
  <si>
    <t>jeffreymartineau@montrose-env.com</t>
  </si>
  <si>
    <t>Martineau</t>
  </si>
  <si>
    <t>B9AA114665A6DBFE0A495FD5@038d2aa263c9deeb495fea.e</t>
  </si>
  <si>
    <t>hrollins@montrose-env.com</t>
  </si>
  <si>
    <t>Holly</t>
  </si>
  <si>
    <t>Rollins</t>
  </si>
  <si>
    <t>B64D169B65A6E33F0A495E59@038d2aa263c9deeb495fea.e</t>
  </si>
  <si>
    <t>USA - Environmental Consulting - Atlanta - G&amp;A</t>
  </si>
  <si>
    <t>laurenwilliams@montrose-env.com</t>
  </si>
  <si>
    <t>D8B6133365A8037E0A495E87@038d2aa263c9deeb495fea.e</t>
  </si>
  <si>
    <t>awebster@montrose-env.com</t>
  </si>
  <si>
    <t>Webster</t>
  </si>
  <si>
    <t>21021D9465A94B9D0A495FE5@038d2aa263c9deeb495fea.e</t>
  </si>
  <si>
    <t>judelagarza@montrose-env.com</t>
  </si>
  <si>
    <t>Janie</t>
  </si>
  <si>
    <t>De La Garza</t>
  </si>
  <si>
    <t>2F1D1D9A65A99E0B0A495ED7@038d2aa263c9deeb495fea.e</t>
  </si>
  <si>
    <t>USA - LDAR - Texas - G&amp;A</t>
  </si>
  <si>
    <t>tmchurchman@montrose-env.com</t>
  </si>
  <si>
    <t>Teagan</t>
  </si>
  <si>
    <t>Churchman</t>
  </si>
  <si>
    <t>531B1D9965AAC5C60A495FC9@038d2aa263c9deeb495fea.e</t>
  </si>
  <si>
    <t>USA - LDAR - OH - HR</t>
  </si>
  <si>
    <t>denisewilliams@montrose-env.com</t>
  </si>
  <si>
    <t>BF451D8D65AFF11B0A495FA8@038d2aa263c9deeb495fea.e</t>
  </si>
  <si>
    <t>schandru@montrose-env.com</t>
  </si>
  <si>
    <t>Santosh</t>
  </si>
  <si>
    <t>Chandru</t>
  </si>
  <si>
    <t>C0C61D9865B010DF0A495E10@038d2aa263c9deeb495fea.e</t>
  </si>
  <si>
    <t>penherring@montrose-env.com</t>
  </si>
  <si>
    <t>Pen</t>
  </si>
  <si>
    <t>Herring</t>
  </si>
  <si>
    <t>C4A51D9465B041FF0A495E73@038d2aa263c9deeb495fea.e</t>
  </si>
  <si>
    <t>mkrockel@montrose-env.com</t>
  </si>
  <si>
    <t>Rockel</t>
  </si>
  <si>
    <t>DFAA1E7465B133460A495F9D@038d2aa263c9deeb495fea.e</t>
  </si>
  <si>
    <t>jesse.corbitt@enthalpy.com</t>
  </si>
  <si>
    <t>Corbitt</t>
  </si>
  <si>
    <t>DEFE1D9565B13C990A495FA4@038d2aa263c9deeb495fea.e</t>
  </si>
  <si>
    <t>marlene.carrillo@enthalpy.com</t>
  </si>
  <si>
    <t>Marlene</t>
  </si>
  <si>
    <t>Carrillo</t>
  </si>
  <si>
    <t>0F271D6C65B2A56D0A495FDD@038d2aa263c9deeb495fea.e</t>
  </si>
  <si>
    <t>olwhite@montrose-env.com</t>
  </si>
  <si>
    <t>Olatokunbo</t>
  </si>
  <si>
    <t>0F421D9365B2C5270A495CA8@038d2aa263c9deeb495fea.e</t>
  </si>
  <si>
    <t>trungdiep@montrose-env.com</t>
  </si>
  <si>
    <t>Trung</t>
  </si>
  <si>
    <t>Diep</t>
  </si>
  <si>
    <t>242A1E4065B39E0A0A495E9C@038d2aa263c9deeb495fea.e</t>
  </si>
  <si>
    <t>USA - Sensible EDP - Austin - Operations</t>
  </si>
  <si>
    <t>BaileyCorley@montrose-env.com</t>
  </si>
  <si>
    <t>baileycorley@montrose-env.com</t>
  </si>
  <si>
    <t>Corley</t>
  </si>
  <si>
    <t>7D6C1E6065B7D13E0A495FC0@038d2aa263c9deeb495fea.e</t>
  </si>
  <si>
    <t>brad.moravec@enthalpy.com</t>
  </si>
  <si>
    <t>Brad</t>
  </si>
  <si>
    <t>Moravec</t>
  </si>
  <si>
    <t>83631D9865B813920A495C15@038d2aa263c9deeb495fea.e</t>
  </si>
  <si>
    <t>dcspath@montrose-env.com</t>
  </si>
  <si>
    <t>Spath</t>
  </si>
  <si>
    <t>82A81D6865B81C780A495FEA@038d2aa263c9deeb495fea.e</t>
  </si>
  <si>
    <t>joshannon@montrose-env.com</t>
  </si>
  <si>
    <t>A6101D6665B9377C0A495FEE@038d2aa263c9deeb495fea.e</t>
  </si>
  <si>
    <t>ailiangou@montrose-env.com</t>
  </si>
  <si>
    <t>Katia</t>
  </si>
  <si>
    <t>Liangou</t>
  </si>
  <si>
    <t>B1821D6D65B983570A495E11@038d2aa263c9deeb495fea.e</t>
  </si>
  <si>
    <t>josephandrews@montrose-env.com</t>
  </si>
  <si>
    <t>C9761D9365BA609B0A495C46@038d2aa263c9deeb495fea.e</t>
  </si>
  <si>
    <t>ShannonKeenan@montrose-env.com</t>
  </si>
  <si>
    <t>Keenan</t>
  </si>
  <si>
    <t>C8B91D7365BA68760A495F8F@038d2aa263c9deeb495fea.e</t>
  </si>
  <si>
    <t>rolemanowicz@montrose-env.com</t>
  </si>
  <si>
    <t>Lemanowicz</t>
  </si>
  <si>
    <t>C7581D6A65BA728D0A495C64@038d2aa263c9deeb495fea.e</t>
  </si>
  <si>
    <t>phart@montrose-env.com</t>
  </si>
  <si>
    <t>Hart</t>
  </si>
  <si>
    <t>EDED1D9265BB927F0A495CE6@038d2aa263c9deeb495fea.e</t>
  </si>
  <si>
    <t>stephenmirkin@montrose-env.com</t>
  </si>
  <si>
    <t>Stephen</t>
  </si>
  <si>
    <t>Mirkin</t>
  </si>
  <si>
    <t>F1B11D9465BBC7FD0A495FE5@038d2aa263c9deeb495fea.e</t>
  </si>
  <si>
    <t>soalarcon@montrose-env.com</t>
  </si>
  <si>
    <t>Soraya</t>
  </si>
  <si>
    <t>Alarcon</t>
  </si>
  <si>
    <t>F1461D6D65BBCC660A495C3A@038d2aa263c9deeb495fea.e</t>
  </si>
  <si>
    <t>kkessler@montrose-env.com</t>
  </si>
  <si>
    <t>Kirk</t>
  </si>
  <si>
    <t>Kessler</t>
  </si>
  <si>
    <t>FA541D6C65BBE30C0A495FDD@038d2aa263c9deeb495fea.e</t>
  </si>
  <si>
    <t>benjaminrosenkoetter@montrose-env.com</t>
  </si>
  <si>
    <t>Rosenkoetter</t>
  </si>
  <si>
    <t>16A01D6F65BCDB5E0A495F98@038d2aa263c9deeb495fea.e</t>
  </si>
  <si>
    <t>anrodriguez@montrose-env.com</t>
  </si>
  <si>
    <t>andrearodriguez@montrose-env.com</t>
  </si>
  <si>
    <t>Rodriguez Rangel</t>
  </si>
  <si>
    <t>15A41D7965BCDBFA0A495FB8@038d2aa263c9deeb495fea.e</t>
  </si>
  <si>
    <t>brpiontek@montrose-env.com</t>
  </si>
  <si>
    <t>Piontek</t>
  </si>
  <si>
    <t>35AB1D9965BD92860A495FD7@038d2aa263c9deeb495fea.e</t>
  </si>
  <si>
    <t>brlillis@montrose-env.com</t>
  </si>
  <si>
    <t>Bridget</t>
  </si>
  <si>
    <t>Lillis</t>
  </si>
  <si>
    <t>352C1DA265BD92D40A495F9C@038d2aa263c9deeb495fea.e</t>
  </si>
  <si>
    <t>delilly@montrose-env.com</t>
  </si>
  <si>
    <t>Debra</t>
  </si>
  <si>
    <t>Lilly</t>
  </si>
  <si>
    <t>37DA1D9465BD93860A495E66@038d2aa263c9deeb495fea.e</t>
  </si>
  <si>
    <t>HollyFrantz@montrose-env.com</t>
  </si>
  <si>
    <t>Frantz</t>
  </si>
  <si>
    <t>743F1D9B65C0FE8E0A495CD1@038d2aa263c9deeb495fea.e</t>
  </si>
  <si>
    <t>dvecellio@montrose-env.com</t>
  </si>
  <si>
    <t>Vecellio</t>
  </si>
  <si>
    <t>76A81D8265C109FC0A495E07@038d2aa263c9deeb495fea.e</t>
  </si>
  <si>
    <t>BiBradshaw@montrose-env.com</t>
  </si>
  <si>
    <t>bibradshaw@montrose-env.com</t>
  </si>
  <si>
    <t>Bradshaw</t>
  </si>
  <si>
    <t>76401D7C65C10A020A495CA4@038d2aa263c9deeb495fea.e</t>
  </si>
  <si>
    <t>CAN - Consulting &amp; Engineering - Env Sciences and Planning - Air Permit &amp; Comp - Operations</t>
  </si>
  <si>
    <t>RandalDreyer@montrose-env.com</t>
  </si>
  <si>
    <t>randaldreyer@montrose-env.com</t>
  </si>
  <si>
    <t>Randal</t>
  </si>
  <si>
    <t>Dreyer</t>
  </si>
  <si>
    <t>7E281D8265C154FE0A495FDB@038d2aa263c9deeb495fea.e</t>
  </si>
  <si>
    <t>oalmada@montrose-env.com</t>
  </si>
  <si>
    <t>Olivia</t>
  </si>
  <si>
    <t>Almada</t>
  </si>
  <si>
    <t>96811D9665C25A250A495C25@038d2aa263c9deeb495fea.e</t>
  </si>
  <si>
    <t>bforslund@montrose-env.com</t>
  </si>
  <si>
    <t>Barb</t>
  </si>
  <si>
    <t>Forslund</t>
  </si>
  <si>
    <t>978B1DA265C25AC80A495C42@038d2aa263c9deeb495fea.e</t>
  </si>
  <si>
    <t>rfrizzell@montrose-env.com</t>
  </si>
  <si>
    <t>Frizzell</t>
  </si>
  <si>
    <t>9F131D8565C285480A495C1B@038d2aa263c9deeb495fea.e</t>
  </si>
  <si>
    <t>anleffel@montrose-env.com</t>
  </si>
  <si>
    <t>Leffel</t>
  </si>
  <si>
    <t>9D831D8565C285E90A495FDF@038d2aa263c9deeb495fea.e</t>
  </si>
  <si>
    <t>shdouglas@montrose-env.com</t>
  </si>
  <si>
    <t>Shane</t>
  </si>
  <si>
    <t>9E981D6C65C286CB0A495FDE@038d2aa263c9deeb495fea.e</t>
  </si>
  <si>
    <t>jacarey@montrose-env.com</t>
  </si>
  <si>
    <t>Carey</t>
  </si>
  <si>
    <t>C20C1DA565C3C0810A495E1B@038d2aa263c9deeb495fea.e</t>
  </si>
  <si>
    <t>aheitmann@montrose-env.com</t>
  </si>
  <si>
    <t>Heitmann</t>
  </si>
  <si>
    <t>CE791DA765C42A2A0A495C45@038d2aa263c9deeb495fea.e</t>
  </si>
  <si>
    <t>greeve@montrose-env.com</t>
  </si>
  <si>
    <t>Gina</t>
  </si>
  <si>
    <t>Reeve</t>
  </si>
  <si>
    <t>01D91DA265C6259B0A495C42@038d2aa263c9deeb495fea.e</t>
  </si>
  <si>
    <t>tsweat@montrose-env.com</t>
  </si>
  <si>
    <t>Tommy</t>
  </si>
  <si>
    <t>Sweat</t>
  </si>
  <si>
    <t>07111D9A65C6421B0A495CC2@038d2aa263c9deeb495fea.e</t>
  </si>
  <si>
    <t>gubastien@montrose-env.com</t>
  </si>
  <si>
    <t>Guy</t>
  </si>
  <si>
    <t>Bastien</t>
  </si>
  <si>
    <t>0E351D7965C69AE60A495EAD@038d2aa263c9deeb495fea.e</t>
  </si>
  <si>
    <t>CAN - Stack - Point Edward - Operations</t>
  </si>
  <si>
    <t>roblair@montrose-env.com</t>
  </si>
  <si>
    <t>robynjohnson@montrose-env.com</t>
  </si>
  <si>
    <t>Robyn</t>
  </si>
  <si>
    <t>10831D7565C69AE60A495C0D@038d2aa263c9deeb495fea.e</t>
  </si>
  <si>
    <t>pabaker@montrose-env.com</t>
  </si>
  <si>
    <t>Baker</t>
  </si>
  <si>
    <t>0FF31D7D65C69AE70A495EA0@038d2aa263c9deeb495fea.e</t>
  </si>
  <si>
    <t>daagar@montrose-env.com</t>
  </si>
  <si>
    <t>Agar</t>
  </si>
  <si>
    <t>104A1D8065C69AE70A495E65@038d2aa263c9deeb495fea.e</t>
  </si>
  <si>
    <t>tobycrossland@montrose-env.com</t>
  </si>
  <si>
    <t>Toby</t>
  </si>
  <si>
    <t>Crossland</t>
  </si>
  <si>
    <t>10251D7A65C69AE70A495C65@038d2aa263c9deeb495fea.e</t>
  </si>
  <si>
    <t>kcarson@montrose-env.com</t>
  </si>
  <si>
    <t>Carson</t>
  </si>
  <si>
    <t>0C461DA765C69AE70A495CDE@038d2aa263c9deeb495fea.e</t>
  </si>
  <si>
    <t>midenomme@montrose-env.com</t>
  </si>
  <si>
    <t>Denomme</t>
  </si>
  <si>
    <t>0DE21D7B65C69AE80A495FD2@038d2aa263c9deeb495fea.e</t>
  </si>
  <si>
    <t>CAN - Stack - Edmonton - Operations</t>
  </si>
  <si>
    <t>rheecedeveyra@montrose-env.com</t>
  </si>
  <si>
    <t>Rheece</t>
  </si>
  <si>
    <t>de Veyra</t>
  </si>
  <si>
    <t>0EC21DA265C69AE90A495C42@038d2aa263c9deeb495fea.e</t>
  </si>
  <si>
    <t>joedwards@montrose-env.com</t>
  </si>
  <si>
    <t>Joy</t>
  </si>
  <si>
    <t>Edwards</t>
  </si>
  <si>
    <t>1A5164C665C69AE90A495FC6@038d2aa263c9deeb495fea.e</t>
  </si>
  <si>
    <t>coelsing@montrose-env.com</t>
  </si>
  <si>
    <t>Connie</t>
  </si>
  <si>
    <t>Elsing</t>
  </si>
  <si>
    <t>110F1D9F65C69AE90A495E0B@038d2aa263c9deeb495fea.e</t>
  </si>
  <si>
    <t>mafreer@montrose-env.com</t>
  </si>
  <si>
    <t>Marnie</t>
  </si>
  <si>
    <t>Freer</t>
  </si>
  <si>
    <t>1A7A70E865C69AE90A495FD7@038d2aa263c9deeb495fea.e</t>
  </si>
  <si>
    <t>mihendrikx@montrose-env.com</t>
  </si>
  <si>
    <t>Hendrikx</t>
  </si>
  <si>
    <t>132F1DA165C69AEA0A495C47@038d2aa263c9deeb495fea.e</t>
  </si>
  <si>
    <t>ryhutchings@montrose-env.com</t>
  </si>
  <si>
    <t>Hutchings</t>
  </si>
  <si>
    <t>12031D9B65C69AEA0A495CD1@038d2aa263c9deeb495fea.e</t>
  </si>
  <si>
    <t>kahumphreys@montrose-env.com</t>
  </si>
  <si>
    <t>Humphreys</t>
  </si>
  <si>
    <t>0CD11D7B65C69AEA0A495C30@038d2aa263c9deeb495fea.e</t>
  </si>
  <si>
    <t>rajones@montrose-env.com</t>
  </si>
  <si>
    <t>Rachel</t>
  </si>
  <si>
    <t>0CFE1D7465C69AEA0A495E9F@038d2aa263c9deeb495fea.e</t>
  </si>
  <si>
    <t>gouledkalombi@montrose-env.com</t>
  </si>
  <si>
    <t>Gouled</t>
  </si>
  <si>
    <t>Kalombi</t>
  </si>
  <si>
    <t>0CC81DC565C69AEB0A495E1D@038d2aa263c9deeb495fea.e</t>
  </si>
  <si>
    <t>kmkrauter@montrose-env.com</t>
  </si>
  <si>
    <t>Krauter</t>
  </si>
  <si>
    <t>0E681D9B65C69AEB0A495CC3@038d2aa263c9deeb495fea.e</t>
  </si>
  <si>
    <t>evmetcalfe@montrose-env.com</t>
  </si>
  <si>
    <t>Evan</t>
  </si>
  <si>
    <t>Metcalfe</t>
  </si>
  <si>
    <t>12041D9B65C69AEC0A495CD1@038d2aa263c9deeb495fea.e</t>
  </si>
  <si>
    <t>camcdonnell@montrose-env.com</t>
  </si>
  <si>
    <t>Calvin</t>
  </si>
  <si>
    <t>McDonnell</t>
  </si>
  <si>
    <t>0BDD1D9665C69AEC0A495FFB@038d2aa263c9deeb495fea.e</t>
  </si>
  <si>
    <t>samahesh@montrose-env.com</t>
  </si>
  <si>
    <t>Sahana</t>
  </si>
  <si>
    <t>Mahesh</t>
  </si>
  <si>
    <t>0EC31DA265C69AEC0A495C42@038d2aa263c9deeb495fea.e</t>
  </si>
  <si>
    <t>pemcinnis@montrose-env.com</t>
  </si>
  <si>
    <t>Penny</t>
  </si>
  <si>
    <t>McInnis</t>
  </si>
  <si>
    <t>110D1D9D65C69AEC0A495F8C@038d2aa263c9deeb495fea.e</t>
  </si>
  <si>
    <t>tymclachlin@montrose-env.com</t>
  </si>
  <si>
    <t>Tye</t>
  </si>
  <si>
    <t>McLachlin</t>
  </si>
  <si>
    <t>0F491DAF65C69AED0A495ED2@038d2aa263c9deeb495fea.e</t>
  </si>
  <si>
    <t>kaoatway@montrose-env.com</t>
  </si>
  <si>
    <t>Oatway</t>
  </si>
  <si>
    <t>110E1D9D65C69AED0A495F8C@038d2aa263c9deeb495fea.e</t>
  </si>
  <si>
    <t>mimurray@montrose-env.com</t>
  </si>
  <si>
    <t>Murray</t>
  </si>
  <si>
    <t>10931D8565C69AEE0A495C1B@038d2aa263c9deeb495fea.e</t>
  </si>
  <si>
    <t>pepakalnis@montrose-env.com</t>
  </si>
  <si>
    <t>Pakalnis</t>
  </si>
  <si>
    <t>11311DA065C69AEE0A495FBC@038d2aa263c9deeb495fea.e</t>
  </si>
  <si>
    <t>roregier@montrose-env.com</t>
  </si>
  <si>
    <t>Ron</t>
  </si>
  <si>
    <t>Regier</t>
  </si>
  <si>
    <t>11A11D8565C69AEE0A495FDF@038d2aa263c9deeb495fea.e</t>
  </si>
  <si>
    <t>artandalam@montrose-env.com</t>
  </si>
  <si>
    <t>Arjun</t>
  </si>
  <si>
    <t>Tandalam</t>
  </si>
  <si>
    <t>0E691D9B65C69AEF0A495CC3@038d2aa263c9deeb495fea.e</t>
  </si>
  <si>
    <t>chungar@montrose-env.com</t>
  </si>
  <si>
    <t>Ungar</t>
  </si>
  <si>
    <t>15821D7F65C69AEF0A495FE4@038d2aa263c9deeb495fea.e</t>
  </si>
  <si>
    <t>micole@montrose-env.com</t>
  </si>
  <si>
    <t>Cole</t>
  </si>
  <si>
    <t>12B81D7F65C69AEF0A495E7B@038d2aa263c9deeb495fea.e</t>
  </si>
  <si>
    <t>alcormier@montrose-env.com</t>
  </si>
  <si>
    <t>Cormier</t>
  </si>
  <si>
    <t>10231D7C65C69AEF0A495EE5@038d2aa263c9deeb495fea.e</t>
  </si>
  <si>
    <t>brgamroth@montrose-env.com</t>
  </si>
  <si>
    <t>Brady</t>
  </si>
  <si>
    <t>Gamroth</t>
  </si>
  <si>
    <t>146E1D7B65C69AF00A495C39@038d2aa263c9deeb495fea.e</t>
  </si>
  <si>
    <t>rogaultois@montrose-env.com</t>
  </si>
  <si>
    <t>Gaultois</t>
  </si>
  <si>
    <t>0D221D9665C69AF00A495C25@038d2aa263c9deeb495fea.e</t>
  </si>
  <si>
    <t>echomeniek@montrose-env.com</t>
  </si>
  <si>
    <t>Homeniek</t>
  </si>
  <si>
    <t>110B1DA665C69AF10A495E2B@038d2aa263c9deeb495fea.e</t>
  </si>
  <si>
    <t>gemckenzie@montrose-env.com</t>
  </si>
  <si>
    <t>Gareth</t>
  </si>
  <si>
    <t>McKenzie</t>
  </si>
  <si>
    <t>11A21D8565C69AF10A495FDF@038d2aa263c9deeb495fea.e</t>
  </si>
  <si>
    <t>BrettNess@montrose-env.com</t>
  </si>
  <si>
    <t>Ness</t>
  </si>
  <si>
    <t>0FEE1D7665C69AF10A495F91@038d2aa263c9deeb495fea.e</t>
  </si>
  <si>
    <t>DanyloOstapchenko@montrose-env.com</t>
  </si>
  <si>
    <t>Danylo</t>
  </si>
  <si>
    <t>Ostapchenko</t>
  </si>
  <si>
    <t>11F61D7465C69AF10A495F86@038d2aa263c9deeb495fea.e</t>
  </si>
  <si>
    <t>KevinBerling@montrose-env.com</t>
  </si>
  <si>
    <t>Berling</t>
  </si>
  <si>
    <t>0F491D7D65C6A49F0A495C2F@038d2aa263c9deeb495fea.e</t>
  </si>
  <si>
    <t>mark.ellis@enthalpy.com</t>
  </si>
  <si>
    <t>Ellis</t>
  </si>
  <si>
    <t>13D82EE665C8F52C0A495CE8@038d2aa263c9deeb495fea.e</t>
  </si>
  <si>
    <t>jagarrett@montrose-env.com</t>
  </si>
  <si>
    <t>Garrett</t>
  </si>
  <si>
    <t>1657049565C91B0E0A495E78@038d2aa263c9deeb495fea.e</t>
  </si>
  <si>
    <t>dbethea@montrose-env.com</t>
  </si>
  <si>
    <t>Debbie</t>
  </si>
  <si>
    <t>Bethea</t>
  </si>
  <si>
    <t>2AAF455165CA33BB0A495CE0@038d2aa263c9deeb495fea.e</t>
  </si>
  <si>
    <t>jdperkins@montrose-env.com</t>
  </si>
  <si>
    <t>Deke</t>
  </si>
  <si>
    <t>Perkins</t>
  </si>
  <si>
    <t>2F71460E65CA517A0A495E0B@038d2aa263c9deeb495fea.e</t>
  </si>
  <si>
    <t>dafreitas@montrose-env.com</t>
  </si>
  <si>
    <t>Freitas</t>
  </si>
  <si>
    <t>2E8A69A465CA550C0A495E5C@038d2aa263c9deeb495fea.e</t>
  </si>
  <si>
    <t>JulieOxtoby@montrose-env.com</t>
  </si>
  <si>
    <t>Julie</t>
  </si>
  <si>
    <t>Oxtoby</t>
  </si>
  <si>
    <t>30F97AB265CA6DF70A495EE5@038d2aa263c9deeb495fea.e</t>
  </si>
  <si>
    <t>jberry@ect2.com</t>
  </si>
  <si>
    <t>JBerry@ect2.com</t>
  </si>
  <si>
    <t>Berry</t>
  </si>
  <si>
    <t>3710647865CAA8330A495E1D@038d2aa263c9deeb495fea.e</t>
  </si>
  <si>
    <t>saprins@montrose-env.com</t>
  </si>
  <si>
    <t>Samantha</t>
  </si>
  <si>
    <t>Prins</t>
  </si>
  <si>
    <t>4D7A2EBF65CB8ECC0A495E9F@038d2aa263c9deeb495fea.e</t>
  </si>
  <si>
    <t>brblalock@ect2.com</t>
  </si>
  <si>
    <t>Brandon</t>
  </si>
  <si>
    <t>Blalock</t>
  </si>
  <si>
    <t>521E120C65CBA3A70A495E0C@038d2aa263c9deeb495fea.e</t>
  </si>
  <si>
    <t>irvinvivanco@montrose-env.com</t>
  </si>
  <si>
    <t>Irvin</t>
  </si>
  <si>
    <t>Vivanco</t>
  </si>
  <si>
    <t>50E72EBF65CBA8CA0A495E9F@038d2aa263c9deeb495fea.e</t>
  </si>
  <si>
    <t>Alyssa.Glauser@enthalpy.com</t>
  </si>
  <si>
    <t>Glauser</t>
  </si>
  <si>
    <t>68F3343865CCBF390A495FBF@038d2aa263c9deeb495fea.e</t>
  </si>
  <si>
    <t>pahalbert@montrose-env.com</t>
  </si>
  <si>
    <t>Halbert</t>
  </si>
  <si>
    <t>784F2FA965CD2D900A495FD0@038d2aa263c9deeb495fea.e</t>
  </si>
  <si>
    <t>dmartorana@montrose-env.com</t>
  </si>
  <si>
    <t>Dean</t>
  </si>
  <si>
    <t>Martorana</t>
  </si>
  <si>
    <t>78DF436E65CD2E0C0A495E65@038d2aa263c9deeb495fea.e</t>
  </si>
  <si>
    <t>rishireyadmin@montrose-env.com</t>
  </si>
  <si>
    <t>Rich</t>
  </si>
  <si>
    <t>Shirey</t>
  </si>
  <si>
    <t>75FC343865CD2E8D0A495FBF@038d2aa263c9deeb495fea.e</t>
  </si>
  <si>
    <t>hdpatti@montrose-env.com</t>
  </si>
  <si>
    <t>Patti</t>
  </si>
  <si>
    <t>7775283D65CD34E20A495EAD@038d2aa263c9deeb495fea.e</t>
  </si>
  <si>
    <t>mahershberger@montrose-env.com</t>
  </si>
  <si>
    <t>Hershberger</t>
  </si>
  <si>
    <t>22C41E2F65CE45BB0A495F8A@038d2aa263c9deeb495fea.e</t>
  </si>
  <si>
    <t>IngridDanielaGaleano@enthalpy.com</t>
  </si>
  <si>
    <t>Ingrid</t>
  </si>
  <si>
    <t>Galeano</t>
  </si>
  <si>
    <t>298F1E3665CE81460A495C14@038d2aa263c9deeb495fea.e</t>
  </si>
  <si>
    <t>USA - Env Lab - El Dorado Hills - Operations</t>
  </si>
  <si>
    <t>sarah.roberts@enthalpy.com</t>
  </si>
  <si>
    <t>42861E3665CF8A550A495C14@038d2aa263c9deeb495fea.e</t>
  </si>
  <si>
    <t>jopierce@montrose-env.com</t>
  </si>
  <si>
    <t>Pierce</t>
  </si>
  <si>
    <t>47E41E2D65CFA9DE0A495E4A@038d2aa263c9deeb495fea.e</t>
  </si>
  <si>
    <t>mapple@montrose-env.com</t>
  </si>
  <si>
    <t>Apple</t>
  </si>
  <si>
    <t>8E251E4F65D39B7A0A495FEE@038d2aa263c9deeb495fea.e</t>
  </si>
  <si>
    <t>jacarroll@montrose-env.com</t>
  </si>
  <si>
    <t>Jazlynne</t>
  </si>
  <si>
    <t>Carroll</t>
  </si>
  <si>
    <t>8E9C1E4065D3B38C0A495C46@038d2aa263c9deeb495fea.e</t>
  </si>
  <si>
    <t>ezalasar@montrose-env.com</t>
  </si>
  <si>
    <t>Elda</t>
  </si>
  <si>
    <t>Zalasar</t>
  </si>
  <si>
    <t>93891E2465D3F75A0A495F84@c67c263163d83b8d0a495c06</t>
  </si>
  <si>
    <t>USA - Corp - Global Business Services</t>
  </si>
  <si>
    <t>HarryBoxler@montrose-env.com</t>
  </si>
  <si>
    <t>Harry</t>
  </si>
  <si>
    <t>Boxler</t>
  </si>
  <si>
    <t>ADB11E3065D4D9820A495FD5@038d2aa263c9deeb495fea.e</t>
  </si>
  <si>
    <t>juaraiza@montrose-env.com</t>
  </si>
  <si>
    <t>Juan</t>
  </si>
  <si>
    <t>Araiza</t>
  </si>
  <si>
    <t>B26E1EA265D4DE250A495CA5@038d2aa263c9deeb495fea.e</t>
  </si>
  <si>
    <t>nafsari@montrose-env.com</t>
  </si>
  <si>
    <t>Nasym</t>
  </si>
  <si>
    <t>Afsari</t>
  </si>
  <si>
    <t>B6D61E3665D5345E0A495C97@038d2aa263c9deeb495fea.e</t>
  </si>
  <si>
    <t>kedaggett@montrose-env.com</t>
  </si>
  <si>
    <t>Daggett</t>
  </si>
  <si>
    <t>FB051E3065D77EC10A495E51@038d2aa263c9deeb495fea.e</t>
  </si>
  <si>
    <t>anjaroslawski@montrose-env.com</t>
  </si>
  <si>
    <t>Jaroslawski</t>
  </si>
  <si>
    <t>FC021E5465D7901D0A495F8D@038d2aa263c9deeb495fea.e</t>
  </si>
  <si>
    <t>lucinda.kyser@enthalpy.com</t>
  </si>
  <si>
    <t>Cindy</t>
  </si>
  <si>
    <t>Kyser</t>
  </si>
  <si>
    <t>FCD21E3965D798EA0A495E4F@038d2aa263c9deeb495fea.e</t>
  </si>
  <si>
    <t>mandy.mishra@enthalpy.com</t>
  </si>
  <si>
    <t>Mandy</t>
  </si>
  <si>
    <t>Mishra</t>
  </si>
  <si>
    <t>02871E2E65D7B8890A495E32@038d2aa263c9deeb495fea.e</t>
  </si>
  <si>
    <t>USA - Env Lab - Richmond - G&amp;A</t>
  </si>
  <si>
    <t>eshirley@montrose-env.com</t>
  </si>
  <si>
    <t>Ernie</t>
  </si>
  <si>
    <t>Shirley</t>
  </si>
  <si>
    <t>74591E4D65DCD4A20A495E57@038d2aa263c9deeb495fea.e</t>
  </si>
  <si>
    <t>chkurnath@montrose-env.com</t>
  </si>
  <si>
    <t>christina.kurnath@enthalpy.com</t>
  </si>
  <si>
    <t>Christina</t>
  </si>
  <si>
    <t>Kurnath</t>
  </si>
  <si>
    <t>76821E4D65DCD53B0A495FFC@038d2aa263c9deeb495fea.e</t>
  </si>
  <si>
    <t>kamorrison@montrose-env.com</t>
  </si>
  <si>
    <t>9CC21EA265DE13D00A495CA5@038d2aa263c9deeb495fea.e</t>
  </si>
  <si>
    <t>kirill.kondratenko@enthalpy.com</t>
  </si>
  <si>
    <t>Kirill</t>
  </si>
  <si>
    <t>Kond</t>
  </si>
  <si>
    <t>A0581E2F65DE2B990A495F8A@038d2aa263c9deeb495fea.e</t>
  </si>
  <si>
    <t>diane.galvan@enthalpy.com</t>
  </si>
  <si>
    <t>Galvan</t>
  </si>
  <si>
    <t>99551E4765DE2C620A495E5D@038d2aa263c9deeb495fea.e</t>
  </si>
  <si>
    <t>rocio.gutierrez@enthalpy.com</t>
  </si>
  <si>
    <t>Rocio</t>
  </si>
  <si>
    <t>Gutierrez</t>
  </si>
  <si>
    <t>C2921E2565DF4C700A495E8E@038d2aa263c9deeb495fea.e</t>
  </si>
  <si>
    <t>jonathan.acosta@enthalpy.com</t>
  </si>
  <si>
    <t>Acosta</t>
  </si>
  <si>
    <t>C6D11E2965DF7A160A495E3D@038d2aa263c9deeb495fea.e</t>
  </si>
  <si>
    <t>BrandonSaeler@montrose-env.com</t>
  </si>
  <si>
    <t>Saeler</t>
  </si>
  <si>
    <t>C7A41E2A65DF8B9C0A495F9F@038d2aa263c9deeb495fea.e</t>
  </si>
  <si>
    <t>jmccormack@montrose-env.com</t>
  </si>
  <si>
    <t>McCormack</t>
  </si>
  <si>
    <t>E4A01E2665E087D70A495EA3@038d2aa263c9deeb495fea.e</t>
  </si>
  <si>
    <t>biancavanaagten@montrose-env.com</t>
  </si>
  <si>
    <t>Bianca</t>
  </si>
  <si>
    <t>Vanaagten</t>
  </si>
  <si>
    <t>UD</t>
  </si>
  <si>
    <t>EDA91E2B65E0BC570A495FBB@038d2aa263c9deeb495fea.e</t>
  </si>
  <si>
    <t>ChristineBrennanCampbell@montrose-env.com</t>
  </si>
  <si>
    <t>cbcampbell@montrose-env.com</t>
  </si>
  <si>
    <t>Christine</t>
  </si>
  <si>
    <t>Brennan-Campbell</t>
  </si>
  <si>
    <t>14821E2D65E22DFA0A495FE3@038d2aa263c9deeb495fea.e</t>
  </si>
  <si>
    <t>Default Acrobat Pro configuration,Default All Apps plan configuration</t>
  </si>
  <si>
    <t>Acrobat Pro (VIPMP - 99C0A3088A102BD9CB4A),All Apps plan (VIPMP - 99C0A3088A102BD9CB4A)</t>
  </si>
  <si>
    <t>JoseHernandez@montrose-env.com</t>
  </si>
  <si>
    <t>Hernandez</t>
  </si>
  <si>
    <t>164E1E2C65E22E380A495C0C@038d2aa263c9deeb495fea.e</t>
  </si>
  <si>
    <t>oliver.cawdell@enthalpy.com</t>
  </si>
  <si>
    <t>Oliver</t>
  </si>
  <si>
    <t>Cawdell</t>
  </si>
  <si>
    <t>12AC1E2E65E239210A495C6F@038d2aa263c9deeb495fea.e</t>
  </si>
  <si>
    <t>juanica.thomas@enthalpy.com</t>
  </si>
  <si>
    <t>Juanica</t>
  </si>
  <si>
    <t>17431E2F65E239210A495FD9@038d2aa263c9deeb495fea.e</t>
  </si>
  <si>
    <t>megan.keeter@enthalpy.com</t>
  </si>
  <si>
    <t>Keeter</t>
  </si>
  <si>
    <t>178A1E2965E239210A495FC0@038d2aa263c9deeb495fea.e</t>
  </si>
  <si>
    <t>jennifer.bowker@enthalpy.com</t>
  </si>
  <si>
    <t>Bowker</t>
  </si>
  <si>
    <t>10671E5565E239220A495CA0@038d2aa263c9deeb495fea.e</t>
  </si>
  <si>
    <t>nicole.west@enthalpy.com</t>
  </si>
  <si>
    <t>West</t>
  </si>
  <si>
    <t>12DF1F4165E239220A495FC1@038d2aa263c9deeb495fea.e</t>
  </si>
  <si>
    <t>lboivin@montrose-env.com</t>
  </si>
  <si>
    <t>16C11E3665E239240A495C97@038d2aa263c9deeb495fea.e</t>
  </si>
  <si>
    <t>karodrigue-varnado@enthalpy.com</t>
  </si>
  <si>
    <t>Rodrigue Varnado</t>
  </si>
  <si>
    <t>15BB1E2365E239240A495E25@038d2aa263c9deeb495fea.e</t>
  </si>
  <si>
    <t>whwilliamson@montrose-env.com</t>
  </si>
  <si>
    <t>Whitney</t>
  </si>
  <si>
    <t>Williamson</t>
  </si>
  <si>
    <t>1A7F1E2D65E239250A495E4A@038d2aa263c9deeb495fea.e</t>
  </si>
  <si>
    <t>cmgay@montrose-env.com</t>
  </si>
  <si>
    <t>Christine.Gay@enthalpy.com</t>
  </si>
  <si>
    <t>mgay</t>
  </si>
  <si>
    <t>Millner Gay</t>
  </si>
  <si>
    <t>1BDF1E2665E239250A495CFE@038d2aa263c9deeb495fea.e</t>
  </si>
  <si>
    <t>nrdiaz@montrose-env.com</t>
  </si>
  <si>
    <t>MONTROSE-ENV.com</t>
  </si>
  <si>
    <t>NRDIAZ@MONTROSE-ENV.com</t>
  </si>
  <si>
    <t>Nathaniel</t>
  </si>
  <si>
    <t>Diaz</t>
  </si>
  <si>
    <t>16C81E2265E239270A495C06@038d2aa263c9deeb495fea.e</t>
  </si>
  <si>
    <t>USA - LDAR - Texas - Operations</t>
  </si>
  <si>
    <t>laura.graber@enthalpy.com</t>
  </si>
  <si>
    <t>Graber</t>
  </si>
  <si>
    <t>154B1E4865E239290A495F94@038d2aa263c9deeb495fea.e</t>
  </si>
  <si>
    <t>myegan.griffin@enthalpy.com</t>
  </si>
  <si>
    <t>Myegan</t>
  </si>
  <si>
    <t>Griffin</t>
  </si>
  <si>
    <t>15591E2A65E239290A495FA3@038d2aa263c9deeb495fea.e</t>
  </si>
  <si>
    <t>ashlyn.everhart@enthalpy.com</t>
  </si>
  <si>
    <t>Ashlyn</t>
  </si>
  <si>
    <t>Everhart</t>
  </si>
  <si>
    <t>15F41E2965E2392A0A495E3D@038d2aa263c9deeb495fea.e</t>
  </si>
  <si>
    <t>britton.smith@enthalpy.com</t>
  </si>
  <si>
    <t>Britton</t>
  </si>
  <si>
    <t>18E31E2A65E2392A0A495C11@038d2aa263c9deeb495fea.e</t>
  </si>
  <si>
    <t>brielle.mefferd@enthalpy.com</t>
  </si>
  <si>
    <t>Brielle</t>
  </si>
  <si>
    <t>Mefferd</t>
  </si>
  <si>
    <t>12E71E3365E2392A0A495C13@038d2aa263c9deeb495fea.e</t>
  </si>
  <si>
    <t>gary.keene@enthalpy.com</t>
  </si>
  <si>
    <t>Keene</t>
  </si>
  <si>
    <t>166B1E2D65E2392B0A495FE3@038d2aa263c9deeb495fea.e</t>
  </si>
  <si>
    <t>cleo.grigsby@enthalpy.com</t>
  </si>
  <si>
    <t>Cleo</t>
  </si>
  <si>
    <t>Grigsby</t>
  </si>
  <si>
    <t>1BE01E2665E2392B0A495CFE@038d2aa263c9deeb495fea.e</t>
  </si>
  <si>
    <t>hayden.grubbs@enthalpy.com</t>
  </si>
  <si>
    <t>Hayden</t>
  </si>
  <si>
    <t>Grubbs</t>
  </si>
  <si>
    <t>14491E2665E2392B0A495E73@038d2aa263c9deeb495fea.e</t>
  </si>
  <si>
    <t>jenny.payton@enthalpy.com</t>
  </si>
  <si>
    <t>Jenny</t>
  </si>
  <si>
    <t>Payton</t>
  </si>
  <si>
    <t>15D61E2965E2392B0A495C35@038d2aa263c9deeb495fea.e</t>
  </si>
  <si>
    <t>madeleinecourtney@enthalpy.com</t>
  </si>
  <si>
    <t>Madeline</t>
  </si>
  <si>
    <t>Courtney</t>
  </si>
  <si>
    <t>1A971EA265E2392C0A495CA5@038d2aa263c9deeb495fea.e</t>
  </si>
  <si>
    <t>mark.vazquez@enthalpy.com</t>
  </si>
  <si>
    <t>14641E3065E2392C0A495E24@038d2aa263c9deeb495fea.e</t>
  </si>
  <si>
    <t>tyler.clay@enthalpy.com</t>
  </si>
  <si>
    <t>Tyler</t>
  </si>
  <si>
    <t>Clay</t>
  </si>
  <si>
    <t>13EF1E4A65E2392D0A495C63@038d2aa263c9deeb495fea.e</t>
  </si>
  <si>
    <t>tyler.haw@enthalpy.com</t>
  </si>
  <si>
    <t>Haw</t>
  </si>
  <si>
    <t>18A71E2F65E2392D0A495FED@038d2aa263c9deeb495fea.e</t>
  </si>
  <si>
    <t>lindsay.veit@enthalpy.com</t>
  </si>
  <si>
    <t>Lindsay</t>
  </si>
  <si>
    <t>Veit</t>
  </si>
  <si>
    <t>14FA1F1365E2392D0A495EDA@038d2aa263c9deeb495fea.e</t>
  </si>
  <si>
    <t>seeta.arundhati@enthalpy.com</t>
  </si>
  <si>
    <t>Seeta</t>
  </si>
  <si>
    <t>Arundhati</t>
  </si>
  <si>
    <t>17161E2565E2392E0A495E8E@038d2aa263c9deeb495fea.e</t>
  </si>
  <si>
    <t>erika.anderson@montrose-env.com</t>
  </si>
  <si>
    <t>Anderson</t>
  </si>
  <si>
    <t>155C1E4D65E2392F0A495FFC@038d2aa263c9deeb495fea.e</t>
  </si>
  <si>
    <t>mihinton@enthalpy.com</t>
  </si>
  <si>
    <t>Hinton</t>
  </si>
  <si>
    <t>0E721E2C65E2392F0A495FCA@038d2aa263c9deeb495fea.e</t>
  </si>
  <si>
    <t>kkern@montrose-env.com</t>
  </si>
  <si>
    <t>Kristopher</t>
  </si>
  <si>
    <t>Kern</t>
  </si>
  <si>
    <t>65591E3265E645980A495EBE@038d2aa263c9deeb495fea.e</t>
  </si>
  <si>
    <t>kruggiero@montrose-env.com</t>
  </si>
  <si>
    <t>Ruggiero</t>
  </si>
  <si>
    <t>841B1E4F65E738950A495FEE@038d2aa263c9deeb495fea.e</t>
  </si>
  <si>
    <t>USA - Sensible EDP - Pinebrook - Operations</t>
  </si>
  <si>
    <t>wault@montrose-env.com</t>
  </si>
  <si>
    <t>Ault</t>
  </si>
  <si>
    <t>840B1E3065E738C80A495E24@038d2aa263c9deeb495fea.e</t>
  </si>
  <si>
    <t>ekvella@montrose-env.com</t>
  </si>
  <si>
    <t>8DEF1EA565E776DE0A495FA5@038d2aa263c9deeb495fea.e</t>
  </si>
  <si>
    <t>acfranzman@montrose-env.com</t>
  </si>
  <si>
    <t>Franzman</t>
  </si>
  <si>
    <t>8E241E3065E790A20A495E24@038d2aa263c9deeb495fea.e</t>
  </si>
  <si>
    <t>patricia.caines@enthalpy.com</t>
  </si>
  <si>
    <t>Caines</t>
  </si>
  <si>
    <t>8F461E3365E7ABFC0A495C13@038d2aa263c9deeb495fea.e</t>
  </si>
  <si>
    <t>kerenninger@montrose-env.com</t>
  </si>
  <si>
    <t>Renninger</t>
  </si>
  <si>
    <t>ADBC1E7765E88DAA0A495EED@038d2aa263c9deeb495fea.e</t>
  </si>
  <si>
    <t>ketomeo@montrose-env.com</t>
  </si>
  <si>
    <t>Kellie</t>
  </si>
  <si>
    <t>Tomeo</t>
  </si>
  <si>
    <t>B5A21E2665E8F81A0A495EA3@038d2aa263c9deeb495fea.e</t>
  </si>
  <si>
    <t>tboth@montrose-env.com</t>
  </si>
  <si>
    <t>Travis</t>
  </si>
  <si>
    <t>Both</t>
  </si>
  <si>
    <t>1A9C1D5D65E9C46C0A495F97@038d2aa263c9deeb495fea.e</t>
  </si>
  <si>
    <t>kmthrasher@montrose-env.com</t>
  </si>
  <si>
    <t>Thrasher</t>
  </si>
  <si>
    <t>173B1D8C65E9CA660A495CCB@038d2aa263c9deeb495fea.e</t>
  </si>
  <si>
    <t>rubaker@montrose-env.com</t>
  </si>
  <si>
    <t>Ruth</t>
  </si>
  <si>
    <t>25F51D8165EA13330A495E35@038d2aa263c9deeb495fea.e</t>
  </si>
  <si>
    <t>priyakumar@montrose-env.com</t>
  </si>
  <si>
    <t>Priya</t>
  </si>
  <si>
    <t>Kumar</t>
  </si>
  <si>
    <t>44D51D8E65EB626B0A495CAB@038d2aa263c9deeb495fea.e</t>
  </si>
  <si>
    <t>grahamheal@montrose-env.com</t>
  </si>
  <si>
    <t>Heal</t>
  </si>
  <si>
    <t>86AC1D8465EF0F1B0A495E49@038d2aa263c9deeb495fea.e</t>
  </si>
  <si>
    <t>dominicbucci@montrose-env.com</t>
  </si>
  <si>
    <t>Dominic</t>
  </si>
  <si>
    <t>Bucci</t>
  </si>
  <si>
    <t>88111D5D65EF0F600A495F97@038d2aa263c9deeb495fea.e</t>
  </si>
  <si>
    <t>AnjilaManandhar@montrose-env.com</t>
  </si>
  <si>
    <t>anjilamanandhar@montrose-env.com</t>
  </si>
  <si>
    <t>Anjila</t>
  </si>
  <si>
    <t>Manandhar</t>
  </si>
  <si>
    <t>8B6D1D6965EF25C40A495EFD@038d2aa263c9deeb495fea.e</t>
  </si>
  <si>
    <t>GavynMocreia@montrose-env.com</t>
  </si>
  <si>
    <t>gavynmocreia@montrose-env.com</t>
  </si>
  <si>
    <t>Gavyn</t>
  </si>
  <si>
    <t>Mocreia</t>
  </si>
  <si>
    <t>91214D0165EF31D20A495FD3@038d2aa263c9deeb495fea.e</t>
  </si>
  <si>
    <t>jegranstra@montrose-env.com</t>
  </si>
  <si>
    <t>Jenna</t>
  </si>
  <si>
    <t>Granstra</t>
  </si>
  <si>
    <t>98D21D7265EF6E8C0A495F95@038d2aa263c9deeb495fea.e</t>
  </si>
  <si>
    <t>joelashurdho@enthalpy.com</t>
  </si>
  <si>
    <t>Joela</t>
  </si>
  <si>
    <t>Shurdho</t>
  </si>
  <si>
    <t>DD5F1D9365F1DF1C0A495CE9@038d2aa263c9deeb495fea.e</t>
  </si>
  <si>
    <t>ext-gpbruck@montrose-env.com</t>
  </si>
  <si>
    <t>G. Paulina</t>
  </si>
  <si>
    <t>Bruck</t>
  </si>
  <si>
    <t>D8A31D6065F1DFA60A495F90@038d2aa263c9deeb495fea.e</t>
  </si>
  <si>
    <t>croh@montrose-env.com</t>
  </si>
  <si>
    <t>Christy</t>
  </si>
  <si>
    <t>Roh</t>
  </si>
  <si>
    <t>E6821DB265F21D3B0A495E8B@038d2aa263c9deeb495fea.e</t>
  </si>
  <si>
    <t>jemayberry@montrose-env.com</t>
  </si>
  <si>
    <t>Mayberry</t>
  </si>
  <si>
    <t>FCF21D8165F30E5E0A495E62@038d2aa263c9deeb495fea.e</t>
  </si>
  <si>
    <t>miwizikowski@montrose-env.com</t>
  </si>
  <si>
    <t>Wizikowski</t>
  </si>
  <si>
    <t>05431D9365F333830A495FFA@038d2aa263c9deeb495fea.e</t>
  </si>
  <si>
    <t>nalvis@montrose-env.com</t>
  </si>
  <si>
    <t>Alvis</t>
  </si>
  <si>
    <t>20BB1D8A65F4431F0A495C0E@038d2aa263c9deeb495fea.e</t>
  </si>
  <si>
    <t>lsnyder@montrose-env.com</t>
  </si>
  <si>
    <t>Laurie</t>
  </si>
  <si>
    <t>Snyder</t>
  </si>
  <si>
    <t>2E661D6065F47E0B0A495FD0@038d2aa263c9deeb495fea.e</t>
  </si>
  <si>
    <t>jheffernan@montrose-env.com</t>
  </si>
  <si>
    <t>Heffernan</t>
  </si>
  <si>
    <t>31561DA765F4B39B0A495FC2@038d2aa263c9deeb495fea.e</t>
  </si>
  <si>
    <t>ChristinaStavrou@montrose-env.com</t>
  </si>
  <si>
    <t>Stavrou</t>
  </si>
  <si>
    <t>69AD1D6165F826B70A495C51@038d2aa263c9deeb495fea.e</t>
  </si>
  <si>
    <t>USA - Sensible EDP - OH - Sales</t>
  </si>
  <si>
    <t>rajprasad@montrose-env.com</t>
  </si>
  <si>
    <t>Raj</t>
  </si>
  <si>
    <t>Prasad</t>
  </si>
  <si>
    <t>73781D8D65F86BB80A495C40@038d2aa263c9deeb495fea.e</t>
  </si>
  <si>
    <t>adam.phillips@enthalpy.com</t>
  </si>
  <si>
    <t>Phillips</t>
  </si>
  <si>
    <t>77CF1D8165F893420A495E62@038d2aa263c9deeb495fea.e</t>
  </si>
  <si>
    <t>jp.verheul@enthalpy.com</t>
  </si>
  <si>
    <t>JP</t>
  </si>
  <si>
    <t>Verheul</t>
  </si>
  <si>
    <t>7CB31D7165F8A0AF0A495FF9@038d2aa263c9deeb495fea.e</t>
  </si>
  <si>
    <t>christian.iglesias@enthalpy.com</t>
  </si>
  <si>
    <t>Iglesias</t>
  </si>
  <si>
    <t>A3601DB265F9E2290A495E8B@038d2aa263c9deeb495fea.e</t>
  </si>
  <si>
    <t>rshoyer@montrose-env.com</t>
  </si>
  <si>
    <t>Rick</t>
  </si>
  <si>
    <t>Shoyer</t>
  </si>
  <si>
    <t>C01D1D8B65FB414C0A495EB7@038d2aa263c9deeb495fea.e</t>
  </si>
  <si>
    <t>Zach.Barker@enthalpy.com</t>
  </si>
  <si>
    <t>Zach</t>
  </si>
  <si>
    <t>Barker</t>
  </si>
  <si>
    <t>C7DD1D7265FB45970A495F95@038d2aa263c9deeb495fea.e</t>
  </si>
  <si>
    <t>NathalieGill-Podgorski@montrose-env.com</t>
  </si>
  <si>
    <t>Nathalie</t>
  </si>
  <si>
    <t>Gill-Podgorski</t>
  </si>
  <si>
    <t>00BF1E9065FCA6020A495C83@038d2aa263c9deeb495fea.e</t>
  </si>
  <si>
    <t>NavannaRamkissoon@montrose-env.com</t>
  </si>
  <si>
    <t>navannaramkissoon@montrose-env.com</t>
  </si>
  <si>
    <t>Navanna</t>
  </si>
  <si>
    <t>Ramkissoon</t>
  </si>
  <si>
    <t>63462523660195090A495CBA@038d2aa263c9deeb495fea.e</t>
  </si>
  <si>
    <t>kelley.fitzgerald@enthalpy.com</t>
  </si>
  <si>
    <t>66C669B76601A8490A495FC2@038d2aa263c9deeb495fea.e</t>
  </si>
  <si>
    <t>ext-R.Raymond@montrose-env.com</t>
  </si>
  <si>
    <t>Rasheedah</t>
  </si>
  <si>
    <t>6D360CF26601EB250A495C9F@038d2aa263c9deeb495fea.e</t>
  </si>
  <si>
    <t>katie.payne@enthalpy.com</t>
  </si>
  <si>
    <t>Payne</t>
  </si>
  <si>
    <t>916B5D1866031B970A495C17@038d2aa263c9deeb495fea.e</t>
  </si>
  <si>
    <t>JoyNorton@montrose-env.com</t>
  </si>
  <si>
    <t>Norton</t>
  </si>
  <si>
    <t>915D09E4660332880A495ED3@038d2aa263c9deeb495fea.e</t>
  </si>
  <si>
    <t>ValerieButterhof@montrose-env.com</t>
  </si>
  <si>
    <t>Valerie</t>
  </si>
  <si>
    <t>Butterhof</t>
  </si>
  <si>
    <t>AE535AFF660440910A495C0A@038d2aa263c9deeb495fea.e</t>
  </si>
  <si>
    <t>SamanthaTravis@enthalpy.com</t>
  </si>
  <si>
    <t>34E60952660AC2050A495FCF@038d2aa263c9deeb495fea.e</t>
  </si>
  <si>
    <t>traviskegel@montrose-env.com</t>
  </si>
  <si>
    <t>Kegel</t>
  </si>
  <si>
    <t>35017DD7660AC4020A495E6B@038d2aa263c9deeb495fea.e</t>
  </si>
  <si>
    <t>robertfletcher@montrose-env.com</t>
  </si>
  <si>
    <t>Fletcher</t>
  </si>
  <si>
    <t>34297FCA660AC57B0A495FF4@038d2aa263c9deeb495fea.e</t>
  </si>
  <si>
    <t>travistolliver@montrose-env.com</t>
  </si>
  <si>
    <t>Tolliver</t>
  </si>
  <si>
    <t>35BF118D660AC64F0A495CCF@038d2aa263c9deeb495fea.e</t>
  </si>
  <si>
    <t>zachwilson@montrose-env.com</t>
  </si>
  <si>
    <t>34202DAF660AC6BC0A495E5B@038d2aa263c9deeb495fea.e</t>
  </si>
  <si>
    <t>kristinclemence@montrose-env.com</t>
  </si>
  <si>
    <t>Kristin</t>
  </si>
  <si>
    <t>Clemence</t>
  </si>
  <si>
    <t>5ABC423D660C18A50A495FB9@038d2aa263c9deeb495fea.e</t>
  </si>
  <si>
    <t>peter.arth@enthalpy.com</t>
  </si>
  <si>
    <t>Arth</t>
  </si>
  <si>
    <t>5F3A3462660C34450A495FDC@038d2aa263c9deeb495fea.e</t>
  </si>
  <si>
    <t>NoahBellhorn@montrose-env.com</t>
  </si>
  <si>
    <t>Bellhorn</t>
  </si>
  <si>
    <t>5E227634660C3B070A495E62@038d2aa263c9deeb495fea.e</t>
  </si>
  <si>
    <t>USA - Stack - OH - Marketing</t>
  </si>
  <si>
    <t>BrittanyVanVelkinburgh@montrose-env.com</t>
  </si>
  <si>
    <t>Brittany</t>
  </si>
  <si>
    <t>VanVelkinburgh</t>
  </si>
  <si>
    <t>5FBE3415660C3BAD0A495ECC@038d2aa263c9deeb495fea.e</t>
  </si>
  <si>
    <t>RoderickLide@montrose-env.com</t>
  </si>
  <si>
    <t>Roderick</t>
  </si>
  <si>
    <t>Lide</t>
  </si>
  <si>
    <t>6402167F660C7AC00A495FB2@038d2aa263c9deeb495fea.e</t>
  </si>
  <si>
    <t>itregistration@montrose-env.com</t>
  </si>
  <si>
    <t>IT</t>
  </si>
  <si>
    <t>Registration</t>
  </si>
  <si>
    <t>66E6423D660C88320A495FB9@038d2aa263c9deeb495fea.e</t>
  </si>
  <si>
    <t>jescholl@montrose-env.com</t>
  </si>
  <si>
    <t>Scholl</t>
  </si>
  <si>
    <t>62A0045D660C88320A495C40@038d2aa263c9deeb495fea.e</t>
  </si>
  <si>
    <t>cytaylor@montrose-env.com</t>
  </si>
  <si>
    <t>Cynthia</t>
  </si>
  <si>
    <t>66F8423D660C89530A495FB9@038d2aa263c9deeb495fea.e</t>
  </si>
  <si>
    <t>cufland@montrose-env.com</t>
  </si>
  <si>
    <t>Ufland</t>
  </si>
  <si>
    <t>668D46FE660C897A0A495E88@038d2aa263c9deeb495fea.e</t>
  </si>
  <si>
    <t>lienesudduth@montrose-env.com</t>
  </si>
  <si>
    <t>Liene</t>
  </si>
  <si>
    <t>Sudduth</t>
  </si>
  <si>
    <t>82724632660D7CE70A495C18@038d2aa263c9deeb495fea.e</t>
  </si>
  <si>
    <t>jusalazar@montrose-env.com</t>
  </si>
  <si>
    <t>Julio</t>
  </si>
  <si>
    <t>Salazar</t>
  </si>
  <si>
    <t>84B46DAB660D83670A495E7A@038d2aa263c9deeb495fea.e</t>
  </si>
  <si>
    <t>davelazquez@montrose-env.com</t>
  </si>
  <si>
    <t>Velazquez</t>
  </si>
  <si>
    <t>861C56CA660D83680A495FE9@038d2aa263c9deeb495fea.e</t>
  </si>
  <si>
    <t>janesteven@montrose-env.com</t>
  </si>
  <si>
    <t>21511E74660EDEE30A495FE3@038d2aa263c9deeb495fea.e</t>
  </si>
  <si>
    <t>keroncin@montrose-env.com</t>
  </si>
  <si>
    <t>Roncin</t>
  </si>
  <si>
    <t>3BC01E56661015280A495EF7@038d2aa263c9deeb495fea.e</t>
  </si>
  <si>
    <t>USA - LDAR - OH - Safety</t>
  </si>
  <si>
    <t>GailSee@montrose-env.com</t>
  </si>
  <si>
    <t>Gail</t>
  </si>
  <si>
    <t>See</t>
  </si>
  <si>
    <t>49291E656613FF750A495FE5@038d2aa263c9deeb495fea.e</t>
  </si>
  <si>
    <t>Default Acrobat Pro configuration,Default Photoshop configuration,Default Illustrator configuration</t>
  </si>
  <si>
    <t>Acrobat Pro (VIPMP - 99C0A3088A102BD9CB4A),Photoshop (VIPMP - 99C0A3088A102BD9CB4A),Illustrator (VIPMP - 99C0A3088A102BD9CB4A)</t>
  </si>
  <si>
    <t>JennieParrish@enthalpy.com</t>
  </si>
  <si>
    <t>Jennie</t>
  </si>
  <si>
    <t>Parrish</t>
  </si>
  <si>
    <t>4D831E5A661410A40A495C0B@038d2aa263c9deeb495fea.e</t>
  </si>
  <si>
    <t>KateNguyen@montrose-env.com</t>
  </si>
  <si>
    <t>Nguyen</t>
  </si>
  <si>
    <t>4DBF1E5D6614191A0A495FC3@038d2aa263c9deeb495fea.e</t>
  </si>
  <si>
    <t>lindanguyen@montrose-env.com</t>
  </si>
  <si>
    <t>50021E54661434780A495C29@038d2aa263c9deeb495fea.e</t>
  </si>
  <si>
    <t>jeevans@montrose-env.com</t>
  </si>
  <si>
    <t>Evans</t>
  </si>
  <si>
    <t>50D31E5B661435CE0A495FDB@038d2aa263c9deeb495fea.e</t>
  </si>
  <si>
    <t>OrlaGreene@ect2.com</t>
  </si>
  <si>
    <t>orlagreene@ect2.com</t>
  </si>
  <si>
    <t>Orla</t>
  </si>
  <si>
    <t>58681E82661480F50A495FA0@038d2aa263c9deeb495fea.e</t>
  </si>
  <si>
    <t>AUS - ECT2 - Operations</t>
  </si>
  <si>
    <t>shbragg@montrose-env.com</t>
  </si>
  <si>
    <t>Bragg</t>
  </si>
  <si>
    <t>6B381E46661541520A495FFE@038d2aa263c9deeb495fea.e</t>
  </si>
  <si>
    <t>dfitzgerald@montrose-env.com</t>
  </si>
  <si>
    <t>1DD91E8266196E950A495C84@038d2aa263c9deeb495fea.e</t>
  </si>
  <si>
    <t>TariqBaseer@montrose-env.com</t>
  </si>
  <si>
    <t>tariqbaseer@montrose-env.com</t>
  </si>
  <si>
    <t>Tariq</t>
  </si>
  <si>
    <t>Baseer</t>
  </si>
  <si>
    <t>6D2C1E84661D3F420A495FAE@038d2aa263c9deeb495fea.e</t>
  </si>
  <si>
    <t>DallasFitzgibbon@montrose-env.com</t>
  </si>
  <si>
    <t>Dallas</t>
  </si>
  <si>
    <t>Fitzgibbon</t>
  </si>
  <si>
    <t>712F1E4A661D5EEE0A495ED9@038d2aa263c9deeb495fea.e</t>
  </si>
  <si>
    <t>RandaHorton@montrose-env.com</t>
  </si>
  <si>
    <t>randahorton@montrose-env.com</t>
  </si>
  <si>
    <t>Randa</t>
  </si>
  <si>
    <t>Horton</t>
  </si>
  <si>
    <t>9D371E95661EE8660A495FF0@038d2aa263c9deeb495fea.e</t>
  </si>
  <si>
    <t>brnicholson@montrose-env.com</t>
  </si>
  <si>
    <t>Bruce</t>
  </si>
  <si>
    <t>Nicholson</t>
  </si>
  <si>
    <t>BE7A1E52662006E70A495F9F@038d2aa263c9deeb495fea.e</t>
  </si>
  <si>
    <t>hlrichardson@montrose-env.com</t>
  </si>
  <si>
    <t>Homer</t>
  </si>
  <si>
    <t>Richardson</t>
  </si>
  <si>
    <t>DD8A1E4A66212EA50A495F95@038d2aa263c9deeb495fea.e</t>
  </si>
  <si>
    <t>ashley.thomas@enthalpy.com</t>
  </si>
  <si>
    <t>19EE1D7F662297F90A495F97@038d2aa263c9deeb495fea.e</t>
  </si>
  <si>
    <t>BrianWilson@montrose-env.com</t>
  </si>
  <si>
    <t>64691D836626813A0A495FB3@038d2aa263c9deeb495fea.e</t>
  </si>
  <si>
    <t>travisknight@montrose-env.com</t>
  </si>
  <si>
    <t>Knight</t>
  </si>
  <si>
    <t>63E31D7B662693240A495E92@038d2aa263c9deeb495fea.e</t>
  </si>
  <si>
    <t>USA - Environmental Consulting - Long Beach - Operations</t>
  </si>
  <si>
    <t>MichaelUng@montrose-env.com</t>
  </si>
  <si>
    <t>Ung</t>
  </si>
  <si>
    <t>859E1D7A6627D3850A495EF1@038d2aa263c9deeb495fea.e</t>
  </si>
  <si>
    <t>USA - LDAR - OH - Finance</t>
  </si>
  <si>
    <t>FaithRagan@montrose-env.com</t>
  </si>
  <si>
    <t>faithragan@montrose-env.com</t>
  </si>
  <si>
    <t>Faith</t>
  </si>
  <si>
    <t>Ragan</t>
  </si>
  <si>
    <t>8D9A1DAB66282D590A495F9E@038d2aa263c9deeb495fea.e</t>
  </si>
  <si>
    <t>ryanposka@montrose-env.com</t>
  </si>
  <si>
    <t>Poska</t>
  </si>
  <si>
    <t>90271D7F6628500C0A495ED6@038d2aa263c9deeb495fea.e</t>
  </si>
  <si>
    <t>JerryMcDonald@montrose-env.com</t>
  </si>
  <si>
    <t>jerrymcdonald@montrose-env.com</t>
  </si>
  <si>
    <t>Jerry</t>
  </si>
  <si>
    <t>McDonald</t>
  </si>
  <si>
    <t>AF4B1D9C66294A5C0A495EBA@038d2aa263c9deeb495fea.e</t>
  </si>
  <si>
    <t>fapichardo@montrose-env.com</t>
  </si>
  <si>
    <t>Fabiola</t>
  </si>
  <si>
    <t>Pichardo</t>
  </si>
  <si>
    <t>C5481D81662A46FF0A495F89@038d2aa263c9deeb495fea.e</t>
  </si>
  <si>
    <t>USA - Environmental Consulting OH - HR</t>
  </si>
  <si>
    <t>PeterHilty@montrose-env.com</t>
  </si>
  <si>
    <t>Hilty</t>
  </si>
  <si>
    <t>C9711DAB662A78A80A495F9E@038d2aa263c9deeb495fea.e</t>
  </si>
  <si>
    <t>auadams@montrose-env.com</t>
  </si>
  <si>
    <t>Autumn</t>
  </si>
  <si>
    <t>C8A61DA4662A7B530A495C18@038d2aa263c9deeb495fea.e</t>
  </si>
  <si>
    <t>pbauder@montrose-env.com</t>
  </si>
  <si>
    <t>Preston Bauder</t>
  </si>
  <si>
    <t>CB6D1D80662A861F0A495ECC@038d2aa263c9deeb495fea.e</t>
  </si>
  <si>
    <t>mwallace@montrose-env.com</t>
  </si>
  <si>
    <t>Wallace</t>
  </si>
  <si>
    <t>CE8A1DA6662A8FEF0A495F8B@038d2aa263c9deeb495fea.e</t>
  </si>
  <si>
    <t>cshah@montrose-env.com</t>
  </si>
  <si>
    <t>Charmi</t>
  </si>
  <si>
    <t>Shah</t>
  </si>
  <si>
    <t>3DCD1D7C662FD0FE0A495CDE@038d2aa263c9deeb495fea.e</t>
  </si>
  <si>
    <t>JobyDunmire@montrose-env.com</t>
  </si>
  <si>
    <t>Joby</t>
  </si>
  <si>
    <t>Dunmire</t>
  </si>
  <si>
    <t>63DD1D7A663119E50A495FB7@038d2aa263c9deeb495fea.e</t>
  </si>
  <si>
    <t>USA - Stack - Great Plains - G&amp;A</t>
  </si>
  <si>
    <t>KhalidaHuseynov@montrose-env.com</t>
  </si>
  <si>
    <t>Khalida</t>
  </si>
  <si>
    <t>Huseynov</t>
  </si>
  <si>
    <t>6A4C1D9B663149630A495ED7@038d2aa263c9deeb495fea.e</t>
  </si>
  <si>
    <t>CAN - Consulting &amp; Engineering OH - HR</t>
  </si>
  <si>
    <t>BansriPatel@enthalpy.com</t>
  </si>
  <si>
    <t>Bansri</t>
  </si>
  <si>
    <t>Patel</t>
  </si>
  <si>
    <t>9C2D1D756632930F0A495C9D@038d2aa263c9deeb495fea.e</t>
  </si>
  <si>
    <t>Carrie.Skok@enthalpy.com</t>
  </si>
  <si>
    <t>carrie.skok@enthalpy.com</t>
  </si>
  <si>
    <t>Carrie</t>
  </si>
  <si>
    <t>Skok</t>
  </si>
  <si>
    <t>9FC61DA66632B6A90A495F8B@038d2aa263c9deeb495fea.e</t>
  </si>
  <si>
    <t>Default Acrobat Pro configuration,Default Photoshop configuration,Default Premiere Pro configuration</t>
  </si>
  <si>
    <t>Acrobat Pro (VIPMP - 99C0A3088A102BD9CB4A),Photoshop (VIPMP - 99C0A3088A102BD9CB4A),Premiere Pro (VIPMP - 99C0A3088A102BD9CB4A)</t>
  </si>
  <si>
    <t>jlemaire@montrose-env.com</t>
  </si>
  <si>
    <t>Josh</t>
  </si>
  <si>
    <t>LeMaire</t>
  </si>
  <si>
    <t>250C1D7C6633C2B10A495C23@038d2aa263c9deeb495fea.e</t>
  </si>
  <si>
    <t>MarekDrogowski@montrose-env.com</t>
  </si>
  <si>
    <t>Marek</t>
  </si>
  <si>
    <t>Drogowski</t>
  </si>
  <si>
    <t>468F1DA56634F9650A495ECA@038d2aa263c9deeb495fea.e</t>
  </si>
  <si>
    <t>USA - Stack - OH - Safety</t>
  </si>
  <si>
    <t>emma.cain@enthalpy.com</t>
  </si>
  <si>
    <t>Cain</t>
  </si>
  <si>
    <t>24457207663A4E950A495EFB@038d2aa263c9deeb495fea.e</t>
  </si>
  <si>
    <t>gpsmoot@montrose-env.com</t>
  </si>
  <si>
    <t>Gregory</t>
  </si>
  <si>
    <t>Smoot</t>
  </si>
  <si>
    <t>468A71D8663B90560A495E65@038d2aa263c9deeb495fea.e</t>
  </si>
  <si>
    <t>ext-RichardHuntwork@montrose-env.com</t>
  </si>
  <si>
    <t>ext-richardhuntwork@montrose-env.com</t>
  </si>
  <si>
    <t>Richard Hugh Connor</t>
  </si>
  <si>
    <t>Huntwork</t>
  </si>
  <si>
    <t>52C851F3663BDE070A495EDE@038d2aa263c9deeb495fea.e</t>
  </si>
  <si>
    <t>WandaBodnar@montrose-env.com</t>
  </si>
  <si>
    <t>Wanda</t>
  </si>
  <si>
    <t>Bodnar</t>
  </si>
  <si>
    <t>80A16A52663CEBC80A495E0C@038d2aa263c9deeb495fea.e</t>
  </si>
  <si>
    <t>EricStone@montrose-env.com</t>
  </si>
  <si>
    <t>ericstone@montrose-env.com</t>
  </si>
  <si>
    <t>Stone</t>
  </si>
  <si>
    <t>723D57C8663D11C80A495F98@038d2aa263c9deeb495fea.e</t>
  </si>
  <si>
    <t>kasey.skrivseth@enthalpy.com</t>
  </si>
  <si>
    <t>Kasey</t>
  </si>
  <si>
    <t>Skrivseth</t>
  </si>
  <si>
    <t>93A6575D663E29E00A495E8D@038d2aa263c9deeb495fea.e</t>
  </si>
  <si>
    <t>USA - Env Lab - San Diego - Operations</t>
  </si>
  <si>
    <t>ChadRusso@montrose-env.com</t>
  </si>
  <si>
    <t>Chad</t>
  </si>
  <si>
    <t>Russo</t>
  </si>
  <si>
    <t>943D3245663E38490A495E51@038d2aa263c9deeb495fea.e</t>
  </si>
  <si>
    <t>panewman@ect2.com</t>
  </si>
  <si>
    <t>Newman</t>
  </si>
  <si>
    <t>9AC12DD8663E6F510A495FF8@038d2aa263c9deeb495fea.e</t>
  </si>
  <si>
    <t>AshleyElder@montrose-env.com</t>
  </si>
  <si>
    <t>ashleyelder@montrose-env.com</t>
  </si>
  <si>
    <t>Elder</t>
  </si>
  <si>
    <t>E3607207664267420A495EFB@038d2aa263c9deeb495fea.e</t>
  </si>
  <si>
    <t>ElizabethFuchs@montrose-env.com</t>
  </si>
  <si>
    <t>Elizabeth</t>
  </si>
  <si>
    <t>Fuchs</t>
  </si>
  <si>
    <t>15292CB9664372AB0A495C23@038d2aa263c9deeb495fea.e</t>
  </si>
  <si>
    <t>bnewman@ect2.com</t>
  </si>
  <si>
    <t>33E606326644E9D40A495EA9@038d2aa263c9deeb495fea.e</t>
  </si>
  <si>
    <t>LanceCarlosLopez@montrose-env.com</t>
  </si>
  <si>
    <t>Lance</t>
  </si>
  <si>
    <t>Carlos Lopez</t>
  </si>
  <si>
    <t>133A1FA9664744E70A495E98@038d2aa263c9deeb495fea.e</t>
  </si>
  <si>
    <t>ext-MindyRice@montrose-env.com</t>
  </si>
  <si>
    <t>Mindy</t>
  </si>
  <si>
    <t>Rice</t>
  </si>
  <si>
    <t>183B1E3D66476F090A495CCE@038d2aa263c9deeb495fea.e</t>
  </si>
  <si>
    <t>JacksonDaly@montrose-env.com</t>
  </si>
  <si>
    <t>Daly</t>
  </si>
  <si>
    <t>5C071E45664B3ECE0A495EB8@038d2aa263c9deeb495fea.e</t>
  </si>
  <si>
    <t>ivy.somocurcio@enthalpy.com</t>
  </si>
  <si>
    <t>Ivy</t>
  </si>
  <si>
    <t>Somocurcio</t>
  </si>
  <si>
    <t>658B1E70664B8EF00A495FF0@038d2aa263c9deeb495fea.e</t>
  </si>
  <si>
    <t>DavidSmith1@montrose-env.com</t>
  </si>
  <si>
    <t>8ACE1E41664CBD650A495FB3@038d2aa263c9deeb495fea.e</t>
  </si>
  <si>
    <t>KamilleEugenio@montrose-env.com</t>
  </si>
  <si>
    <t>Kamille</t>
  </si>
  <si>
    <t>Eugenio</t>
  </si>
  <si>
    <t>8C1D1E41664CC6100A495FB3@038d2aa263c9deeb495fea.e</t>
  </si>
  <si>
    <t>JosephLucas@montrose-env.com</t>
  </si>
  <si>
    <t>88351E3D664CC7CD0A495E89@038d2aa263c9deeb495fea.e</t>
  </si>
  <si>
    <t>WandaBodnar@enthalpy.com</t>
  </si>
  <si>
    <t>8D5B1E6B664CDDEF0A495CFE@038d2aa263c9deeb495fea.e</t>
  </si>
  <si>
    <t>KellyMoore@montrose-env.com</t>
  </si>
  <si>
    <t>922C1E3B664D09EC0A495C2C@038d2aa263c9deeb495fea.e</t>
  </si>
  <si>
    <t>kenkwong@montrose-env.com</t>
  </si>
  <si>
    <t>Ken</t>
  </si>
  <si>
    <t>Kwong</t>
  </si>
  <si>
    <t>91D11E3B664D1A030A495C6F@038d2aa263c9deeb495fea.e</t>
  </si>
  <si>
    <t>AshleyPehan@montrose-env.com</t>
  </si>
  <si>
    <t>Pehan</t>
  </si>
  <si>
    <t>A7BC1E49664DD9860A495F8D@038d2aa263c9deeb495fea.e</t>
  </si>
  <si>
    <t>jeperez@montrose-env.com</t>
  </si>
  <si>
    <t>Perez</t>
  </si>
  <si>
    <t>AE771E66664E17A40A495EB1@038d2aa263c9deeb495fea.e</t>
  </si>
  <si>
    <t>noahalbers@montrose-env.com</t>
  </si>
  <si>
    <t>Albers</t>
  </si>
  <si>
    <t>B0011E41664E19E60A495FFA@038d2aa263c9deeb495fea.e</t>
  </si>
  <si>
    <t>jolyall@montrose-env.com</t>
  </si>
  <si>
    <t>Joshua</t>
  </si>
  <si>
    <t>Lyall</t>
  </si>
  <si>
    <t>B3A41E4F664E3DE00A495C24@038d2aa263c9deeb495fea.e</t>
  </si>
  <si>
    <t>BENJAMINSEIFERT@montrose-env.com</t>
  </si>
  <si>
    <t>Seifert</t>
  </si>
  <si>
    <t>D4CA1E43664F5ED00A495EDD@038d2aa263c9deeb495fea.e</t>
  </si>
  <si>
    <t>sophiakollias@montrose-env.com</t>
  </si>
  <si>
    <t>Sophia</t>
  </si>
  <si>
    <t>Kollias</t>
  </si>
  <si>
    <t>E1B41E68664FD5AD0A495C34@038d2aa263c9deeb495fea.e</t>
  </si>
  <si>
    <t>KaylaTheilig@montrose-env.com</t>
  </si>
  <si>
    <t>kaylatheilig@montrose-env.com</t>
  </si>
  <si>
    <t>Kayla</t>
  </si>
  <si>
    <t>Theilig</t>
  </si>
  <si>
    <t>02261FE26650D2820A495FC7@038d2aa263c9deeb495fea.e</t>
  </si>
  <si>
    <t>USA - Advisory Services – Two Dot – Operations</t>
  </si>
  <si>
    <t>kylegriffith@montrose-env.com</t>
  </si>
  <si>
    <t>Griffith</t>
  </si>
  <si>
    <t>8B151E3B665776FB0A495CFA@038d2aa263c9deeb495fea.e</t>
  </si>
  <si>
    <t>toddspivey@montrose-env.com</t>
  </si>
  <si>
    <t>Spivey</t>
  </si>
  <si>
    <t>91291E6A6657AFF00A495ECD@038d2aa263c9deeb495fea.e</t>
  </si>
  <si>
    <t>USA - Advisory Services - Two Dot - G&amp;A</t>
  </si>
  <si>
    <t>ZellaNeal@ect2.com</t>
  </si>
  <si>
    <t>Zellaneal@ect2.com</t>
  </si>
  <si>
    <t>Zella</t>
  </si>
  <si>
    <t>DBF11E44665A15750A495FDF@038d2aa263c9deeb495fea.e</t>
  </si>
  <si>
    <t>JulianneKnight@montrose-env.com</t>
  </si>
  <si>
    <t>Julianne</t>
  </si>
  <si>
    <t>46073E7B665B52D60A495F97@038d2aa263c9deeb495fea.e</t>
  </si>
  <si>
    <t>ext-alanloud@montrose-env.com</t>
  </si>
  <si>
    <t>Alan</t>
  </si>
  <si>
    <t>Loud</t>
  </si>
  <si>
    <t>646A1E6A665F2B980A495ECD@038d2aa263c9deeb495fea.e</t>
  </si>
  <si>
    <t>emconner@montrose-env.com</t>
  </si>
  <si>
    <t>Conner</t>
  </si>
  <si>
    <t>63E71E3E665F40590A495E6D@038d2aa263c9deeb495fea.e</t>
  </si>
  <si>
    <t>MarkKeyes@montrose-env.com</t>
  </si>
  <si>
    <t>markkeyes@montrose-env.com</t>
  </si>
  <si>
    <t>Keyes</t>
  </si>
  <si>
    <t>6C7D1E4F665F52970A495C24@038d2aa263c9deeb495fea.e</t>
  </si>
  <si>
    <t>caburns@montrose-env.com</t>
  </si>
  <si>
    <t>Burns</t>
  </si>
  <si>
    <t>7A6F1E49665F9EE80A495EE5@038d2aa263c9deeb495fea.e</t>
  </si>
  <si>
    <t>NicholeWollesen@montrose-env.com</t>
  </si>
  <si>
    <t>Nichole</t>
  </si>
  <si>
    <t>Wollesen</t>
  </si>
  <si>
    <t>900D1FB4666072FC0A495E5C@038d2aa263c9deeb495fea.e</t>
  </si>
  <si>
    <t>MatthewD'Anna@montrose-env.com</t>
  </si>
  <si>
    <t>D'Anna</t>
  </si>
  <si>
    <t>97511E4E666094440A495EA1@038d2aa263c9deeb495fea.e</t>
  </si>
  <si>
    <t>KyleJohnson@montrose-env.com</t>
  </si>
  <si>
    <t>97E91E6A6660AA2F0A495ECD@038d2aa263c9deeb495fea.e</t>
  </si>
  <si>
    <t>measter@montrose-env.com</t>
  </si>
  <si>
    <t>Easter</t>
  </si>
  <si>
    <t>9C9B1F326660C1C20A495FED@038d2aa263c9deeb495fea.e</t>
  </si>
  <si>
    <t>scwerner@montrose-env.com</t>
  </si>
  <si>
    <t>Werner</t>
  </si>
  <si>
    <t>B6351E466661A1EE0A495FB6@038d2aa263c9deeb495fea.e</t>
  </si>
  <si>
    <t>cekrepps@montrose-env.com</t>
  </si>
  <si>
    <t>Krepps</t>
  </si>
  <si>
    <t>BF821E426661E2320A495E67@038d2aa263c9deeb495fea.e</t>
  </si>
  <si>
    <t>SusanBaden@montrose-env.com</t>
  </si>
  <si>
    <t>Baden</t>
  </si>
  <si>
    <t>193F1D54666323320A495FBD@038d2aa263c9deeb495fea.e</t>
  </si>
  <si>
    <t>USA - Advisory Services - Two Dot - Operations</t>
  </si>
  <si>
    <t>KeenanWinger@montrose-env.com</t>
  </si>
  <si>
    <t>keenanwinger@montrose-env.com</t>
  </si>
  <si>
    <t>Winger</t>
  </si>
  <si>
    <t>1CCE1D8F66632AF10A495FE9@038d2aa263c9deeb495fea.e</t>
  </si>
  <si>
    <t>RichardHagberg@montrose-env.com</t>
  </si>
  <si>
    <t>richardhagberg@montrose-env.com</t>
  </si>
  <si>
    <t>Hagberg</t>
  </si>
  <si>
    <t>6C1A1DBF666704000A495C06@038d2aa263c9deeb495fea.e</t>
  </si>
  <si>
    <t>OliviaRosario@montrose-env.com</t>
  </si>
  <si>
    <t>oliviarosario@montrose-env.com</t>
  </si>
  <si>
    <t>Rosario</t>
  </si>
  <si>
    <t>717E1D76666720DC0A495FBF@038d2aa263c9deeb495fea.e</t>
  </si>
  <si>
    <t>BrittnyAguiar@montrose-env.com</t>
  </si>
  <si>
    <t>Brittny</t>
  </si>
  <si>
    <t>Aguiar</t>
  </si>
  <si>
    <t>70CE1D56666729200A495FD9@038d2aa263c9deeb495fea.e</t>
  </si>
  <si>
    <t>WarrenJohnson@montrose-env.com</t>
  </si>
  <si>
    <t>Warren</t>
  </si>
  <si>
    <t>7A101D4D66675CE30A495EBC@038d2aa263c9deeb495fea.e</t>
  </si>
  <si>
    <t>danielrosie@montrose-env.com</t>
  </si>
  <si>
    <t>DanielRosie@montrose-env.com</t>
  </si>
  <si>
    <t>Rosie</t>
  </si>
  <si>
    <t>93961D52666837250A495FA7@038d2aa263c9deeb495fea.e</t>
  </si>
  <si>
    <t>MariaSpadaro@montrose-env.com</t>
  </si>
  <si>
    <t>Maria</t>
  </si>
  <si>
    <t>Spadaro</t>
  </si>
  <si>
    <t>A5991D4F6668AD8A0A495FC9@038d2aa263c9deeb495fea.e</t>
  </si>
  <si>
    <t>LeilaniSilen@montrose-env.com</t>
  </si>
  <si>
    <t>Leilani</t>
  </si>
  <si>
    <t>Silen</t>
  </si>
  <si>
    <t>27001D58666C74020A495E9E@038d2aa263c9deeb495fea.e</t>
  </si>
  <si>
    <t>SabrinaSoria@montrose-env.com</t>
  </si>
  <si>
    <t>Sabrina</t>
  </si>
  <si>
    <t>Soria</t>
  </si>
  <si>
    <t>299B1D49666CA1B10A495F8A@038d2aa263c9deeb495fea.e</t>
  </si>
  <si>
    <t>LianaDavis@enthalpy.com</t>
  </si>
  <si>
    <t>lianadavis@enthalpy.com</t>
  </si>
  <si>
    <t>30E61D52666CA30C0A495CA8@038d2aa263c9deeb495fea.e</t>
  </si>
  <si>
    <t>sasoria@montrose-env.com</t>
  </si>
  <si>
    <t>28361D6A666CAC5E0A495CA7@038d2aa263c9deeb495fea.e</t>
  </si>
  <si>
    <t>rebeccagilbert@montrose-env.com</t>
  </si>
  <si>
    <t>Gilbert</t>
  </si>
  <si>
    <t>2F691D7C666CCE980A495E4D@038d2aa263c9deeb495fea.e</t>
  </si>
  <si>
    <t>mvanderslice@montrose-env.com</t>
  </si>
  <si>
    <t>Vanderslice</t>
  </si>
  <si>
    <t>7BD51D52667048F70A495EBD@038d2aa263c9deeb495fea.e</t>
  </si>
  <si>
    <t>USA - Environmental Consulting - Wilmington DE - Sales &amp; Marketing</t>
  </si>
  <si>
    <t>SeanKittle@montrose-env.com</t>
  </si>
  <si>
    <t>Kittle</t>
  </si>
  <si>
    <t>BF701D526671A4370A495CA8@038d2aa263c9deeb495fea.e</t>
  </si>
  <si>
    <t>johnkusowski@montrose-env.com</t>
  </si>
  <si>
    <t>Kusowski</t>
  </si>
  <si>
    <t>DDF51D4F6672DAC30A495C10@038d2aa263c9deeb495fea.e</t>
  </si>
  <si>
    <t>AnnaStrack@montrose-env.com</t>
  </si>
  <si>
    <t>annastrack@montrose-env.com</t>
  </si>
  <si>
    <t>Anna</t>
  </si>
  <si>
    <t>Strack</t>
  </si>
  <si>
    <t>F0CA1D5C6673343A0A495F99@038d2aa263c9deeb495fea.e</t>
  </si>
  <si>
    <t>EssielOrona@montrose-env.com</t>
  </si>
  <si>
    <t>essielorona@montrose-env.com</t>
  </si>
  <si>
    <t>Essiel</t>
  </si>
  <si>
    <t>Orona</t>
  </si>
  <si>
    <t>123E1D51667439A00A495EB3@038d2aa263c9deeb495fea.e</t>
  </si>
  <si>
    <t>KimQuinn@montrose-env.com</t>
  </si>
  <si>
    <t>Kim</t>
  </si>
  <si>
    <t>Quinn</t>
  </si>
  <si>
    <t>21241D4C66748FCF0A495CFC@038d2aa263c9deeb495fea.e</t>
  </si>
  <si>
    <t>AshleyPehan@enthalpy.com</t>
  </si>
  <si>
    <t>79471E406679C30C0A495FC6@038d2aa263c9deeb495fea.e</t>
  </si>
  <si>
    <t>amariahlebsock@montrose-env.com</t>
  </si>
  <si>
    <t>Amariah</t>
  </si>
  <si>
    <t>Lebsock</t>
  </si>
  <si>
    <t>81641E34667A141D0A495FE8@038d2aa263c9deeb495fea.e</t>
  </si>
  <si>
    <t>emilybradford@montrose-env.com</t>
  </si>
  <si>
    <t>Bradford</t>
  </si>
  <si>
    <t>8F881E48667A9C120A495FDE@038d2aa263c9deeb495fea.e</t>
  </si>
  <si>
    <t>jojones@montrose-env.com</t>
  </si>
  <si>
    <t>Jody</t>
  </si>
  <si>
    <t>EED31E61667D77900A495F84@038d2aa263c9deeb495fea.e</t>
  </si>
  <si>
    <t>AlyssaBustos@enthalpy.com</t>
  </si>
  <si>
    <t>Bustos</t>
  </si>
  <si>
    <t>720C1E566682B1E50A495FCB@038d2aa263c9deeb495fea.e</t>
  </si>
  <si>
    <t>GracynFord@enthalpy.com</t>
  </si>
  <si>
    <t>Gracyn</t>
  </si>
  <si>
    <t>77EB1E2B6682B5990A495C90@038d2aa263c9deeb495fea.e</t>
  </si>
  <si>
    <t>LaurenDowling@montrose-env.com</t>
  </si>
  <si>
    <t>Dowling</t>
  </si>
  <si>
    <t>67F01E38668BFDE50A495E3F@038d2aa263c9deeb495fea.e</t>
  </si>
  <si>
    <t>ErikaRodriguez@montrose-env.com</t>
  </si>
  <si>
    <t>6C2D1E3F668C1B170A495FD0@038d2aa263c9deeb495fea.e</t>
  </si>
  <si>
    <t>LucasSnider@montrose-env.com</t>
  </si>
  <si>
    <t>Snider</t>
  </si>
  <si>
    <t>80B01E47668D16BE0A495FA3@038d2aa263c9deeb495fea.e</t>
  </si>
  <si>
    <t>NellySagastume@montrose-env.com</t>
  </si>
  <si>
    <t>nellysagastume@montrose-env.com</t>
  </si>
  <si>
    <t>Nelly</t>
  </si>
  <si>
    <t>Sagastume</t>
  </si>
  <si>
    <t>A3B81E2E668D96800A495FF3@038d2aa263c9deeb495fea.e</t>
  </si>
  <si>
    <t>epwhite@montrose-env.com</t>
  </si>
  <si>
    <t>C3FC1E40668EB37E0A495FC6@038d2aa263c9deeb495fea.e</t>
  </si>
  <si>
    <t>IsabellaRodriguez@montrose-env.com</t>
  </si>
  <si>
    <t>C3601E42668ED52B0A495FB6@038d2aa263c9deeb495fea.e</t>
  </si>
  <si>
    <t>nancycarpenter@montrose-env.com</t>
  </si>
  <si>
    <t>Carpenter</t>
  </si>
  <si>
    <t>CBAD1E41668ED5F90A495CC2@038d2aa263c9deeb495fea.e</t>
  </si>
  <si>
    <t>stquach@montrose-env.com</t>
  </si>
  <si>
    <t>Quach</t>
  </si>
  <si>
    <t>D12B1E5E668F29A30A495E8D@038d2aa263c9deeb495fea.e</t>
  </si>
  <si>
    <t>kenneth.bell@enthalpy.com</t>
  </si>
  <si>
    <t>F0241E4266902B870A495E27@038d2aa263c9deeb495fea.e</t>
  </si>
  <si>
    <t>ChristianJunghanss@ect2.com</t>
  </si>
  <si>
    <t>christianjunghanss@ect2.com</t>
  </si>
  <si>
    <t>Junghanss</t>
  </si>
  <si>
    <t>1C5A1E3466915D940A495CE2@038d2aa263c9deeb495fea.e</t>
  </si>
  <si>
    <t>lechavarria@montrose-env.com</t>
  </si>
  <si>
    <t>Leslye</t>
  </si>
  <si>
    <t>Echavarria</t>
  </si>
  <si>
    <t>0F9A1E83669173B10A495E6D@038d2aa263c9deeb495fea.e</t>
  </si>
  <si>
    <t>MelissaSaintJames@montrose-env.com</t>
  </si>
  <si>
    <t>melissasaintjames@montrose-env.com</t>
  </si>
  <si>
    <t>Saint James</t>
  </si>
  <si>
    <t>6E631E40669572B50A495FC6@038d2aa263c9deeb495fea.e</t>
  </si>
  <si>
    <t>fatoro@montrose-env.com</t>
  </si>
  <si>
    <t>Fabiana</t>
  </si>
  <si>
    <t>Toro</t>
  </si>
  <si>
    <t>94861E24669661EF0A495FF2@038d2aa263c9deeb495fea.e</t>
  </si>
  <si>
    <t>cbusse@montrose-env.com</t>
  </si>
  <si>
    <t>Busse</t>
  </si>
  <si>
    <t>924F1E6A669676D70A495EA6@038d2aa263c9deeb495fea.e</t>
  </si>
  <si>
    <t>dsmith@montrose-env.com</t>
  </si>
  <si>
    <t>8D681E6166967AC20A495F84@038d2aa263c9deeb495fea.e</t>
  </si>
  <si>
    <t>AdrianneGriffin@montrose-env.com</t>
  </si>
  <si>
    <t>Adrianne</t>
  </si>
  <si>
    <t>10961D72669799690A495FBC@038d2aa263c9deeb495fea.e</t>
  </si>
  <si>
    <t>MasonMeyers@montrose-env.com</t>
  </si>
  <si>
    <t>masonmeyers@montrose-env.com</t>
  </si>
  <si>
    <t>Mason</t>
  </si>
  <si>
    <t>Meyers</t>
  </si>
  <si>
    <t>1B961D456697D4A10A495E7A@038d2aa263c9deeb495fea.e</t>
  </si>
  <si>
    <t>trburnetteadmin@montrose-env.com</t>
  </si>
  <si>
    <t>Burnette Admin</t>
  </si>
  <si>
    <t>204F1D6F6697E1510A495F94@038d2aa263c9deeb495fea.e</t>
  </si>
  <si>
    <t>kikondratenkoadmin@montrose-env.com</t>
  </si>
  <si>
    <t>Kondratenko Admin</t>
  </si>
  <si>
    <t>1F961D416697E3670A495FBE@038d2aa263c9deeb495fea.e</t>
  </si>
  <si>
    <t>aglenn@montrose-env.com</t>
  </si>
  <si>
    <t>AGlenn@montrose-env.com</t>
  </si>
  <si>
    <t>Glenn</t>
  </si>
  <si>
    <t>1FEF1D586697E4780A495CB1@038d2aa263c9deeb495fea.e</t>
  </si>
  <si>
    <t>JamesBond@montrose-env.com</t>
  </si>
  <si>
    <t>jamesbond@montrose-env.com</t>
  </si>
  <si>
    <t>Bond</t>
  </si>
  <si>
    <t>1F6A1D726697E4790A495FBC@038d2aa263c9deeb495fea.e</t>
  </si>
  <si>
    <t>NathanVelek@montrose-env.com</t>
  </si>
  <si>
    <t>Velek</t>
  </si>
  <si>
    <t>20F91D6F6697E4790A495F94@038d2aa263c9deeb495fea.e</t>
  </si>
  <si>
    <t>AustinCook@montrose-env.com</t>
  </si>
  <si>
    <t>austincook@montrose-env.com</t>
  </si>
  <si>
    <t>Cook</t>
  </si>
  <si>
    <t>1D7B1D476697E4790A495F8E@038d2aa263c9deeb495fea.e</t>
  </si>
  <si>
    <t>RitaJones@montrose-env.com</t>
  </si>
  <si>
    <t>ritajones@montrose-env.com</t>
  </si>
  <si>
    <t>Rita</t>
  </si>
  <si>
    <t>1EEC1D476697E47A0A495E33@038d2aa263c9deeb495fea.e</t>
  </si>
  <si>
    <t>AshleyBrumett@montrose-env.com</t>
  </si>
  <si>
    <t>ashleybrumett@montrose-env.com</t>
  </si>
  <si>
    <t>Brumett</t>
  </si>
  <si>
    <t>1ECA1D716697E47A0A495CEF@038d2aa263c9deeb495fea.e</t>
  </si>
  <si>
    <t>kiasbury@montrose-env.com</t>
  </si>
  <si>
    <t>Asbury</t>
  </si>
  <si>
    <t>26C61D4A6698181F0A495CB8@038d2aa263c9deeb495fea.e</t>
  </si>
  <si>
    <t>fkia@montrose-env.com</t>
  </si>
  <si>
    <t>Farideh</t>
  </si>
  <si>
    <t>Kia</t>
  </si>
  <si>
    <t>264E1D8066981DAE0A495FE1@038d2aa263c9deeb495fea.e</t>
  </si>
  <si>
    <t>kahorn@montrose-env.com</t>
  </si>
  <si>
    <t>katherinehorn@montrose-env.com</t>
  </si>
  <si>
    <t>Horn</t>
  </si>
  <si>
    <t>5BD81D4766993AD70A495E33@038d2aa263c9deeb495fea.e</t>
  </si>
  <si>
    <t>AnnaGrisamore@montrose-env.com</t>
  </si>
  <si>
    <t>Grisamore</t>
  </si>
  <si>
    <t>8F271D4C669AACEA0A495C23@038d2aa263c9deeb495fea.e</t>
  </si>
  <si>
    <t>MatthewRies@montrose-env.com</t>
  </si>
  <si>
    <t>Ries</t>
  </si>
  <si>
    <t>92421D74669AAD200A495FD8@038d2aa263c9deeb495fea.e</t>
  </si>
  <si>
    <t>VladimirRaskin@montrose-env.com</t>
  </si>
  <si>
    <t>Vladimir</t>
  </si>
  <si>
    <t>Raskin</t>
  </si>
  <si>
    <t>E8A61D47669EC13F0A495E33@038d2aa263c9deeb495fea.e</t>
  </si>
  <si>
    <t>CameronWright@enthalpy.com</t>
  </si>
  <si>
    <t>Cameron</t>
  </si>
  <si>
    <t>16EF1D4D669FE6B50A495C14@038d2aa263c9deeb495fea.e</t>
  </si>
  <si>
    <t>taonorato@montrose-env.com</t>
  </si>
  <si>
    <t>Onorato</t>
  </si>
  <si>
    <t>1DF61E6166A003F60A495E5B@038d2aa263c9deeb495fea.e</t>
  </si>
  <si>
    <t>jhicks@montrose-env.com</t>
  </si>
  <si>
    <t>Jeremiah</t>
  </si>
  <si>
    <t>Hicks</t>
  </si>
  <si>
    <t>1D601D6766A019A50A495FC3@038d2aa263c9deeb495fea.e</t>
  </si>
  <si>
    <t>JessieHearne@montrose-env.com</t>
  </si>
  <si>
    <t>jessiehearne@montrose-env.com</t>
  </si>
  <si>
    <t>Jessie</t>
  </si>
  <si>
    <t>Hearne</t>
  </si>
  <si>
    <t>20A81D6C66A039A20A495ECC@038d2aa263c9deeb495fea.e</t>
  </si>
  <si>
    <t>AUS - ECT2 - OH - HR</t>
  </si>
  <si>
    <t>ravelazquezrivera@montrose-env.com</t>
  </si>
  <si>
    <t>Ravelazquezrivera@montrose-env.com</t>
  </si>
  <si>
    <t>Rafael</t>
  </si>
  <si>
    <t>Velazquez Rivera</t>
  </si>
  <si>
    <t>3D261D4866A1165F0A495FA8@038d2aa263c9deeb495fea.e</t>
  </si>
  <si>
    <t>atestoff@montrose-env.com</t>
  </si>
  <si>
    <t>Testoff</t>
  </si>
  <si>
    <t>69B71D4766A25B210A495E33@038d2aa263c9deeb495fea.e</t>
  </si>
  <si>
    <t>trburnetteadmin@USMontrose.onmicrosoft.com</t>
  </si>
  <si>
    <t>USMontrose.onmicrosoft.com</t>
  </si>
  <si>
    <t>6FEE1D4F66A26C3E0A495C84@038d2aa263c9deeb495fea.e</t>
  </si>
  <si>
    <t>kylapic@montrose-env.com</t>
  </si>
  <si>
    <t>Lapic</t>
  </si>
  <si>
    <t>4AD51D7366AA2CA00A495EAB@038d2aa263c9deeb495fea.e</t>
  </si>
  <si>
    <t>damaez@montrose-env.com</t>
  </si>
  <si>
    <t>Maez</t>
  </si>
  <si>
    <t>55EF1D4F66AA6BFB0A495CCB@038d2aa263c9deeb495fea.e</t>
  </si>
  <si>
    <t>lcfabian@montrose-env.com</t>
  </si>
  <si>
    <t>Lucia</t>
  </si>
  <si>
    <t>Fabian</t>
  </si>
  <si>
    <t>56E91E6166AA74AB0A495E5B@038d2aa263c9deeb495fea.e</t>
  </si>
  <si>
    <t>gechiong@montrose-env.com</t>
  </si>
  <si>
    <t>Genevieve</t>
  </si>
  <si>
    <t>Chiong</t>
  </si>
  <si>
    <t>8B6C1D4F66AB9A150A495F85@038d2aa263c9deeb495fea.e</t>
  </si>
  <si>
    <t>Default Illustrator configuration</t>
  </si>
  <si>
    <t>Illustrator (VIPMP - 99C0A3088A102BD9CB4A)</t>
  </si>
  <si>
    <t>BuddyWright@montrose-env.com</t>
  </si>
  <si>
    <t>buddywright@montrose-env.com</t>
  </si>
  <si>
    <t>Buddy</t>
  </si>
  <si>
    <t>97B01D5066ABEE810A495C2F@038d2aa263c9deeb495fea.e</t>
  </si>
  <si>
    <t>jocaspary@montrose-env.com</t>
  </si>
  <si>
    <t>Jorge</t>
  </si>
  <si>
    <t>Caspary</t>
  </si>
  <si>
    <t>2C7852D966AD25880A495CBA@038d2aa263c9deeb495fea.e</t>
  </si>
  <si>
    <t>miguel.gamboa@enthalpy.com</t>
  </si>
  <si>
    <t>Miguel</t>
  </si>
  <si>
    <t>Gamboa</t>
  </si>
  <si>
    <t>36C952A466AD78AD0A495C71@038d2aa263c9deeb495fea.e</t>
  </si>
  <si>
    <t>JohnLong@enthalpy.com</t>
  </si>
  <si>
    <t>JackLong@enthalpy.com</t>
  </si>
  <si>
    <t>Jack</t>
  </si>
  <si>
    <t>Long</t>
  </si>
  <si>
    <t>8060645866B0CE780A495E4D@038d2aa263c9deeb495fea.e</t>
  </si>
  <si>
    <t>aismith@montrose-env.com</t>
  </si>
  <si>
    <t>Ainisha</t>
  </si>
  <si>
    <t>885F772666B10A0C0A495FD5@038d2aa263c9deeb495fea.e</t>
  </si>
  <si>
    <t>nallelygarza@enthalpy.com</t>
  </si>
  <si>
    <t>Nallely</t>
  </si>
  <si>
    <t>Garza</t>
  </si>
  <si>
    <t>8FC6616F66B128300A495E82@038d2aa263c9deeb495fea.e</t>
  </si>
  <si>
    <t>ErinWilson@montrose-env.com</t>
  </si>
  <si>
    <t>C19F616F66B26E780A495E82@038d2aa263c9deeb495fea.e</t>
  </si>
  <si>
    <t>RowanGriffiths@montrose-env.com</t>
  </si>
  <si>
    <t>Rowan</t>
  </si>
  <si>
    <t>Griffiths</t>
  </si>
  <si>
    <t>E1FB04C766B350CE0A495FD6@038d2aa263c9deeb495fea.e</t>
  </si>
  <si>
    <t>robogert@montrose-env.com</t>
  </si>
  <si>
    <t>Bogert</t>
  </si>
  <si>
    <t>E3EB5C1966B36F550A495CAC@038d2aa263c9deeb495fea.e</t>
  </si>
  <si>
    <t>AndrewBradley@montrose-env.com</t>
  </si>
  <si>
    <t>Andrewbradley@montrose-env.com</t>
  </si>
  <si>
    <t>DD6B1DAF66B4FB970A495F9A@038d2aa263c9deeb495fea.e</t>
  </si>
  <si>
    <t>jmather@montrose-env.com</t>
  </si>
  <si>
    <t>Mather</t>
  </si>
  <si>
    <t>2B48623066B50C860A495E0C@038d2aa263c9deeb495fea.e</t>
  </si>
  <si>
    <t>EvelynMauger@enthalpy.com</t>
  </si>
  <si>
    <t>evelynmauger@enthalpy.com</t>
  </si>
  <si>
    <t>Evelyn</t>
  </si>
  <si>
    <t>Mauger</t>
  </si>
  <si>
    <t>56685DD166B6459F0A495EA1@038d2aa263c9deeb495fea.e</t>
  </si>
  <si>
    <t>ShaneHart@montrose-env.com</t>
  </si>
  <si>
    <t>AD5607F766BA30770A495FAA@038d2aa263c9deeb495fea.e</t>
  </si>
  <si>
    <t>USA - OGI - G&amp;A</t>
  </si>
  <si>
    <t>aspeoples@montrose-env.com</t>
  </si>
  <si>
    <t>Peoples</t>
  </si>
  <si>
    <t>ABCD6E4166BA312C0A495FDB@038d2aa263c9deeb495fea.e</t>
  </si>
  <si>
    <t>USA - CTEH OH - G&amp;A</t>
  </si>
  <si>
    <t>EricWentz@montrose-env.com</t>
  </si>
  <si>
    <t>Wentz</t>
  </si>
  <si>
    <t>DAD7627166BB74400A495FFA@038d2aa263c9deeb495fea.e</t>
  </si>
  <si>
    <t>jewilkerson@montrose-env.com</t>
  </si>
  <si>
    <t>Wilkerson</t>
  </si>
  <si>
    <t>EDB160D266BB9CCD0A495E7B@038d2aa263c9deeb495fea.e</t>
  </si>
  <si>
    <t>mabavishi@montrose-env.com</t>
  </si>
  <si>
    <t>Maulik</t>
  </si>
  <si>
    <t>Bavishi</t>
  </si>
  <si>
    <t>032B1E5766BD3AFD0A495EB5@038d2aa263c9deeb495fea.e</t>
  </si>
  <si>
    <t>lkeil@montrose-env.com</t>
  </si>
  <si>
    <t>Keil</t>
  </si>
  <si>
    <t>600E1E8866BF92DB0A495E11@038d2aa263c9deeb495fea.e</t>
  </si>
  <si>
    <t>yvhutcherson@montrose-env.com</t>
  </si>
  <si>
    <t>Hutcherson</t>
  </si>
  <si>
    <t>C0AA1E7F66C34DE70A495CC9@038d2aa263c9deeb495fea.e</t>
  </si>
  <si>
    <t>RicardoMercado@montrose-env.com</t>
  </si>
  <si>
    <t>ricardomercado@montrose-env.com</t>
  </si>
  <si>
    <t>Mercado</t>
  </si>
  <si>
    <t>C9C91E5766C3766B0A495FE0@038d2aa263c9deeb495fea.e</t>
  </si>
  <si>
    <t>josuzuki@montrose-env.com</t>
  </si>
  <si>
    <t>Suzuki</t>
  </si>
  <si>
    <t>CD191FCF66C3854A0A495FE6@038d2aa263c9deeb495fea.e</t>
  </si>
  <si>
    <t>jastern@montrose-env.com</t>
  </si>
  <si>
    <t>Jacob</t>
  </si>
  <si>
    <t>Stern</t>
  </si>
  <si>
    <t>10701E3266C4BDA80A495FC2@038d2aa263c9deeb495fea.e</t>
  </si>
  <si>
    <t>linanry@montrose-env.com</t>
  </si>
  <si>
    <t>Nanry</t>
  </si>
  <si>
    <t>10E31D6366C4BEBE0A495EB8@038d2aa263c9deeb495fea.e</t>
  </si>
  <si>
    <t>ryradonski@montrose-env.com</t>
  </si>
  <si>
    <t>Radonski</t>
  </si>
  <si>
    <t>17981E7B66C4E4660A495EDA@038d2aa263c9deeb495fea.e</t>
  </si>
  <si>
    <t>smoldovanyi@montrose-env.com</t>
  </si>
  <si>
    <t>Moldovanyi</t>
  </si>
  <si>
    <t>34D41E7B66C5BB690A495EDA@038d2aa263c9deeb495fea.e</t>
  </si>
  <si>
    <t>janix@montrose-env.com</t>
  </si>
  <si>
    <t>Jaclyn</t>
  </si>
  <si>
    <t>Nix</t>
  </si>
  <si>
    <t>40041D8566C5F1C60A495FF6@038d2aa263c9deeb495fea.e</t>
  </si>
  <si>
    <t>VahikAboolian@montrose-env.com</t>
  </si>
  <si>
    <t>Vahik</t>
  </si>
  <si>
    <t>Aboolian</t>
  </si>
  <si>
    <t>432A1E8F66C617AF0A495F8B@038d2aa263c9deeb495fea.e</t>
  </si>
  <si>
    <t>paul.henige@enthalpy.com</t>
  </si>
  <si>
    <t>Henige</t>
  </si>
  <si>
    <t>4EAC1D5B66C642440A495CC8@038d2aa263c9deeb495fea.e</t>
  </si>
  <si>
    <t>lquigley@montrose-env.com</t>
  </si>
  <si>
    <t>Quigley</t>
  </si>
  <si>
    <t>51E91E5A66C64C060A495C57@038d2aa263c9deeb495fea.e</t>
  </si>
  <si>
    <t>dhopkins@montrose-env.com</t>
  </si>
  <si>
    <t>Hopkins</t>
  </si>
  <si>
    <t>4EDD1E5A66C64C060A495EC5@038d2aa263c9deeb495fea.e</t>
  </si>
  <si>
    <t>sabarishselvarajan@montrose-env.com</t>
  </si>
  <si>
    <t>Sabarish</t>
  </si>
  <si>
    <t>Selvarajan</t>
  </si>
  <si>
    <t>55DD1E8866C64C070A495C2F@038d2aa263c9deeb495fea.e</t>
  </si>
  <si>
    <t>hever.miranda@enthalpy.com</t>
  </si>
  <si>
    <t>Hever</t>
  </si>
  <si>
    <t>817A1E5F66C766CE0A495EEE@038d2aa263c9deeb495fea.e</t>
  </si>
  <si>
    <t>scrobinson@montrose-env.com</t>
  </si>
  <si>
    <t>Robinson</t>
  </si>
  <si>
    <t>8C841E6466C784FE0A495FD4@038d2aa263c9deeb495fea.e</t>
  </si>
  <si>
    <t>dwingler@montrose-env.com</t>
  </si>
  <si>
    <t>Dale</t>
  </si>
  <si>
    <t>Wingler</t>
  </si>
  <si>
    <t>BC4A1E6166C8A53F0A495C16@038d2aa263c9deeb495fea.e</t>
  </si>
  <si>
    <t>JamalSims@montrose-env.com</t>
  </si>
  <si>
    <t>Jamal</t>
  </si>
  <si>
    <t>Sims</t>
  </si>
  <si>
    <t>CAF51E5F66C8EF990A495EEE@038d2aa263c9deeb495fea.e</t>
  </si>
  <si>
    <t>ChristopherSoden@enthalpy.com</t>
  </si>
  <si>
    <t>Soden</t>
  </si>
  <si>
    <t>4A961D5966CDA9910A495F8D@038d2aa263c9deeb495fea.e</t>
  </si>
  <si>
    <t>susan.grier@enthalpy.com</t>
  </si>
  <si>
    <t>Grier</t>
  </si>
  <si>
    <t>59051E7C66CDBFFB0A495E2E@038d2aa263c9deeb495fea.e</t>
  </si>
  <si>
    <t>jmay@montrose-env.com</t>
  </si>
  <si>
    <t>68991E5A66CE08170A495CC6@038d2aa263c9deeb495fea.e</t>
  </si>
  <si>
    <t>ScottVansEvers@montrose-env.com</t>
  </si>
  <si>
    <t>Vans Evers</t>
  </si>
  <si>
    <t>63611E5E66CE0F070A495FC0@038d2aa263c9deeb495fea.e</t>
  </si>
  <si>
    <t>amharte@montrose-env.com</t>
  </si>
  <si>
    <t>Harte</t>
  </si>
  <si>
    <t>63B01D5F66CE16AF0A495FB8@038d2aa263c9deeb495fea.e</t>
  </si>
  <si>
    <t>angelapolk@montrose-env.com</t>
  </si>
  <si>
    <t>Angela</t>
  </si>
  <si>
    <t>Polk</t>
  </si>
  <si>
    <t>6B0A1E8166CE1FE90A495C33@038d2aa263c9deeb495fea.e</t>
  </si>
  <si>
    <t>PamelaFrancis@montrose-env.com</t>
  </si>
  <si>
    <t>pamelafrancis@montrose-env.com</t>
  </si>
  <si>
    <t>Pamela</t>
  </si>
  <si>
    <t>Francis</t>
  </si>
  <si>
    <t>89581D6466CF10930A495E95@038d2aa263c9deeb495fea.e</t>
  </si>
  <si>
    <t>AaronSobel@montrose-env.com</t>
  </si>
  <si>
    <t>Sobel</t>
  </si>
  <si>
    <t>90EC1D7B66CF2FAD0A495EC7@038d2aa263c9deeb495fea.e</t>
  </si>
  <si>
    <t>alukash@montrose-env.com</t>
  </si>
  <si>
    <t>Lukash</t>
  </si>
  <si>
    <t>051B1E5166D1F0F40A495C5E@038d2aa263c9deeb495fea.e</t>
  </si>
  <si>
    <t>BridgetParry@montrose-env.com</t>
  </si>
  <si>
    <t>Parry</t>
  </si>
  <si>
    <t>8C561EC566D6FD5E0A495C21@038d2aa263c9deeb495fea.e</t>
  </si>
  <si>
    <t>Default Acrobat Standard DC configuration,Default Illustrator configuration</t>
  </si>
  <si>
    <t>Acrobat Standard DC (VIPMP - 99C0A3088A102BD9CB4A),Illustrator (VIPMP - 99C0A3088A102BD9CB4A)</t>
  </si>
  <si>
    <t>JessicaWong@montrose-env.com</t>
  </si>
  <si>
    <t>A51D1E7F66D758B80A495CC9@038d2aa263c9deeb495fea.e</t>
  </si>
  <si>
    <t>WilliamGivens@montrose-env.com</t>
  </si>
  <si>
    <t>Givens</t>
  </si>
  <si>
    <t>DD721E5766D8978E0A495C7A@038d2aa263c9deeb495fea.e</t>
  </si>
  <si>
    <t>AnnaLeisher@montrose-env.com</t>
  </si>
  <si>
    <t>Leisher</t>
  </si>
  <si>
    <t>DD0E1D5C66D89F390A495FBA@038d2aa263c9deeb495fea.e</t>
  </si>
  <si>
    <t>RyanGivens@montrose-env.com</t>
  </si>
  <si>
    <t>EA031D6166D8ACF60A495E91@038d2aa263c9deeb495fea.e</t>
  </si>
  <si>
    <t>rythomson@montrose-env.com</t>
  </si>
  <si>
    <t>Thomson</t>
  </si>
  <si>
    <t>DFB51D5E66D8BF860A495FA9@038d2aa263c9deeb495fea.e</t>
  </si>
  <si>
    <t>rythomsonadmin@montrose-env.com</t>
  </si>
  <si>
    <t>16321E2F66D9DB070A495CC2@038d2aa263c9deeb495fea.e</t>
  </si>
  <si>
    <t>amandakeathley@montrose-env.com</t>
  </si>
  <si>
    <t>Keathley</t>
  </si>
  <si>
    <t>0EBC1D9866D9E0650A495C5F@038d2aa263c9deeb495fea.e</t>
  </si>
  <si>
    <t>dolsen@montrose-env.com</t>
  </si>
  <si>
    <t>Olsen</t>
  </si>
  <si>
    <t>4DA31FCF66DB44AF0A495FE6@038d2aa263c9deeb495fea.e</t>
  </si>
  <si>
    <t>ext-KeannyaGaines@montrose-env.com</t>
  </si>
  <si>
    <t>ext-keannyagaines@montrose-env.com</t>
  </si>
  <si>
    <t>Keannya</t>
  </si>
  <si>
    <t>Gaines</t>
  </si>
  <si>
    <t>50EA1D5D66DB6D7A0A495C6B@038d2aa263c9deeb495fea.e</t>
  </si>
  <si>
    <t>VladimirCarino@montrose-env.com</t>
  </si>
  <si>
    <t>Carino</t>
  </si>
  <si>
    <t>4E2C1D5E66DB85B10A495FA9@038d2aa263c9deeb495fea.e</t>
  </si>
  <si>
    <t>JasonStagno@montrose-env.com</t>
  </si>
  <si>
    <t>Jason</t>
  </si>
  <si>
    <t>Stagno</t>
  </si>
  <si>
    <t>6BC31E6066DCC5DB0A495FA1@038d2aa263c9deeb495fea.e</t>
  </si>
  <si>
    <t>dwynkoop@ect2.com</t>
  </si>
  <si>
    <t>DWynkoop@ect2.com</t>
  </si>
  <si>
    <t>A9EB1E7F66DF52610A495F8F@038d2aa263c9deeb495fea.e</t>
  </si>
  <si>
    <t>apaolantonio@montrose-env.com</t>
  </si>
  <si>
    <t>Amelia</t>
  </si>
  <si>
    <t>Paolantonio</t>
  </si>
  <si>
    <t>D1AF1E5C66E06C1E0A495C80@038d2aa263c9deeb495fea.e</t>
  </si>
  <si>
    <t>LeahKaesemeyer@montrose-env.com</t>
  </si>
  <si>
    <t>Leah</t>
  </si>
  <si>
    <t>Kaesemeyer</t>
  </si>
  <si>
    <t>22D41D3766E338050A495FA4@038d2aa263c9deeb495fea.e</t>
  </si>
  <si>
    <t>MadisonAlsbach@montrose-env.com</t>
  </si>
  <si>
    <t>madisonalsbach@montrose-env.com</t>
  </si>
  <si>
    <t>Madison</t>
  </si>
  <si>
    <t>Alsbach</t>
  </si>
  <si>
    <t>286F1DD466E36D640A495C9C@038d2aa263c9deeb495fea.e</t>
  </si>
  <si>
    <t>DeanCornstubble@enthalpy.com</t>
  </si>
  <si>
    <t>Cornstubble</t>
  </si>
  <si>
    <t>40251D7566E42B230A495E30@038d2aa263c9deeb495fea.e</t>
  </si>
  <si>
    <t>SantanaTunney@montrose-env.com</t>
  </si>
  <si>
    <t>Santana</t>
  </si>
  <si>
    <t>Tunney</t>
  </si>
  <si>
    <t>92971D4066E82F9D0A495EA2@038d2aa263c9deeb495fea.e</t>
  </si>
  <si>
    <t>SpencerLowe@montrose-env.com</t>
  </si>
  <si>
    <t>spencerlowe@montrose-env.com</t>
  </si>
  <si>
    <t>Spencer</t>
  </si>
  <si>
    <t>Lowe</t>
  </si>
  <si>
    <t>CEDA1D4966E9BA670A495CD7@038d2aa263c9deeb495fea.e</t>
  </si>
  <si>
    <t>PeterChen@enthalpy.com</t>
  </si>
  <si>
    <t>Chen</t>
  </si>
  <si>
    <t>FAC81D3F66EB310C0A495FF3@038d2aa263c9deeb495fea.e</t>
  </si>
  <si>
    <t>KieraWalsh@enthalpy.com</t>
  </si>
  <si>
    <t>Kiera</t>
  </si>
  <si>
    <t>Walsh</t>
  </si>
  <si>
    <t>2B141D4366EC6C890A495CD0@038d2aa263c9deeb495fea.e</t>
  </si>
  <si>
    <t>jecarpenter@montrose-env.com</t>
  </si>
  <si>
    <t>9FE71D4066F190540A495FB7@038d2aa263c9deeb495fea.e</t>
  </si>
  <si>
    <t>IanKantner@enthalpy.com</t>
  </si>
  <si>
    <t>Ian</t>
  </si>
  <si>
    <t>Kantner</t>
  </si>
  <si>
    <t>A6EE1D6966F1ACB40A495ECB@038d2aa263c9deeb495fea.e</t>
  </si>
  <si>
    <t>MarkHarris@montrose-env.com</t>
  </si>
  <si>
    <t>Harris</t>
  </si>
  <si>
    <t>AD881D6366F1CB360A495ECC@038d2aa263c9deeb495fea.e</t>
  </si>
  <si>
    <t>Jhogan@montrose-env.com</t>
  </si>
  <si>
    <t>jhogan@montrose-env.com</t>
  </si>
  <si>
    <t>Jeffery</t>
  </si>
  <si>
    <t>Hogan</t>
  </si>
  <si>
    <t>C1711D3766F2BDD70A495FA4@038d2aa263c9deeb495fea.e</t>
  </si>
  <si>
    <t>RicardoPena@montrose-env.com</t>
  </si>
  <si>
    <t>Pena</t>
  </si>
  <si>
    <t>C9281D4066F2DAF70A495FB7@038d2aa263c9deeb495fea.e</t>
  </si>
  <si>
    <t>MeredithCurtis@enthalpy.com</t>
  </si>
  <si>
    <t>Meredith</t>
  </si>
  <si>
    <t>D37A1D4366F33A9C0A495E7D@038d2aa263c9deeb495fea.e</t>
  </si>
  <si>
    <t>AnthonyMorrotto@enthalpy.com</t>
  </si>
  <si>
    <t>Morrotto</t>
  </si>
  <si>
    <t>D7BF1D4166F33C720A495C8E@038d2aa263c9deeb495fea.e</t>
  </si>
  <si>
    <t>MiaOlson@montrose-env.com</t>
  </si>
  <si>
    <t>Mia</t>
  </si>
  <si>
    <t>Olson</t>
  </si>
  <si>
    <t>DE2B1D3866F34A320A495FCC@038d2aa263c9deeb495fea.e</t>
  </si>
  <si>
    <t>JoshuaAllen@montrose-env.com</t>
  </si>
  <si>
    <t>D3551D6766F34D100A495FFD@038d2aa263c9deeb495fea.e</t>
  </si>
  <si>
    <t>AlexandraMejia@enthalpy.com</t>
  </si>
  <si>
    <t>Alexandra</t>
  </si>
  <si>
    <t>Mejia</t>
  </si>
  <si>
    <t>08641D4366F477000A495E7D@038d2aa263c9deeb495fea.e</t>
  </si>
  <si>
    <t>brdemirci@montrose-env.com</t>
  </si>
  <si>
    <t>Brianna</t>
  </si>
  <si>
    <t>Demirci</t>
  </si>
  <si>
    <t>38991E3B66F5B7F50A495F95@038d2aa263c9deeb495fea.e</t>
  </si>
  <si>
    <t>JuliaSagidova@montrose-env.com</t>
  </si>
  <si>
    <t>juliasagidova@montrose-env.com</t>
  </si>
  <si>
    <t>Sagidova</t>
  </si>
  <si>
    <t>6E061E2E66F7220A0A495E33@038d2aa263c9deeb495fea.e</t>
  </si>
  <si>
    <t>EmilyMorrison@enthalpy.com</t>
  </si>
  <si>
    <t>C6F51EEB66FAB2B70A495E4D@038d2aa263c9deeb495fea.e</t>
  </si>
  <si>
    <t>rhhampton@ect2.com</t>
  </si>
  <si>
    <t>Rhonda</t>
  </si>
  <si>
    <t>Hampton</t>
  </si>
  <si>
    <t>D0C41E6166FAC8260A495CB0@038d2aa263c9deeb495fea.e</t>
  </si>
  <si>
    <t>sybenishek@montrose-env.com</t>
  </si>
  <si>
    <t>Benishek</t>
  </si>
  <si>
    <t>D5EE1E3766FAFFF00A495E0E@038d2aa263c9deeb495fea.e</t>
  </si>
  <si>
    <t>CharlesLaFollette@montrose-env.com</t>
  </si>
  <si>
    <t>Charles</t>
  </si>
  <si>
    <t>LaFollette</t>
  </si>
  <si>
    <t>FFD51E3766FC22A20A495E7A@038d2aa263c9deeb495fea.e</t>
  </si>
  <si>
    <t>jmetcalf@montrose-env.com</t>
  </si>
  <si>
    <t>Metcalf</t>
  </si>
  <si>
    <t>0C3A1E0966FC85C20A495FA2@038d2aa263c9deeb495fea.e</t>
  </si>
  <si>
    <t>ZoeArndt@enthalpy.com</t>
  </si>
  <si>
    <t>Zoe</t>
  </si>
  <si>
    <t>Arndt</t>
  </si>
  <si>
    <t>359F1E5866FD95340A495FB4@038d2aa263c9deeb495fea.e</t>
  </si>
  <si>
    <t>ttrefiak@montrose-env.com</t>
  </si>
  <si>
    <t>ext-ttrefiak@montrose-env.com</t>
  </si>
  <si>
    <t>Terence</t>
  </si>
  <si>
    <t>Trefiak</t>
  </si>
  <si>
    <t>61BB1E2E66FEFF700A495FBA@038d2aa263c9deeb495fea.e</t>
  </si>
  <si>
    <t>mppatrick@montrose-env.com</t>
  </si>
  <si>
    <t>6E131E3066FF043D0A495FC9@038d2aa263c9deeb495fea.e</t>
  </si>
  <si>
    <t>JacobFriedman@montrose-env.com</t>
  </si>
  <si>
    <t>Friedman</t>
  </si>
  <si>
    <t>8FF51E58670020CA0A495EFE@038d2aa263c9deeb495fea.e</t>
  </si>
  <si>
    <t>jstanley@montrose-env.com</t>
  </si>
  <si>
    <t>Stanley</t>
  </si>
  <si>
    <t>C96C1E30670292400A495E57@038d2aa263c9deeb495fea.e</t>
  </si>
  <si>
    <t>SusanLaitsch@montrose-env.com</t>
  </si>
  <si>
    <t>Laitsch</t>
  </si>
  <si>
    <t>E9FB1E336703F95B0A495E0B@038d2aa263c9deeb495fea.e</t>
  </si>
  <si>
    <t>RyanMalia@montrose-env.com</t>
  </si>
  <si>
    <t>Malia</t>
  </si>
  <si>
    <t>F0F01E7E6703FA8C0A495E28@038d2aa263c9deeb495fea.e</t>
  </si>
  <si>
    <t>BrianMyller@montrose-env.com</t>
  </si>
  <si>
    <t>Myller</t>
  </si>
  <si>
    <t>F2D51E0B670427960A495FEF@038d2aa263c9deeb495fea.e</t>
  </si>
  <si>
    <t>fdamji@montrose-env.com</t>
  </si>
  <si>
    <t>Faizal</t>
  </si>
  <si>
    <t>Damji</t>
  </si>
  <si>
    <t>14041E2E67051F000A495E76@038d2aa263c9deeb495fea.e</t>
  </si>
  <si>
    <t>JamesStultz@montrose-env.com</t>
  </si>
  <si>
    <t>jamesstultz@montrose-env.com</t>
  </si>
  <si>
    <t>Stultz</t>
  </si>
  <si>
    <t>8CDC47EE67054B760A495FCE@038d2aa263c9deeb495fea.e</t>
  </si>
  <si>
    <t>mapiarulli@montrose-env.com</t>
  </si>
  <si>
    <t>Piarulli</t>
  </si>
  <si>
    <t>22EE1E3D67057B550A495EDA@038d2aa263c9deeb495fea.e</t>
  </si>
  <si>
    <t>DarrenBurton@montrose-env.com</t>
  </si>
  <si>
    <t>Darren</t>
  </si>
  <si>
    <t>Burton</t>
  </si>
  <si>
    <t>5C051E34670717F50A495C42@038d2aa263c9deeb495fea.e</t>
  </si>
  <si>
    <t>jameswood@enthalpy.com</t>
  </si>
  <si>
    <t>Wood</t>
  </si>
  <si>
    <t>6C5A1E5F6707B7C40A495EFD@038d2aa263c9deeb495fea.e</t>
  </si>
  <si>
    <t>TinNguyen@ect2.com</t>
  </si>
  <si>
    <t>Tin</t>
  </si>
  <si>
    <t>6F851E646707CCD90A495F86@038d2aa263c9deeb495fea.e</t>
  </si>
  <si>
    <t>mamendoza@montrose-env.com</t>
  </si>
  <si>
    <t>Mariela</t>
  </si>
  <si>
    <t>0B741D616708AB1C0A495FAC@038d2aa263c9deeb495fea.e</t>
  </si>
  <si>
    <t>kaparker@montrose-env.com</t>
  </si>
  <si>
    <t>Karelia</t>
  </si>
  <si>
    <t>22741D64670961D60A495E51@038d2aa263c9deeb495fea.e</t>
  </si>
  <si>
    <t>USA - Corp - G&amp;A</t>
  </si>
  <si>
    <t>TheodoreGadziemski@montrose-env.com</t>
  </si>
  <si>
    <t>theodoregadziemski@montrose-env.com</t>
  </si>
  <si>
    <t>Theodore</t>
  </si>
  <si>
    <t>Gadziemski</t>
  </si>
  <si>
    <t>82151D60670D20B80A495FC7@038d2aa263c9deeb495fea.e</t>
  </si>
  <si>
    <t>jepostell@montrose-env.com</t>
  </si>
  <si>
    <t>Jeff</t>
  </si>
  <si>
    <t>Postell</t>
  </si>
  <si>
    <t>80FD1D41670D2C610A495C46@038d2aa263c9deeb495fea.e</t>
  </si>
  <si>
    <t>jefasan@montrose-env.com</t>
  </si>
  <si>
    <t>Jeanne</t>
  </si>
  <si>
    <t>Fasan</t>
  </si>
  <si>
    <t>B9021D5F670EAC230A495CF0@038d2aa263c9deeb495fea.e</t>
  </si>
  <si>
    <t>TristanRice@montrose-env.com</t>
  </si>
  <si>
    <t>BD361D64670EC6C80A495EF3@038d2aa263c9deeb495fea.e</t>
  </si>
  <si>
    <t>LisaHerrera@montrose-env.com</t>
  </si>
  <si>
    <t>lisaherrera@montrose-env.com</t>
  </si>
  <si>
    <t>Herrera</t>
  </si>
  <si>
    <t>F4961D85671014CD0A495E41@038d2aa263c9deeb495fea.e</t>
  </si>
  <si>
    <t>radroessler@montrose-env.com</t>
  </si>
  <si>
    <t>Droessler</t>
  </si>
  <si>
    <t>12701D5D6711203B0A495F8C@038d2aa263c9deeb495fea.e</t>
  </si>
  <si>
    <t>Default All Apps - Edition 4 configuration</t>
  </si>
  <si>
    <t>All Apps - Edition 4 (VIPMP - 99C0A3088A102BD9CB4A)</t>
  </si>
  <si>
    <t>kkrch@montrose-env.com</t>
  </si>
  <si>
    <t>Krch</t>
  </si>
  <si>
    <t>16861D5A67113CF80A495CE2@038d2aa263c9deeb495fea.e</t>
  </si>
  <si>
    <t>RachelARowe@montrose-env.com</t>
  </si>
  <si>
    <t>rachelarowe@montrose-env.com</t>
  </si>
  <si>
    <t>Rachel A</t>
  </si>
  <si>
    <t>Rowe</t>
  </si>
  <si>
    <t>43FE1D4F67129A200A495FA4@038d2aa263c9deeb495fea.e</t>
  </si>
  <si>
    <t>ShannonBoyle@montrose-env.com</t>
  </si>
  <si>
    <t>Boyle</t>
  </si>
  <si>
    <t>45751D5E6712BBA90A495E53@038d2aa263c9deeb495fea.e</t>
  </si>
  <si>
    <t>miteeling@montrose-env.com</t>
  </si>
  <si>
    <t>Teeling</t>
  </si>
  <si>
    <t>A82E1D58671668900A495FC3@038d2aa263c9deeb495fea.e</t>
  </si>
  <si>
    <t>JennieCooper@montrose-env.com</t>
  </si>
  <si>
    <t>jenniecooper@montrose-env.com</t>
  </si>
  <si>
    <t>AA4A1D5E671683F80A495FD9@038d2aa263c9deeb495fea.e</t>
  </si>
  <si>
    <t>ChrisDeLosSantos@montrose-env.com</t>
  </si>
  <si>
    <t>DeLosSantos</t>
  </si>
  <si>
    <t>BC141D8A6716C7270A495CA8@038d2aa263c9deeb495fea.e</t>
  </si>
  <si>
    <t>SaraHerrera@montrose-env.com</t>
  </si>
  <si>
    <t>BFE11DF86716EBFD0A495C13@038d2aa263c9deeb495fea.e</t>
  </si>
  <si>
    <t>LoriFischer@montrose-env.com</t>
  </si>
  <si>
    <t>Lori</t>
  </si>
  <si>
    <t>Fischer</t>
  </si>
  <si>
    <t>1F3D1D5E6719673C0A495F9A@038d2aa263c9deeb495fea.e</t>
  </si>
  <si>
    <t>SamuelWeikle@montrose-env.com</t>
  </si>
  <si>
    <t>Weikle</t>
  </si>
  <si>
    <t>032E1DBE671975020A495C74@038d2aa263c9deeb495fea.e</t>
  </si>
  <si>
    <t>MaryStrecker@montrose-env.com</t>
  </si>
  <si>
    <t>Mary</t>
  </si>
  <si>
    <t>Strecker</t>
  </si>
  <si>
    <t>1B371D88671A48010A495C1F@038d2aa263c9deeb495fea.e</t>
  </si>
  <si>
    <t>Default Acrobat Pro configuration,Default Photoshop - Edition 4 configuration</t>
  </si>
  <si>
    <t>Acrobat Pro (VIPMP - 99C0A3088A102BD9CB4A),Photoshop - Edition 4 (VIPMP - 99C0A3088A102BD9CB4A)</t>
  </si>
  <si>
    <t>FarnazNabi@montrose-env.com</t>
  </si>
  <si>
    <t>Farnaz</t>
  </si>
  <si>
    <t>Nabi</t>
  </si>
  <si>
    <t>2AD71D92671A93B20A495CCC@038d2aa263c9deeb495fea.e</t>
  </si>
  <si>
    <t>alyssa.miller@enthalpy.com</t>
  </si>
  <si>
    <t>B29B1D81671FAB7E0A495CC5@038d2aa263c9deeb495fea.e</t>
  </si>
  <si>
    <t>RileyGarlinghouse@montrose-env.com</t>
  </si>
  <si>
    <t>Riley</t>
  </si>
  <si>
    <t>Garlinghouse</t>
  </si>
  <si>
    <t>E0731DC9672104C50A495E8B@038d2aa263c9deeb495fea.e</t>
  </si>
  <si>
    <t>ChristianRobertson@montrose-env.com</t>
  </si>
  <si>
    <t>Robertson</t>
  </si>
  <si>
    <t>E4241DE2672104C50A495CC8@038d2aa263c9deeb495fea.e</t>
  </si>
  <si>
    <t>BartleyMcDonald@montrose-env.com</t>
  </si>
  <si>
    <t>Bartley</t>
  </si>
  <si>
    <t>E2D11D81672104C60A495C3F@038d2aa263c9deeb495fea.e</t>
  </si>
  <si>
    <t>SaraCoats@montrose-env.com</t>
  </si>
  <si>
    <t>Coats</t>
  </si>
  <si>
    <t>DF071D82672104C60A495E21@038d2aa263c9deeb495fea.e</t>
  </si>
  <si>
    <t>DanielleSchroeder@montrose-env.com</t>
  </si>
  <si>
    <t>Schroeder</t>
  </si>
  <si>
    <t>E2F91D9F672104C70A495FAD@038d2aa263c9deeb495fea.e</t>
  </si>
  <si>
    <t>nokessler@montrose-env.com</t>
  </si>
  <si>
    <t>E1F51D9867211A7B0A495CC7@038d2aa263c9deeb495fea.e</t>
  </si>
  <si>
    <t>AseRudbeck@ect2.com</t>
  </si>
  <si>
    <t>Aase</t>
  </si>
  <si>
    <t>Rudbeck</t>
  </si>
  <si>
    <t>00A61D9B6721F3FB0A495FE4@038d2aa263c9deeb495fea.e</t>
  </si>
  <si>
    <t>EUR - ECT2 - OH - Finance</t>
  </si>
  <si>
    <t>KristineBoardman@montrose-env.com</t>
  </si>
  <si>
    <t>Kristine</t>
  </si>
  <si>
    <t>Boardman</t>
  </si>
  <si>
    <t>08BD1DC467226AB90A495E9B@038d2aa263c9deeb495fea.e</t>
  </si>
  <si>
    <t>sjwegman@montrose-env.com</t>
  </si>
  <si>
    <t>Wegman</t>
  </si>
  <si>
    <t>0E831DBF672274A10A495CBD@038d2aa263c9deeb495fea.e</t>
  </si>
  <si>
    <t>HaydenJudy@montrose-env.com</t>
  </si>
  <si>
    <t>0B621DC4672275E60A495E9B@038d2aa263c9deeb495fea.e</t>
  </si>
  <si>
    <t>SusannahKiteck@montrose-env.com</t>
  </si>
  <si>
    <t>Susannah</t>
  </si>
  <si>
    <t>Kiteck</t>
  </si>
  <si>
    <t>162F1D75672285810A495E88@038d2aa263c9deeb495fea.e</t>
  </si>
  <si>
    <t>ElijahGray@montrose-env.com</t>
  </si>
  <si>
    <t>Elijah</t>
  </si>
  <si>
    <t>Gray</t>
  </si>
  <si>
    <t>315E1D7B6723BD4D0A495C96@038d2aa263c9deeb495fea.e</t>
  </si>
  <si>
    <t>BethHinchliffe@montrose-env.com</t>
  </si>
  <si>
    <t>bethhinchliffe@montrose-env.com</t>
  </si>
  <si>
    <t>Hinchliffe</t>
  </si>
  <si>
    <t>55CF1D7C6724FEF20A495EF5@038d2aa263c9deeb495fea.e</t>
  </si>
  <si>
    <t>Default InDesign configuration,Default Photoshop configuration,Default Illustrator configuration</t>
  </si>
  <si>
    <t>USA - Advisory Services - Spirit - G&amp;A</t>
  </si>
  <si>
    <t>InDesign (VIPMP - 99C0A3088A102BD9CB4A),Photoshop (VIPMP - 99C0A3088A102BD9CB4A),Illustrator (VIPMP - 99C0A3088A102BD9CB4A)</t>
  </si>
  <si>
    <t>AmyWall@montrose-env.com</t>
  </si>
  <si>
    <t>Wall</t>
  </si>
  <si>
    <t>AA711D7B67294DC90A495C96@038d2aa263c9deeb495fea.e</t>
  </si>
  <si>
    <t>KatelynTrahan@montrose-env.com</t>
  </si>
  <si>
    <t>Trahan</t>
  </si>
  <si>
    <t>D3CD1D9D672A8E780A495C5E@038d2aa263c9deeb495fea.e</t>
  </si>
  <si>
    <t>JacksonStrobel@montrose-env.com</t>
  </si>
  <si>
    <t>Strobel</t>
  </si>
  <si>
    <t>E8511D81672BA12C0A495CC5@038d2aa263c9deeb495fea.e</t>
  </si>
  <si>
    <t>Maccewill.Yip@enthalpy.com</t>
  </si>
  <si>
    <t>Maccewill</t>
  </si>
  <si>
    <t>Yip</t>
  </si>
  <si>
    <t>F04C1D77672C03060A495EF2@038d2aa263c9deeb495fea.e</t>
  </si>
  <si>
    <t>TaneshaJohnson@montrose-env.com</t>
  </si>
  <si>
    <t>taneshajohnson@montrose-env.com</t>
  </si>
  <si>
    <t>Tanesha</t>
  </si>
  <si>
    <t>0EAD2E0E672DBE400A495EE7@038d2aa263c9deeb495fea.e</t>
  </si>
  <si>
    <t>brhrabcsak@montrose-env.com</t>
  </si>
  <si>
    <t>Brenden</t>
  </si>
  <si>
    <t>Hrabcsak</t>
  </si>
  <si>
    <t>7262587F6732518C0A495E96@038d2aa263c9deeb495fea.e</t>
  </si>
  <si>
    <t>seanhardy@montrose-env.com</t>
  </si>
  <si>
    <t>Hardy</t>
  </si>
  <si>
    <t>77147FD867327DC60A495EEA@038d2aa263c9deeb495fea.e</t>
  </si>
  <si>
    <t>megjohnson@montrose-env.com</t>
  </si>
  <si>
    <t>Meghan</t>
  </si>
  <si>
    <t>8FE8269A67335CE00A495FC4@038d2aa263c9deeb495fea.e</t>
  </si>
  <si>
    <t>tweber@montrose-env.com</t>
  </si>
  <si>
    <t>90714EC867335D770A495E33@038d2aa263c9deeb495fea.e</t>
  </si>
  <si>
    <t>USA - Stack - Northeast - G&amp;A</t>
  </si>
  <si>
    <t>BehnazLaFrenz@montrose-env.com</t>
  </si>
  <si>
    <t>Behnaz</t>
  </si>
  <si>
    <t>LaFrenz</t>
  </si>
  <si>
    <t>9CAD1B4C673398430A495FDE@038d2aa263c9deeb495fea.e</t>
  </si>
  <si>
    <t>NicholasEyerman@montrose-env.com</t>
  </si>
  <si>
    <t>Eyerman</t>
  </si>
  <si>
    <t>A0C91EDD6733BBAA0A495CCC@038d2aa263c9deeb495fea.e</t>
  </si>
  <si>
    <t>JaimeBach@montrose-env.com</t>
  </si>
  <si>
    <t>Jaime</t>
  </si>
  <si>
    <t>Bach</t>
  </si>
  <si>
    <t>C7D47C3D6734EF2B0A495EA6@038d2aa263c9deeb495fea.e</t>
  </si>
  <si>
    <t>MatthewLaffey@montrose-env.com</t>
  </si>
  <si>
    <t>Laffey</t>
  </si>
  <si>
    <t>CD61269A673507AC0A495FC4@038d2aa263c9deeb495fea.e</t>
  </si>
  <si>
    <t>willowfantino@montrose-env.com</t>
  </si>
  <si>
    <t>Willow</t>
  </si>
  <si>
    <t>Fantino</t>
  </si>
  <si>
    <t>CB2E6565673512120A495ED9@038d2aa263c9deeb495fea.e</t>
  </si>
  <si>
    <t>KatieJones@montrose-env.com</t>
  </si>
  <si>
    <t>CF24271467353C7E0A495FCF@038d2aa263c9deeb495fea.e</t>
  </si>
  <si>
    <t>TylerStill@montrose-env.com</t>
  </si>
  <si>
    <t>Still</t>
  </si>
  <si>
    <t>E1A42B8D6735ED590A495E88@038d2aa263c9deeb495fea.e</t>
  </si>
  <si>
    <t>SarahRhem@enthalpy.com</t>
  </si>
  <si>
    <t>Rhem</t>
  </si>
  <si>
    <t>E7EA42DE6736110D0A495C99@038d2aa263c9deeb495fea.e</t>
  </si>
  <si>
    <t>ext-ElizabethKoren@montrose-env.com</t>
  </si>
  <si>
    <t>ext-elizabethkoren@montrose-env.com</t>
  </si>
  <si>
    <t>Korenblat</t>
  </si>
  <si>
    <t>72281D90673B54CC0A495EFD@038d2aa263c9deeb495fea.e</t>
  </si>
  <si>
    <t>frstach@montrose-env.com</t>
  </si>
  <si>
    <t>Francisco</t>
  </si>
  <si>
    <t>Stach</t>
  </si>
  <si>
    <t>77821E5D673B6E450A495C33@038d2aa263c9deeb495fea.e</t>
  </si>
  <si>
    <t>JosephNicosia@montrose-env.com</t>
  </si>
  <si>
    <t>Nicosia</t>
  </si>
  <si>
    <t>7D3F1E58673B92F00A495CC4@038d2aa263c9deeb495fea.e</t>
  </si>
  <si>
    <t>abeldhose@montrose-env.com</t>
  </si>
  <si>
    <t>Abin</t>
  </si>
  <si>
    <t>Eldhose</t>
  </si>
  <si>
    <t>7D3B1D90673BAFA00A495EFD@038d2aa263c9deeb495fea.e</t>
  </si>
  <si>
    <t>alpaterson@montrose-env.com</t>
  </si>
  <si>
    <t>Paterson</t>
  </si>
  <si>
    <t>7B151DCC673BAFA10A495C0D@038d2aa263c9deeb495fea.e</t>
  </si>
  <si>
    <t>camorrison@montrose-env.com</t>
  </si>
  <si>
    <t>Carter</t>
  </si>
  <si>
    <t>7E7F1E84673BAFA10A495CF1@038d2aa263c9deeb495fea.e</t>
  </si>
  <si>
    <t>crmackenzie@montrose-env.com</t>
  </si>
  <si>
    <t>Mackenzie</t>
  </si>
  <si>
    <t>7BAD1E64673BAFA10A495C8F@038d2aa263c9deeb495fea.e</t>
  </si>
  <si>
    <t>saawad@montrose-env.com</t>
  </si>
  <si>
    <t>Sam</t>
  </si>
  <si>
    <t>Awad</t>
  </si>
  <si>
    <t>7C021E63673BAFA20A495E8C@038d2aa263c9deeb495fea.e</t>
  </si>
  <si>
    <t>miglackin@montrose-env.com</t>
  </si>
  <si>
    <t>Glackin</t>
  </si>
  <si>
    <t>7E1B1E55673BAFA30A495C85@038d2aa263c9deeb495fea.e</t>
  </si>
  <si>
    <t>SpencerWilson@montrose-env.com</t>
  </si>
  <si>
    <t>AA7B1E6F673D78C50A495FBF@038d2aa263c9deeb495fea.e</t>
  </si>
  <si>
    <t>sagozdor@montrose-env.com</t>
  </si>
  <si>
    <t>Gozdor</t>
  </si>
  <si>
    <t>BFB31E82673E01590A495FA2@038d2aa263c9deeb495fea.e</t>
  </si>
  <si>
    <t>CloeeGrainger@montrose-env.com</t>
  </si>
  <si>
    <t>Cloee</t>
  </si>
  <si>
    <t>Grainger</t>
  </si>
  <si>
    <t>C3771E5D673E26A80A495E09@038d2aa263c9deeb495fea.e</t>
  </si>
  <si>
    <t>anthonymorelan@montrose-env.com</t>
  </si>
  <si>
    <t>Morelan</t>
  </si>
  <si>
    <t>CCC21DAA673E407C0A495C10@038d2aa263c9deeb495fea.e</t>
  </si>
  <si>
    <t>RussellTrutane@montrose-env.com</t>
  </si>
  <si>
    <t>russelltrutane@montrose-env.com</t>
  </si>
  <si>
    <t>Russell</t>
  </si>
  <si>
    <t>Trutane</t>
  </si>
  <si>
    <t>C67F1E7F673E41390A495EB3@038d2aa263c9deeb495fea.e</t>
  </si>
  <si>
    <t>lgoodman@montrose-env.com</t>
  </si>
  <si>
    <t>Goodman</t>
  </si>
  <si>
    <t>C5321E88673E41890A495CDD@038d2aa263c9deeb495fea.e</t>
  </si>
  <si>
    <t>HannahSpiegel@montrose-env.com</t>
  </si>
  <si>
    <t>Hannah</t>
  </si>
  <si>
    <t>Spiegel</t>
  </si>
  <si>
    <t>CA381E8A673E4A3F0A495C65@038d2aa263c9deeb495fea.e</t>
  </si>
  <si>
    <t>dhahangama@montrose-env.com</t>
  </si>
  <si>
    <t>Dasni</t>
  </si>
  <si>
    <t>Ahangama</t>
  </si>
  <si>
    <t>03BE1D8C673E76B60A495FED@038d2aa263c9deeb495fea.e</t>
  </si>
  <si>
    <t>tstrefiak@montrose-env.com</t>
  </si>
  <si>
    <t>Tobey</t>
  </si>
  <si>
    <t>19D11D8A673F43F40A495C4B@038d2aa263c9deeb495fea.e</t>
  </si>
  <si>
    <t>CAN - Air Quality - OH - Finance</t>
  </si>
  <si>
    <t>SaraCaudle@montrose-env.com</t>
  </si>
  <si>
    <t>Caudle</t>
  </si>
  <si>
    <t>B1911D8A6744D9360A495C4B@038d2aa263c9deeb495fea.e</t>
  </si>
  <si>
    <t>BoseHillin@montrose-env.com</t>
  </si>
  <si>
    <t>Bose</t>
  </si>
  <si>
    <t>Hillin</t>
  </si>
  <si>
    <t>D2251D8B6745D0260A495E4D@038d2aa263c9deeb495fea.e</t>
  </si>
  <si>
    <t>YolandaDeAnda@montrose-env.com</t>
  </si>
  <si>
    <t>Yolanda</t>
  </si>
  <si>
    <t>DeAnda</t>
  </si>
  <si>
    <t>E3321D8667460B730A495C27@038d2aa263c9deeb495fea.e</t>
  </si>
  <si>
    <t>DavidRamirez@montrose-env.com</t>
  </si>
  <si>
    <t>Ramirez</t>
  </si>
  <si>
    <t>E2FB1DB367460BD60A495F8F@038d2aa263c9deeb495fea.e</t>
  </si>
  <si>
    <t>ScottWilliamson@montrose-env.com</t>
  </si>
  <si>
    <t>DFF31DB267460FCB0A495E6D@038d2aa263c9deeb495fea.e</t>
  </si>
  <si>
    <t>JessicaWalsh@montrose-env.com</t>
  </si>
  <si>
    <t>DB251D8D6746146C0A495C68@038d2aa263c9deeb495fea.e</t>
  </si>
  <si>
    <t>CatherineMessecar@enthalpy.com</t>
  </si>
  <si>
    <t>Catherine</t>
  </si>
  <si>
    <t>Messecar</t>
  </si>
  <si>
    <t>DF231DA6674626FF0A495FEB@038d2aa263c9deeb495fea.e</t>
  </si>
  <si>
    <t>Zubeda.Taj@enthalpy.com</t>
  </si>
  <si>
    <t>Zubeda</t>
  </si>
  <si>
    <t>Taj</t>
  </si>
  <si>
    <t>E7291EEB6746336C0A495E4E@038d2aa263c9deeb495fea.e</t>
  </si>
  <si>
    <t>fbarton@montrose-env.com</t>
  </si>
  <si>
    <t>C46F1D88674DF96C0A495E5C@038d2aa263c9deeb495fea.e</t>
  </si>
  <si>
    <t>MikhailDereviankin@montrose-env.com</t>
  </si>
  <si>
    <t>mikedereviankin@montrose-env.com</t>
  </si>
  <si>
    <t>Dereviankin</t>
  </si>
  <si>
    <t>C45C1D8D674E18170A495C84@038d2aa263c9deeb495fea.e</t>
  </si>
  <si>
    <t>ameliajensen@enthalpy.com</t>
  </si>
  <si>
    <t>CCEE1D8E674E32760A495E8A@038d2aa263c9deeb495fea.e</t>
  </si>
  <si>
    <t>USA - Env Lab - Denver - Operations</t>
  </si>
  <si>
    <t>RichieBlessing@montrose-env.com</t>
  </si>
  <si>
    <t>Richie</t>
  </si>
  <si>
    <t>Blessing</t>
  </si>
  <si>
    <t>FC4C1D84674F4ECB0A495C76@038d2aa263c9deeb495fea.e</t>
  </si>
  <si>
    <t>joszekel@montrose-env.com</t>
  </si>
  <si>
    <t>Szekel</t>
  </si>
  <si>
    <t>035E1D86674FAB820A495E4C@038d2aa263c9deeb495fea.e</t>
  </si>
  <si>
    <t>USA - Corp - M&amp;A</t>
  </si>
  <si>
    <t>MadeleneLockner@montrose-env.com</t>
  </si>
  <si>
    <t>madelenelockner@montrose-env.com</t>
  </si>
  <si>
    <t>Madelene</t>
  </si>
  <si>
    <t>Lockner</t>
  </si>
  <si>
    <t>4CB61DA86751E78B0A495E91@038d2aa263c9deeb495fea.e</t>
  </si>
  <si>
    <t>joe.espinosa@enthalpy.com</t>
  </si>
  <si>
    <t>Espinosa</t>
  </si>
  <si>
    <t>5F8B1D92675215A70A495E17@038d2aa263c9deeb495fea.e</t>
  </si>
  <si>
    <t>JonathanAlker@montrose-env.com</t>
  </si>
  <si>
    <t>jonathanalker@montrose-env.com</t>
  </si>
  <si>
    <t>Alker</t>
  </si>
  <si>
    <t>2C671E72675358210A495E2E@038d2aa263c9deeb495fea.e</t>
  </si>
  <si>
    <t>LindseyJackson@montrose-env.com</t>
  </si>
  <si>
    <t>2B141E95675363640A495F84@038d2aa263c9deeb495fea.e</t>
  </si>
  <si>
    <t>TamelaMiller@montrose-env.com</t>
  </si>
  <si>
    <t>Tamela</t>
  </si>
  <si>
    <t>D1781E756758BB7B0A495FA4@038d2aa263c9deeb495fea.e</t>
  </si>
  <si>
    <t>alexisnguyen@montrose-env.com</t>
  </si>
  <si>
    <t>F5A71E776759CCEA0A495FFD@038d2aa263c9deeb495fea.e</t>
  </si>
  <si>
    <t>RachelCarrara@montrose-env.com</t>
  </si>
  <si>
    <t>rachelcarrara@montrose-env.com</t>
  </si>
  <si>
    <t>Carrara</t>
  </si>
  <si>
    <t>FCB21E976759FB660A495FE7@038d2aa263c9deeb495fea.e</t>
  </si>
  <si>
    <t>NoahWallick@montrose-env.com</t>
  </si>
  <si>
    <t>Wallick</t>
  </si>
  <si>
    <t>03321E76675A02320A495C2E@038d2aa263c9deeb495fea.e</t>
  </si>
  <si>
    <t>RachelBryant@montrose-env.com</t>
  </si>
  <si>
    <t>Rachel Bryant</t>
  </si>
  <si>
    <t>4A1A1E93675C4D990A495F8A@038d2aa263c9deeb495fea.e</t>
  </si>
  <si>
    <t>PatrickLaine@montrose-env.com</t>
  </si>
  <si>
    <t>Laine</t>
  </si>
  <si>
    <t>650D1E76676583D40A495FD0@038d2aa263c9deeb495fea.e</t>
  </si>
  <si>
    <t>TammyHovey@montrose-env.com</t>
  </si>
  <si>
    <t>Hovey</t>
  </si>
  <si>
    <t>D5D71E77676AB0FF0A495CBD@038d2aa263c9deeb495fea.e</t>
  </si>
  <si>
    <t>JordanBessent@montrose-env.com</t>
  </si>
  <si>
    <t>Bessent</t>
  </si>
  <si>
    <t>E0E51E76676AE38B0A495FD0@038d2aa263c9deeb495fea.e</t>
  </si>
  <si>
    <t>JeffreyFinken@montrose-env.com</t>
  </si>
  <si>
    <t>Finken</t>
  </si>
  <si>
    <t>1D0D1E80676D92210A495CD3@038d2aa263c9deeb495fea.e</t>
  </si>
  <si>
    <t>SandraWenger@montrose-env.com</t>
  </si>
  <si>
    <t>Wenger</t>
  </si>
  <si>
    <t>1F561E72676D93C90A495E2E@038d2aa263c9deeb495fea.e</t>
  </si>
  <si>
    <t>cam.pham@enthalpy.com</t>
  </si>
  <si>
    <t>Cam</t>
  </si>
  <si>
    <t>Pham</t>
  </si>
  <si>
    <t>16FB1E75676D96A20A495E9B@038d2aa263c9deeb495fea.e</t>
  </si>
  <si>
    <t>HaleySpencer@montrose-env.com</t>
  </si>
  <si>
    <t>Haley</t>
  </si>
  <si>
    <t>165D1E80676DBE870A495E6A@038d2aa263c9deeb495fea.e</t>
  </si>
  <si>
    <t>USA - Environmental Consulting - Central - Operations</t>
  </si>
  <si>
    <t>enoczuniga@montrose-env.com</t>
  </si>
  <si>
    <t>Enoc</t>
  </si>
  <si>
    <t>39CD1E6E676EFA4D0A495E24@038d2aa263c9deeb495fea.e</t>
  </si>
  <si>
    <t>PenelopeMendoza@montrose-env.com</t>
  </si>
  <si>
    <t>Penelope</t>
  </si>
  <si>
    <t>8F771E736773094A0A495F89@038d2aa263c9deeb495fea.e</t>
  </si>
  <si>
    <t>OliviaWoker@montrose-env.com</t>
  </si>
  <si>
    <t>Woker</t>
  </si>
  <si>
    <t>9F691E796773DF830A495CDE@038d2aa263c9deeb495fea.e</t>
  </si>
  <si>
    <t>PaxtonDayton@montrose-env.com</t>
  </si>
  <si>
    <t>Paxton</t>
  </si>
  <si>
    <t>Dayton</t>
  </si>
  <si>
    <t>A41B1EA06773E3C00A495CF3@038d2aa263c9deeb495fea.e</t>
  </si>
  <si>
    <t>timothybuchanan@enthalpy.com</t>
  </si>
  <si>
    <t>Timothy</t>
  </si>
  <si>
    <t>Buchanan</t>
  </si>
  <si>
    <t>A5491E97677421BB0A495FE7@038d2aa263c9deeb495fea.e</t>
  </si>
  <si>
    <t>SarahKrebsbach@montrose-env.com</t>
  </si>
  <si>
    <t>Krebsbach</t>
  </si>
  <si>
    <t>F65E1EA067771F460A495CF3@038d2aa263c9deeb495fea.e</t>
  </si>
  <si>
    <t>MonicaGonzalez@montrose-env.com</t>
  </si>
  <si>
    <t>monicagonzalez@montrose-env.com</t>
  </si>
  <si>
    <t>463C4FFD6777609F0A495F9B@038d2aa263c9deeb495fea.e</t>
  </si>
  <si>
    <t>eleveland@montrose-env.com</t>
  </si>
  <si>
    <t>Ellen</t>
  </si>
  <si>
    <t>Eveland</t>
  </si>
  <si>
    <t>373E1E95677AE2470A495EDF@038d2aa263c9deeb495fea.e</t>
  </si>
  <si>
    <t>USA - Environmental Consulting - Tampa - G&amp;A</t>
  </si>
  <si>
    <t>AlanMiller@montrose-env.com</t>
  </si>
  <si>
    <t>6CFE1EA0677C081F0A495CF3@038d2aa263c9deeb495fea.e</t>
  </si>
  <si>
    <t>DavinderSingh@montrose-env.com</t>
  </si>
  <si>
    <t>Davinder</t>
  </si>
  <si>
    <t>Singh</t>
  </si>
  <si>
    <t>6A091EB6677C1CAC0A495FC3@038d2aa263c9deeb495fea.e</t>
  </si>
  <si>
    <t>CarolynBrown@montrose-env.com</t>
  </si>
  <si>
    <t>Carolyn</t>
  </si>
  <si>
    <t>671A1ED6677C48970A495FBB@038d2aa263c9deeb495fea.e</t>
  </si>
  <si>
    <t>MichaelBarrientez@montrose-env.com</t>
  </si>
  <si>
    <t>Barrientez</t>
  </si>
  <si>
    <t>67041E7D677C5A1E0A495E78@038d2aa263c9deeb495fea.e</t>
  </si>
  <si>
    <t>serubalcava@montrose-env.com</t>
  </si>
  <si>
    <t>Rubalcava</t>
  </si>
  <si>
    <t>A35E1E77677DFEF00A495C2C@038d2aa263c9deeb495fea.e</t>
  </si>
  <si>
    <t>TomLyons@montrose-env.com</t>
  </si>
  <si>
    <t>C40C1E95677EE0B30A495F84@038d2aa263c9deeb495fea.e</t>
  </si>
  <si>
    <t>angiraud@montrose-env.com</t>
  </si>
  <si>
    <t>Angelique</t>
  </si>
  <si>
    <t>Giraud</t>
  </si>
  <si>
    <t>1B1D1ED9677FEFC50A495EE7@038d2aa263c9deeb495fea.e</t>
  </si>
  <si>
    <t>AlexisAnderson@montrose-env.com</t>
  </si>
  <si>
    <t>23661F09678003040A495EE6@038d2aa263c9deeb495fea.e</t>
  </si>
  <si>
    <t>kabolin@montrose-env.com</t>
  </si>
  <si>
    <t>Bolin</t>
  </si>
  <si>
    <t>21F81F1467800EA90A495F9C@038d2aa263c9deeb495fea.e</t>
  </si>
  <si>
    <t>KatherineGotlinger@enthalpy.com</t>
  </si>
  <si>
    <t>Gottlinger</t>
  </si>
  <si>
    <t>24AA1EDD678011530A495FC5@038d2aa263c9deeb495fea.e</t>
  </si>
  <si>
    <t>MiekoTakeshita@montrose-env.com</t>
  </si>
  <si>
    <t>Mieko</t>
  </si>
  <si>
    <t>Takeshita</t>
  </si>
  <si>
    <t>54ED1F2B6781BB210A495FC9@038d2aa263c9deeb495fea.e</t>
  </si>
  <si>
    <t>LoganHamilton@montrose-env.com</t>
  </si>
  <si>
    <t>Logan</t>
  </si>
  <si>
    <t>756A1F196782F9820A495E11@038d2aa263c9deeb495fea.e</t>
  </si>
  <si>
    <t>JAREDGABBARD@montrose-env.com</t>
  </si>
  <si>
    <t>jaredgabbard@montrose-env.com</t>
  </si>
  <si>
    <t>JARED</t>
  </si>
  <si>
    <t>GABBARD</t>
  </si>
  <si>
    <t>C0211F0F678586380A495FFA@038d2aa263c9deeb495fea.e</t>
  </si>
  <si>
    <t>GraceAquino@montrose-env.com</t>
  </si>
  <si>
    <t>Grace</t>
  </si>
  <si>
    <t>Aquino</t>
  </si>
  <si>
    <t>BFC51F536785938D0A495E44@038d2aa263c9deeb495fea.e</t>
  </si>
  <si>
    <t>MikeSmith@montrose-env.com</t>
  </si>
  <si>
    <t>BFA21F0F67859B930A495C53@038d2aa263c9deeb495fea.e</t>
  </si>
  <si>
    <t>RichardVercammen@ect2.com</t>
  </si>
  <si>
    <t>Vercammen</t>
  </si>
  <si>
    <t>C7211F166785B5520A495CB7@038d2aa263c9deeb495fea.e</t>
  </si>
  <si>
    <t>AlexandraMajors@montrose-env.com</t>
  </si>
  <si>
    <t>Majors</t>
  </si>
  <si>
    <t>E51F1F416786AF580A495C0E@038d2aa263c9deeb495fea.e</t>
  </si>
  <si>
    <t>TysionnaDuplechain@montrose-env.com</t>
  </si>
  <si>
    <t>Tysionna</t>
  </si>
  <si>
    <t>Duplechain</t>
  </si>
  <si>
    <t>EA921F176786C1130A495C37@038d2aa263c9deeb495fea.e</t>
  </si>
  <si>
    <t>kyreilly@montrose-env.com</t>
  </si>
  <si>
    <t>Reilly</t>
  </si>
  <si>
    <t>F1FA1F3C67871F3A0A495FBA@038d2aa263c9deeb495fea.e</t>
  </si>
  <si>
    <t>AmySimko@enthalpy.com</t>
  </si>
  <si>
    <t>Simko</t>
  </si>
  <si>
    <t>12861F0F6787EAA60A495FFA@038d2aa263c9deeb495fea.e</t>
  </si>
  <si>
    <t>olhertzog@montrose-env.com</t>
  </si>
  <si>
    <t>Hertzog</t>
  </si>
  <si>
    <t>25CC1E2B67896FAA0A495F91@038d2aa263c9deeb495fea.e</t>
  </si>
  <si>
    <t>ElizabethKoren@montrose-env.com</t>
  </si>
  <si>
    <t>3F2A1E1B678A6DF90A495E4B@038d2aa263c9deeb495fea.e</t>
  </si>
  <si>
    <t>phtrue@ect2.com</t>
  </si>
  <si>
    <t>43571E1C678A8F900A495EBE@038d2aa263c9deeb495fea.e</t>
  </si>
  <si>
    <t>OscarBeckman@enthalpy.com</t>
  </si>
  <si>
    <t>Oscar</t>
  </si>
  <si>
    <t>Beckman</t>
  </si>
  <si>
    <t>4BFF1E40678ADEDE0A495EF6@038d2aa263c9deeb495fea.e</t>
  </si>
  <si>
    <t>JohnSanislo@montrose-env.com</t>
  </si>
  <si>
    <t>John Sanislo</t>
  </si>
  <si>
    <t>D1C41E43679006C60A495FB3@038d2aa263c9deeb495fea.e</t>
  </si>
  <si>
    <t>HunterCollins@montrose-env.com</t>
  </si>
  <si>
    <t>Collins</t>
  </si>
  <si>
    <t>1DFC1E46679243050A495CEF@038d2aa263c9deeb495fea.e</t>
  </si>
  <si>
    <t>MarleeHaralson@montrose-env.com</t>
  </si>
  <si>
    <t>Marlee</t>
  </si>
  <si>
    <t>Haralson</t>
  </si>
  <si>
    <t>288F1E1E67928C680A495FF7@038d2aa263c9deeb495fea.e</t>
  </si>
  <si>
    <t>Default Acrobat Standard DC configuration,Default All Apps - Edition 4 configuration</t>
  </si>
  <si>
    <t>Acrobat Standard DC (VIPMP - 99C0A3088A102BD9CB4A),All Apps - Edition 4 (VIPMP - 99C0A3088A102BD9CB4A)</t>
  </si>
  <si>
    <t>emmaheathersouders@enthalpy.com</t>
  </si>
  <si>
    <t>Heather-Souders</t>
  </si>
  <si>
    <t>B6F91E486797D3610A495E88@038d2aa263c9deeb495fea.e</t>
  </si>
  <si>
    <t>RyanOSullivan@montrose-env.com</t>
  </si>
  <si>
    <t>OSullivan</t>
  </si>
  <si>
    <t>C3AA1E1F679827880A495C82@038d2aa263c9deeb495fea.e</t>
  </si>
  <si>
    <t>AbigailRobinson@montrose-env.com</t>
  </si>
  <si>
    <t>abigailrobinson@montrose-env.com</t>
  </si>
  <si>
    <t>F3ED1E19679964360A495E53@038d2aa263c9deeb495fea.e</t>
  </si>
  <si>
    <t>embradford@montrose-env.com</t>
  </si>
  <si>
    <t>0E5E1E29679A7B370A495E80@038d2aa263c9deeb495fea.e</t>
  </si>
  <si>
    <t>psanjuan@montrose-env.com</t>
  </si>
  <si>
    <t>Pedro</t>
  </si>
  <si>
    <t>Sanjuan</t>
  </si>
  <si>
    <t>4B0C1E26679BE7050A495E38@038d2aa263c9deeb495fea.e</t>
  </si>
  <si>
    <t>JosephBenz@montrose-env.com</t>
  </si>
  <si>
    <t>Benz</t>
  </si>
  <si>
    <t>2F431F06679D52860A495E21@038d2aa263c9deeb495fea.e</t>
  </si>
  <si>
    <t>ketremain@montrose-env.com</t>
  </si>
  <si>
    <t>Kendra</t>
  </si>
  <si>
    <t>Tremain</t>
  </si>
  <si>
    <t>8B2D1EE467A11E910A495E99@038d2aa263c9deeb495fea.e</t>
  </si>
  <si>
    <t>robinson@2dot-consulting.com</t>
  </si>
  <si>
    <t>2dot-consulting.com</t>
  </si>
  <si>
    <t>8BF11F1467A11F5A0A495CD5@038d2aa263c9deeb495fea.e</t>
  </si>
  <si>
    <t>rohuijsman@montrose-env.com</t>
  </si>
  <si>
    <t>ronhuijsman@montrose-env.com</t>
  </si>
  <si>
    <t>Huijsman</t>
  </si>
  <si>
    <t>A8881ED367A20D8A0A495E46@038d2aa263c9deeb495fea.e</t>
  </si>
  <si>
    <t>semaher@montrose-env.com</t>
  </si>
  <si>
    <t>Maher</t>
  </si>
  <si>
    <t>B6F01E2767A25CD80A495FF1@038d2aa263c9deeb495fea.e</t>
  </si>
  <si>
    <t>MichaelCalamese@montrose-env.com</t>
  </si>
  <si>
    <t>Calamese</t>
  </si>
  <si>
    <t>E3571E2767A3CFA60A495FF1@038d2aa263c9deeb495fea.e</t>
  </si>
  <si>
    <t>CarrieMcGowan@montrose-env.com</t>
  </si>
  <si>
    <t>McGowan</t>
  </si>
  <si>
    <t>33991EE467A643040A495E99@038d2aa263c9deeb495fea.e</t>
  </si>
  <si>
    <t>syuchs@montrose-env.com</t>
  </si>
  <si>
    <t>Yuchs</t>
  </si>
  <si>
    <t>A6C21EE267AA5B7D0A495FBE@038d2aa263c9deeb495fea.e</t>
  </si>
  <si>
    <t>jostanley@montrose-env.com</t>
  </si>
  <si>
    <t>C7331E2167AB5B350A495E3A@038d2aa263c9deeb495fea.e</t>
  </si>
  <si>
    <t>brianna.berry@enthalpy.com</t>
  </si>
  <si>
    <t>D4271EDA67AB9CCE0A495F9C@038d2aa263c9deeb495fea.e</t>
  </si>
  <si>
    <t>EnekoEtxauriOtegi@enthalpy.com</t>
  </si>
  <si>
    <t>enekoetxauriotegi@enthalpy.com</t>
  </si>
  <si>
    <t>Eneko</t>
  </si>
  <si>
    <t>Etxauri-Otegi</t>
  </si>
  <si>
    <t>D1701EE567AB9CCE0A495E22@038d2aa263c9deeb495fea.e</t>
  </si>
  <si>
    <t>conor.toomey@enthalpy.com</t>
  </si>
  <si>
    <t>Conor</t>
  </si>
  <si>
    <t>Toomey</t>
  </si>
  <si>
    <t>D10E1EC767AB9CCF0A495C2C@038d2aa263c9deeb495fea.e</t>
  </si>
  <si>
    <t>lawebb@montrose-env.com</t>
  </si>
  <si>
    <t>Laurel</t>
  </si>
  <si>
    <t>D37B1F0967ABB7010A495EDF@038d2aa263c9deeb495fea.e</t>
  </si>
  <si>
    <t>SambaGanne@montrose-env.com</t>
  </si>
  <si>
    <t>sambaganne@montrose-env.com</t>
  </si>
  <si>
    <t>Samba</t>
  </si>
  <si>
    <t>Ganne</t>
  </si>
  <si>
    <t>E42D1EDD67AC318D0A495CF9@038d2aa263c9deeb495fea.e</t>
  </si>
  <si>
    <t>Default Acrobat Pro configuration,Default Acrobat Standard DC configuration</t>
  </si>
  <si>
    <t>Acrobat Pro (VIPMP - 99C0A3088A102BD9CB4A),Acrobat Standard DC (VIPMP - 99C0A3088A102BD9CB4A)</t>
  </si>
  <si>
    <t>AndrewLarson@montrose-env.com</t>
  </si>
  <si>
    <t>andrewlarson@montrose-env.com</t>
  </si>
  <si>
    <t>FAA31EEE67ACD9270A495CF4@038d2aa263c9deeb495fea.e</t>
  </si>
  <si>
    <t>LindsayWunsch@montrose-env.com</t>
  </si>
  <si>
    <t>Wunsch</t>
  </si>
  <si>
    <t>FD1E1EE567ACDA7B0A495FDE@038d2aa263c9deeb495fea.e</t>
  </si>
  <si>
    <t>jusneesby@ect2.com</t>
  </si>
  <si>
    <t>Jude</t>
  </si>
  <si>
    <t>Sneesby</t>
  </si>
  <si>
    <t>FB4C1ED967ACFA510A495C58@038d2aa263c9deeb495fea.e</t>
  </si>
  <si>
    <t>AUS - ECT2 - OH - Safety</t>
  </si>
  <si>
    <t>LukasSteirer@montrose-env.com</t>
  </si>
  <si>
    <t>Lukas</t>
  </si>
  <si>
    <t>Steirer</t>
  </si>
  <si>
    <t>23731E7A67AE3DE10A495EAC@038d2aa263c9deeb495fea.e</t>
  </si>
  <si>
    <t>JoeyRoberts@montrose-env.com</t>
  </si>
  <si>
    <t>Joey</t>
  </si>
  <si>
    <t>4FB81E7367AF6BAC0A495EBC@038d2aa263c9deeb495fea.e</t>
  </si>
  <si>
    <t>meagan.morgan@enthalpy.com</t>
  </si>
  <si>
    <t>Meagan</t>
  </si>
  <si>
    <t>Morgan</t>
  </si>
  <si>
    <t>601C1E7A67B011D40A495FC2@038d2aa263c9deeb495fea.e</t>
  </si>
  <si>
    <t>KirkBusby@montrose-env.com</t>
  </si>
  <si>
    <t>Busby</t>
  </si>
  <si>
    <t>DC951E9B67B468F70A495F92@038d2aa263c9deeb495fea.e</t>
  </si>
  <si>
    <t>MichaelCampbell@montrose-env.com</t>
  </si>
  <si>
    <t>F0F1200867B4EE430A495F95@038d2aa263c9deeb495fea.e</t>
  </si>
  <si>
    <t>ColtManseth@montrose-env.com</t>
  </si>
  <si>
    <t>Colt</t>
  </si>
  <si>
    <t>Manseth</t>
  </si>
  <si>
    <t>F0EF1E7567B4EE900A495CBB@038d2aa263c9deeb495fea.e</t>
  </si>
  <si>
    <t>csanchez@montrose-env.com</t>
  </si>
  <si>
    <t>Candy</t>
  </si>
  <si>
    <t>EE221E7767B4F0880A495C64@038d2aa263c9deeb495fea.e</t>
  </si>
  <si>
    <t>rchristy@montrose-env.com</t>
  </si>
  <si>
    <t>EDE31E7267B4FFE50A495FB3@038d2aa263c9deeb495fea.e</t>
  </si>
  <si>
    <t>bmulherin@montrose-env.com</t>
  </si>
  <si>
    <t>Mulherin</t>
  </si>
  <si>
    <t>CA</t>
  </si>
  <si>
    <t>F92D1E7C67B562BE0A495CE9@038d2aa263c9deeb495fea.e</t>
  </si>
  <si>
    <t>zthudecek@montrose-env.com</t>
  </si>
  <si>
    <t>Hudecek</t>
  </si>
  <si>
    <t>F7921E8267B562BF0A495FC3@038d2aa263c9deeb495fea.e</t>
  </si>
  <si>
    <t>jleitel@montrose-env.com</t>
  </si>
  <si>
    <t>Leitel</t>
  </si>
  <si>
    <t>F7751E8367B562C00A495CD3@038d2aa263c9deeb495fea.e</t>
  </si>
  <si>
    <t>trleibel@montrose-env.com</t>
  </si>
  <si>
    <t>Tracey</t>
  </si>
  <si>
    <t>Leibel</t>
  </si>
  <si>
    <t>FB961EA367B562C60A495C18@038d2aa263c9deeb495fea.e</t>
  </si>
  <si>
    <t>moshibley@montrose-env.com</t>
  </si>
  <si>
    <t>Shibley</t>
  </si>
  <si>
    <t>FC5B1E9867B562C70A495C24@038d2aa263c9deeb495fea.e</t>
  </si>
  <si>
    <t>inurani@montrose-env.com</t>
  </si>
  <si>
    <t>Imran</t>
  </si>
  <si>
    <t>Nurani</t>
  </si>
  <si>
    <t>F8781E7D67B562C90A495CE6@038d2aa263c9deeb495fea.e</t>
  </si>
  <si>
    <t>ext-aljackson@montrose-env.com</t>
  </si>
  <si>
    <t>Allison</t>
  </si>
  <si>
    <t>F9D61E8067B57A5D0A495E69@038d2aa263c9deeb495fea.e</t>
  </si>
  <si>
    <t>CAN - OGI - G&amp;A</t>
  </si>
  <si>
    <t>kslone@montrose-env.com</t>
  </si>
  <si>
    <t>Slone</t>
  </si>
  <si>
    <t>FDF51E7F67B57A5D0A495CC2@038d2aa263c9deeb495fea.e</t>
  </si>
  <si>
    <t>CAN - Air Quality - OH - Software Development</t>
  </si>
  <si>
    <t>asheffler@montrose-env.com</t>
  </si>
  <si>
    <t>Sheffler</t>
  </si>
  <si>
    <t>FEED1E9E67B57A5E0A495E56@038d2aa263c9deeb495fea.e</t>
  </si>
  <si>
    <t>jtuskin@montrose-env.com</t>
  </si>
  <si>
    <t>Tuskin</t>
  </si>
  <si>
    <t>FEEE1E9E67B57A5E0A495E56@038d2aa263c9deeb495fea.e</t>
  </si>
  <si>
    <t>jtkachuk@montrose-env.com</t>
  </si>
  <si>
    <t>Tkachuk</t>
  </si>
  <si>
    <t>FC6E1E8267B57A5E0A495FD8@038d2aa263c9deeb495fea.e</t>
  </si>
  <si>
    <t>sadipeolu@montrose-env.com</t>
  </si>
  <si>
    <t>Dipeolu</t>
  </si>
  <si>
    <t>000C1E7C67B57A5F0A495C0E@038d2aa263c9deeb495fea.e</t>
  </si>
  <si>
    <t>ersprenger@montrose-env.com</t>
  </si>
  <si>
    <t>Sprenger</t>
  </si>
  <si>
    <t>01EF1E9467B57A5F0A495C39@038d2aa263c9deeb495fea.e</t>
  </si>
  <si>
    <t>RoxanneBumgardner@montrose-env.com</t>
  </si>
  <si>
    <t>Roxanne</t>
  </si>
  <si>
    <t>Bumgardner</t>
  </si>
  <si>
    <t>4B981E7B67B778F60A495E68@038d2aa263c9deeb495fea.e</t>
  </si>
  <si>
    <t>EdaSullivan@montrose-env.com</t>
  </si>
  <si>
    <t>Eda</t>
  </si>
  <si>
    <t>Sullivan</t>
  </si>
  <si>
    <t>42C51E7767B77A6A0A495C62@038d2aa263c9deeb495fea.e</t>
  </si>
  <si>
    <t>NathanBaker@montrose-env.com</t>
  </si>
  <si>
    <t>486A1EA567B77A830A495E24@038d2aa263c9deeb495fea.e</t>
  </si>
  <si>
    <t>JeremyEastburn@montrose-env.com</t>
  </si>
  <si>
    <t>Eastburn</t>
  </si>
  <si>
    <t>C57E1E7967BCA4260A495E08@038d2aa263c9deeb495fea.e</t>
  </si>
  <si>
    <t>kathleenscaturro@montrose-env.com</t>
  </si>
  <si>
    <t>Kathleen</t>
  </si>
  <si>
    <t>Scaturro</t>
  </si>
  <si>
    <t>C6D01E9867BCAFD20A495C24@038d2aa263c9deeb495fea.e</t>
  </si>
  <si>
    <t>JoaquinSchmidt@montrose-env.com</t>
  </si>
  <si>
    <t>Joaquin</t>
  </si>
  <si>
    <t>Schmidt</t>
  </si>
  <si>
    <t>E2F81E7967BDC7BF0A495C81@038d2aa263c9deeb495fea.e</t>
  </si>
  <si>
    <t>VajihaAhmad@montrose-env.com</t>
  </si>
  <si>
    <t>JiaAhmad@montrose-env.com</t>
  </si>
  <si>
    <t>Jia</t>
  </si>
  <si>
    <t>Ahmad</t>
  </si>
  <si>
    <t>F2871E7667BDEBF90A495C82@038d2aa263c9deeb495fea.e</t>
  </si>
  <si>
    <t>MonicaMoreno@montrose-env.com</t>
  </si>
  <si>
    <t>Moreno</t>
  </si>
  <si>
    <t>F8911E7567BE2BC20A495C9F@038d2aa263c9deeb495fea.e</t>
  </si>
  <si>
    <t>DelaneyCrotteau@enthalpy.com</t>
  </si>
  <si>
    <t>Crotteau</t>
  </si>
  <si>
    <t>F6091E7767BE3E400A495EF1@038d2aa263c9deeb495fea.e</t>
  </si>
  <si>
    <t>USA - Env Lab - Richmond - Operations</t>
  </si>
  <si>
    <t>anlambropoulos@montrose-env.com</t>
  </si>
  <si>
    <t>Lambropoulos</t>
  </si>
  <si>
    <t>FC871E7C67BE4D830A495C0B@038d2aa263c9deeb495fea.e</t>
  </si>
  <si>
    <t>mrichards@montrose-env.com</t>
  </si>
  <si>
    <t>Richards</t>
  </si>
  <si>
    <t>4EFA1E8267C0F4020A495FC3@038d2aa263c9deeb495fea.e</t>
  </si>
  <si>
    <t>david.myers@enthalpy.com</t>
  </si>
  <si>
    <t>6FB91E9F67C1D0DA0A495CFD@038d2aa263c9deeb495fea.e</t>
  </si>
  <si>
    <t>karamsey@montrose-env.com</t>
  </si>
  <si>
    <t>Ramsey</t>
  </si>
  <si>
    <t>6C291EDB67C1D4400A495E9A@038d2aa263c9deeb495fea.e</t>
  </si>
  <si>
    <t>kurtfleisher@montrose-env.com</t>
  </si>
  <si>
    <t>Kurt</t>
  </si>
  <si>
    <t>Fleisher</t>
  </si>
  <si>
    <t>70951E7467C222A00A495F8E@038d2aa263c9deeb495fea.e</t>
  </si>
  <si>
    <t>AndrewSchmalfuss@montrose-env.com</t>
  </si>
  <si>
    <t>Schmalfuss</t>
  </si>
  <si>
    <t>29F41E8267C87E390A495FD8@038d2aa263c9deeb495fea.e</t>
  </si>
  <si>
    <t>YasmineFlorent@montrose-env.com</t>
  </si>
  <si>
    <t>Yasmine</t>
  </si>
  <si>
    <t>Florent</t>
  </si>
  <si>
    <t>2C6E1E7867C8806D0A495FD0@038d2aa263c9deeb495fea.e</t>
  </si>
  <si>
    <t>richard.villafania@enthalpy.com</t>
  </si>
  <si>
    <t>Villafania</t>
  </si>
  <si>
    <t>30471EA367C89A720A495C18@038d2aa263c9deeb495fea.e</t>
  </si>
  <si>
    <t>JakeHastings@montrose-env.com</t>
  </si>
  <si>
    <t>Hastings</t>
  </si>
  <si>
    <t>29A51E7E67C8A2BF0A495E91@038d2aa263c9deeb495fea.e</t>
  </si>
  <si>
    <t>JoaquinSchmidt@enthalpy.com</t>
  </si>
  <si>
    <t>5BD81E7E67C9FBCC0A495E91@038d2aa263c9deeb495fea.e</t>
  </si>
  <si>
    <t>katherinehorm@montrose-env.com</t>
  </si>
  <si>
    <t>57871E8367CF0A240A495C6A@038d2aa263c9deeb495fea.e</t>
  </si>
  <si>
    <t>AdeleChism@montrose-env.com</t>
  </si>
  <si>
    <t>adelechism@montrose-env.com</t>
  </si>
  <si>
    <t>Adele</t>
  </si>
  <si>
    <t>Chism</t>
  </si>
  <si>
    <t>583A1EA167CF0FEC0A495C97@038d2aa263c9deeb495fea.e</t>
  </si>
  <si>
    <t>Default Acrobat Pro configuration,Default Photoshop configuration</t>
  </si>
  <si>
    <t>Acrobat Pro (VIPMP - 99C0A3088A102BD9CB4A),Photoshop (VIPMP - 99C0A3088A102BD9CB4A)</t>
  </si>
  <si>
    <t>KellyLyons@montrose-env.com</t>
  </si>
  <si>
    <t>5A661E7B67CF27050A495EBD@038d2aa263c9deeb495fea.e</t>
  </si>
  <si>
    <t>melissa.pena@enthalpy.com</t>
  </si>
  <si>
    <t>59D31EA567CF2C6F0A495ED1@038d2aa263c9deeb495fea.e</t>
  </si>
  <si>
    <t>daniel.ward@enthalpy.com</t>
  </si>
  <si>
    <t>Ward</t>
  </si>
  <si>
    <t>58931F5467CF2D680A495C10@038d2aa263c9deeb495fea.e</t>
  </si>
  <si>
    <t>zaid.padilla@enthalpy.com</t>
  </si>
  <si>
    <t>Zaid</t>
  </si>
  <si>
    <t>Padilla</t>
  </si>
  <si>
    <t>613D1EA567CF6CF30A495ED1@038d2aa263c9deeb495fea.e</t>
  </si>
  <si>
    <t>PaigeBarada@montrose-env.com</t>
  </si>
  <si>
    <t>Paige</t>
  </si>
  <si>
    <t>Barada</t>
  </si>
  <si>
    <t>645A1E7D67CF7BEC0A495FEF@038d2aa263c9deeb495fea.e</t>
  </si>
  <si>
    <t>denisewatkins@montrose-env.com</t>
  </si>
  <si>
    <t>Watkins</t>
  </si>
  <si>
    <t>8A431F7D67D069B50A495EF6@038d2aa263c9deeb495fea.e</t>
  </si>
  <si>
    <t>EthanJahnke@montrose-env.com</t>
  </si>
  <si>
    <t>ethanjahnke@montrose-env.com</t>
  </si>
  <si>
    <t>Ethan</t>
  </si>
  <si>
    <t>Jahnke</t>
  </si>
  <si>
    <t>95B61F5567D0B96A0A495FDB@038d2aa263c9deeb495fea.e</t>
  </si>
  <si>
    <t>RebeccaHouck@enthalpy.com</t>
  </si>
  <si>
    <t>Houck</t>
  </si>
  <si>
    <t>BDCD1E7F67D1E0C60A495C59@038d2aa263c9deeb495fea.e</t>
  </si>
  <si>
    <t>DeandraDeLosSantos@montrose-env.com</t>
  </si>
  <si>
    <t>Deandra</t>
  </si>
  <si>
    <t>De Los Santos</t>
  </si>
  <si>
    <t>E12F1F5B67D32ADC0A495FCA@038d2aa263c9deeb495fea.e</t>
  </si>
  <si>
    <t>USA-CO-Loveland-North Denver Avenue</t>
  </si>
  <si>
    <t>KalaniWhillock@montrose-env.com</t>
  </si>
  <si>
    <t>Kalani</t>
  </si>
  <si>
    <t>Whillock</t>
  </si>
  <si>
    <t>09DD1F7D67D46C0C0A495EF6@038d2aa263c9deeb495fea.e</t>
  </si>
  <si>
    <t>MikaelaGresty@montrose-env.com</t>
  </si>
  <si>
    <t>Mikaela</t>
  </si>
  <si>
    <t>Gresty</t>
  </si>
  <si>
    <t>08ED1F5467D46C9A0A495F9B@038d2aa263c9deeb495fea.e</t>
  </si>
  <si>
    <t>EthanGreen@montrose-env.com</t>
  </si>
  <si>
    <t>0C421F5B67D493950A495EA9@038d2aa263c9deeb495fea.e</t>
  </si>
  <si>
    <t>AmberButler@montrose-env.com</t>
  </si>
  <si>
    <t>112C1F5567D4942E0A495C33@038d2aa263c9deeb495fea.e</t>
  </si>
  <si>
    <t>JackPritchett@montrose-env.com</t>
  </si>
  <si>
    <t>jackpritchett@montrose-env.com</t>
  </si>
  <si>
    <t>Pritchett</t>
  </si>
  <si>
    <t>6A921F7D67D869C30A495FF9@038d2aa263c9deeb495fea.e</t>
  </si>
  <si>
    <t>Albert.Vargas@enthalpy.com</t>
  </si>
  <si>
    <t>albert.vargas@enthalpy.com</t>
  </si>
  <si>
    <t>Albert</t>
  </si>
  <si>
    <t>Vargas</t>
  </si>
  <si>
    <t>6CCF1F7967D86D900A495EA4@038d2aa263c9deeb495fea.e</t>
  </si>
  <si>
    <t>USA - Env Lab - Orange - Sales &amp; Marketing</t>
  </si>
  <si>
    <t>NickCrosthwaite@montrose-env.com</t>
  </si>
  <si>
    <t>Crosthwaite</t>
  </si>
  <si>
    <t>6D181F5467D874550A495F9B@038d2aa263c9deeb495fea.e</t>
  </si>
  <si>
    <t>svincent@montrose-env.ca</t>
  </si>
  <si>
    <t>montrose-env.ca</t>
  </si>
  <si>
    <t>Shanelle</t>
  </si>
  <si>
    <t>9A5A1E7D67D9BF7A0A495EEB@038d2aa263c9deeb495fea.e</t>
  </si>
  <si>
    <t>csinclair@montrose-env.ca</t>
  </si>
  <si>
    <t>Sinclair</t>
  </si>
  <si>
    <t>8F501F8467D9C8EA0A495E5D@038d2aa263c9deeb495fea.e</t>
  </si>
  <si>
    <t>alee@montrose-env.ca</t>
  </si>
  <si>
    <t>98671F5867D9C8EA0A495FCF@038d2aa263c9deeb495fea.e</t>
  </si>
  <si>
    <t>KyleWadley@montrose-env.com</t>
  </si>
  <si>
    <t>Wadley</t>
  </si>
  <si>
    <t>96F01F3B67D9D3140A495CB9@038d2aa263c9deeb495fea.e</t>
  </si>
  <si>
    <t>TroyHughes@montrose-env.com</t>
  </si>
  <si>
    <t>troyhughes@montrose-env.com</t>
  </si>
  <si>
    <t>Troy</t>
  </si>
  <si>
    <t>Hughes</t>
  </si>
  <si>
    <t>B82C1F7567DACA650A495F9E@038d2aa263c9deeb495fea.e</t>
  </si>
  <si>
    <t>Mackenziebell@enthalpy.com</t>
  </si>
  <si>
    <t>mackenziebell@enthalpy.com</t>
  </si>
  <si>
    <t>B6A11F9167DACAD10A495FB4@038d2aa263c9deeb495fea.e</t>
  </si>
  <si>
    <t>KarenMejia@enthalpy.com</t>
  </si>
  <si>
    <t>FE5820D567DCB8A00A495EA7@038d2aa263c9deeb495fea.e</t>
  </si>
  <si>
    <t>JosephVentura@montrose-env.com</t>
  </si>
  <si>
    <t>Ventura</t>
  </si>
  <si>
    <t>97AB1EB467E188C10A495CC0@038d2aa263c9deeb495fea.e</t>
  </si>
  <si>
    <t>KelseyWooldridge@montrose-env.com</t>
  </si>
  <si>
    <t>Wooldridge</t>
  </si>
  <si>
    <t>8DBA1F5B67E18DE70A495FCA@038d2aa263c9deeb495fea.e</t>
  </si>
  <si>
    <t>JaclynLane@montrose-env.com</t>
  </si>
  <si>
    <t>jakilane@montrose-env.com</t>
  </si>
  <si>
    <t>A2CD1EB467E1CDDB0A495CC0@038d2aa263c9deeb495fea.e</t>
  </si>
  <si>
    <t>ShaneVosberg@montrose-env.com</t>
  </si>
  <si>
    <t>Vosberg</t>
  </si>
  <si>
    <t>900E1F5467E1CE790A495C10@038d2aa263c9deeb495fea.e</t>
  </si>
  <si>
    <t>FinlayJohnson@montrose-env.com</t>
  </si>
  <si>
    <t>finnjohnson@montrose-env.com</t>
  </si>
  <si>
    <t>Finlay</t>
  </si>
  <si>
    <t>C2FC1E8067E2C5760A495EEC@038d2aa263c9deeb495fea.e</t>
  </si>
  <si>
    <t>WalterGlenn@montrose-env.com</t>
  </si>
  <si>
    <t>Walter</t>
  </si>
  <si>
    <t>AC901F5567E2C5BB0A495E85@038d2aa263c9deeb495fea.e</t>
  </si>
  <si>
    <t>MichaelOrlando@montrose-env.com</t>
  </si>
  <si>
    <t>Orlando</t>
  </si>
  <si>
    <t>BC481F9167E2FDE20A495FB4@038d2aa263c9deeb495fea.e</t>
  </si>
  <si>
    <t>LillianJohnson@montrose-env.com</t>
  </si>
  <si>
    <t>Lillian</t>
  </si>
  <si>
    <t>C62D1F5A67E301C00A495E10@038d2aa263c9deeb495fea.e</t>
  </si>
  <si>
    <t>USA - MES - COE</t>
  </si>
  <si>
    <t>BrentHarrison@montrose-env.com</t>
  </si>
  <si>
    <t>Brent</t>
  </si>
  <si>
    <t>Harrison</t>
  </si>
  <si>
    <t>C4021F7E67E30BD00A495FAC@038d2aa263c9deeb495fea.e</t>
  </si>
  <si>
    <t>robertogasparini@montrose-env.com</t>
  </si>
  <si>
    <t>Roberto</t>
  </si>
  <si>
    <t>Gasparini</t>
  </si>
  <si>
    <t>F2A81F9A67E44F820A495E3F@038d2aa263c9deeb495fea.e</t>
  </si>
  <si>
    <t>AnellaMcCamy@enthalpy.com</t>
  </si>
  <si>
    <t>anellamccamy@enthalpy.com</t>
  </si>
  <si>
    <t>Anella</t>
  </si>
  <si>
    <t>McCamy</t>
  </si>
  <si>
    <t>1E531F8367E56BA40A495EB7@038d2aa263c9deeb495fea.e</t>
  </si>
  <si>
    <t>KaylaKenyon@enthalpy.com</t>
  </si>
  <si>
    <t>Kenyon</t>
  </si>
  <si>
    <t>1CC01E7A67E577DE0A495CD6@038d2aa263c9deeb495fea.e</t>
  </si>
  <si>
    <t>GarthHesseltine@montrose-env.com</t>
  </si>
  <si>
    <t>Garth</t>
  </si>
  <si>
    <t>Hesseltine</t>
  </si>
  <si>
    <t>213E1F9A67E589DF0A495E3F@038d2aa263c9deeb495fea.e</t>
  </si>
  <si>
    <t>mbierly-farner@montrose-env.com</t>
  </si>
  <si>
    <t>Bierly-Farner</t>
  </si>
  <si>
    <t>BFC51F5867EAD2B20A495CF7@038d2aa263c9deeb495fea.e</t>
  </si>
  <si>
    <t>EmilyArnold@montrose-env.com</t>
  </si>
  <si>
    <t>Arnold</t>
  </si>
  <si>
    <t>BCEC20D567EAE19D0A495EA7@038d2aa263c9deeb495fea.e</t>
  </si>
  <si>
    <t>ZacharyCornejo@montrose-env.com</t>
  </si>
  <si>
    <t>ZACHARYCORNEJO@montrose-env.com</t>
  </si>
  <si>
    <t>Cornejo</t>
  </si>
  <si>
    <t>EF061F7267EBC2660A495C1A@038d2aa263c9deeb495fea.e</t>
  </si>
  <si>
    <t>USA - Environmental Consulting - Oakland - G&amp;A</t>
  </si>
  <si>
    <t>IanSullivan@montrose-env.com</t>
  </si>
  <si>
    <t>ECFC1F5867EBCC470A495C8B@038d2aa263c9deeb495fea.e</t>
  </si>
  <si>
    <t>SabrinaWilliams@enthalpy.com</t>
  </si>
  <si>
    <t>E8CF1E7D67EBEF2A0A495FEF@038d2aa263c9deeb495fea.e</t>
  </si>
  <si>
    <t>mattloftin@montrose-env.com</t>
  </si>
  <si>
    <t>Loftin</t>
  </si>
  <si>
    <t>079E205F67EC347E0A495E4F@038d2aa263c9deeb495fea.e</t>
  </si>
  <si>
    <t>JasonBrowne@montrose-env.com</t>
  </si>
  <si>
    <t>jasonbrowne@montrose-env.com</t>
  </si>
  <si>
    <t>Browne</t>
  </si>
  <si>
    <t>0C38206867EC36A10A495FE5@038d2aa263c9deeb495fea.e</t>
  </si>
  <si>
    <t>NicholasAdams@enthalpy.com</t>
  </si>
  <si>
    <t>0F3B218E67EC44510A495FCC@038d2aa263c9deeb495fea.e</t>
  </si>
  <si>
    <t>AnnamariaPastore@montrose-env.com</t>
  </si>
  <si>
    <t>Annamaria</t>
  </si>
  <si>
    <t>Pastore</t>
  </si>
  <si>
    <t>0D21206067EC470B0A495ECC@038d2aa263c9deeb495fea.e</t>
  </si>
  <si>
    <t>KendallZogg@montrose-env.com</t>
  </si>
  <si>
    <t>kendallzogg@montrose-env.com</t>
  </si>
  <si>
    <t>Kendall</t>
  </si>
  <si>
    <t>Zogg</t>
  </si>
  <si>
    <t>147A208B67EC6F450A495C54@038d2aa263c9deeb495fea.e</t>
  </si>
  <si>
    <t>DesireeStuard@montrose-env.com</t>
  </si>
  <si>
    <t>Desiree</t>
  </si>
  <si>
    <t>Stuard</t>
  </si>
  <si>
    <t>373F208B67ED5C480A495C54@038d2aa263c9deeb495fea.e</t>
  </si>
  <si>
    <t>SophiaLarabee@montrose-env.com</t>
  </si>
  <si>
    <t>sophialarabee@montrose-env.com</t>
  </si>
  <si>
    <t>Larabee</t>
  </si>
  <si>
    <t>3AF9206C67ED8BF40A495EAC@038d2aa263c9deeb495fea.e</t>
  </si>
  <si>
    <t>TerryBertas@enthalpy.com</t>
  </si>
  <si>
    <t>terrybertas@enthalpy.com</t>
  </si>
  <si>
    <t>Terry</t>
  </si>
  <si>
    <t>Bertas</t>
  </si>
  <si>
    <t>60F520AF67EEA4D50A495FEB@038d2aa263c9deeb495fea.e</t>
  </si>
  <si>
    <t>TaraRodgers@montrose-env.com</t>
  </si>
  <si>
    <t>Tara</t>
  </si>
  <si>
    <t>71F0206667EEE0750A495FBE@038d2aa263c9deeb495fea.e</t>
  </si>
  <si>
    <t>DarrenLamsma@montrose-env.com</t>
  </si>
  <si>
    <t>Lamsma</t>
  </si>
  <si>
    <t>7445206267EEFF770A495FE2@038d2aa263c9deeb495fea.e</t>
  </si>
  <si>
    <t>MollieEnck@montrose-env.com</t>
  </si>
  <si>
    <t>Mollie</t>
  </si>
  <si>
    <t>Enck</t>
  </si>
  <si>
    <t>852A667367F4091C0A495EF1@038d2aa263c9deeb495fea.e</t>
  </si>
  <si>
    <t>rebecastevens@montrose-env.com</t>
  </si>
  <si>
    <t>Rebeca</t>
  </si>
  <si>
    <t>Stevens</t>
  </si>
  <si>
    <t>7A125B1E67F419C90A495C71@038d2aa263c9deeb495fea.e</t>
  </si>
  <si>
    <t>KylePoisson@montrose-env.com</t>
  </si>
  <si>
    <t>Poisson</t>
  </si>
  <si>
    <t>9318491C67F43D3B0A495FE0@038d2aa263c9deeb495fea.e</t>
  </si>
  <si>
    <t>MariaHachikian@montrose-env.com</t>
  </si>
  <si>
    <t>Hachikian</t>
  </si>
  <si>
    <t>15F0206A67F449C70A495E20@038d2aa263c9deeb495fea.e</t>
  </si>
  <si>
    <t>lwheeling@montrose-env.com</t>
  </si>
  <si>
    <t>Lara</t>
  </si>
  <si>
    <t>Wheeling</t>
  </si>
  <si>
    <t>39AC208767F573D70A495FAA@038d2aa263c9deeb495fea.e</t>
  </si>
  <si>
    <t>DerekStreet@montrose-env.com</t>
  </si>
  <si>
    <t>Street</t>
  </si>
  <si>
    <t>7181206867F6A1270A495E9E@038d2aa263c9deeb495fea.e</t>
  </si>
  <si>
    <t>AlisabethMcRae@montrose-env.com</t>
  </si>
  <si>
    <t>Alisabeth</t>
  </si>
  <si>
    <t>McRae</t>
  </si>
  <si>
    <t>D7A9128467F6A2D60A495E7B@038d2aa263c9deeb495fea.e</t>
  </si>
  <si>
    <t>dmzay@montrose-env.com</t>
  </si>
  <si>
    <t>Zay</t>
  </si>
  <si>
    <t>63F5208867F6AD710A495C4C@038d2aa263c9deeb495fea.e</t>
  </si>
  <si>
    <t>SamanthaTaylor@enthalpy.com</t>
  </si>
  <si>
    <t>7CE9206567F7BDDA0A495C0B@038d2aa263c9deeb495fea.e</t>
  </si>
  <si>
    <t>VictoriaVollert@montrose-env.com</t>
  </si>
  <si>
    <t>Victoria</t>
  </si>
  <si>
    <t>Vollert</t>
  </si>
  <si>
    <t>31874F6A67F967910A495C38@038d2aa263c9deeb495fea.e</t>
  </si>
  <si>
    <t>MadelineKonopinski@montrose-env.com</t>
  </si>
  <si>
    <t>Konopinski</t>
  </si>
  <si>
    <t>BAF3206867F967B60A495EA2@038d2aa263c9deeb495fea.e</t>
  </si>
  <si>
    <t>KalebMeihls@montrose-env.com</t>
  </si>
  <si>
    <t>Kaleb</t>
  </si>
  <si>
    <t>Meihls</t>
  </si>
  <si>
    <t>C240206C67F968990A495C90@038d2aa263c9deeb495fea.e</t>
  </si>
  <si>
    <t>AlisabethMcRae@enthalpy.com</t>
  </si>
  <si>
    <t>23B4208867FD2FAC0A495E26@038d2aa263c9deeb495fea.e</t>
  </si>
  <si>
    <t>jlthomas@montrose-env.com</t>
  </si>
  <si>
    <t>A88A49B367FE66570A495C61@038d2aa263c9deeb495fea.e</t>
  </si>
  <si>
    <t>ceschwartz@montrose-env.com</t>
  </si>
  <si>
    <t>Schwartz</t>
  </si>
  <si>
    <t>AB0C49B367FE73350A495C61@038d2aa263c9deeb495fea.e</t>
  </si>
  <si>
    <t>jenniferpellegrini@enthalpy.com</t>
  </si>
  <si>
    <t>Pellegrini</t>
  </si>
  <si>
    <t>AA25729F67FE9D1F0A495C17@038d2aa263c9deeb495fea.e</t>
  </si>
  <si>
    <t>noelledoyle@enthalpy.com</t>
  </si>
  <si>
    <t>Noelle</t>
  </si>
  <si>
    <t>Doyle</t>
  </si>
  <si>
    <t>B2030D0B67FE9D710A495ECA@038d2aa263c9deeb495fea.e</t>
  </si>
  <si>
    <t>davidmathis@enthalpy.com</t>
  </si>
  <si>
    <t>Mathis</t>
  </si>
  <si>
    <t>40DB217F67FE9DA40A495EAF@038d2aa263c9deeb495fea.e</t>
  </si>
  <si>
    <t>rechajkowski@montrose-env.com</t>
  </si>
  <si>
    <t>Chajkowski</t>
  </si>
  <si>
    <t>A9522089680291F90A495F95@038d2aa263c9deeb495fea.e</t>
  </si>
  <si>
    <t>NicholasCarey@enthalpy.com</t>
  </si>
  <si>
    <t>nicholascarey@enthalpy.com</t>
  </si>
  <si>
    <t>8E7A423B6806966B0A495C27@038d2aa263c9deeb495fea.e</t>
  </si>
  <si>
    <t>nmcphee@montrose-env.ca</t>
  </si>
  <si>
    <t>McPhee</t>
  </si>
  <si>
    <t>3E3E20946807BF150A495C35@038d2aa263c9deeb495fea.e</t>
  </si>
  <si>
    <t>CAN - Consulting &amp; Engineering - Env Sciences and Planning - West Ecology - Operations</t>
  </si>
  <si>
    <t>jwiigs@montrose-env.ca</t>
  </si>
  <si>
    <t>Jaron</t>
  </si>
  <si>
    <t>Wiigs</t>
  </si>
  <si>
    <t>BFC8423A6807BF7D0A495FEE@038d2aa263c9deeb495fea.e</t>
  </si>
  <si>
    <t>AmySalvador@montrose-env.com</t>
  </si>
  <si>
    <t>Salvador</t>
  </si>
  <si>
    <t>CD6F12E26807D32D0A495FC1@038d2aa263c9deeb495fea.e</t>
  </si>
  <si>
    <t>RichardBegley@montrose-env.com</t>
  </si>
  <si>
    <t>Begley</t>
  </si>
  <si>
    <t>3ECD206E6807D49F0A495E99@038d2aa263c9deeb495fea.e</t>
  </si>
  <si>
    <t>AidanWilson@montrose-env.com</t>
  </si>
  <si>
    <t>Aidan</t>
  </si>
  <si>
    <t>095A216B680A93F70A495ECD@038d2aa263c9deeb495fea.e</t>
  </si>
  <si>
    <t>cherielewellen@montrose-env.com</t>
  </si>
  <si>
    <t>Cherie</t>
  </si>
  <si>
    <t>Lewellen</t>
  </si>
  <si>
    <t>2E302170680BD2730A495F8A@038d2aa263c9deeb495fea.e</t>
  </si>
  <si>
    <t>KatelynDrake@enthalpy.com</t>
  </si>
  <si>
    <t>Drake</t>
  </si>
  <si>
    <t>309A216C680BD3A30A495FD5@038d2aa263c9deeb495fea.e</t>
  </si>
  <si>
    <t>NicholasTraversa@enthalpy.com</t>
  </si>
  <si>
    <t>Traversa</t>
  </si>
  <si>
    <t>891A218A680F89110A495FDE@038d2aa263c9deeb495fea.e</t>
  </si>
  <si>
    <t>JacobCox@montrose-env.com</t>
  </si>
  <si>
    <t>Cox</t>
  </si>
  <si>
    <t>91A821B5680FB5AA0A495C0E@038d2aa263c9deeb495fea.e</t>
  </si>
  <si>
    <t>JessicaBurton@montrose-env.com</t>
  </si>
  <si>
    <t>AEC7216C6810C59D0A495FF3@038d2aa263c9deeb495fea.e</t>
  </si>
  <si>
    <t>SamuelWilson@montrose-env.com</t>
  </si>
  <si>
    <t>03662166681377F10A495C67@038d2aa263c9deeb495fea.e</t>
  </si>
  <si>
    <t>ext-JosephLanders@montrose-env.com</t>
  </si>
  <si>
    <t>0A9821676813A4EC0A495FBB@038d2aa263c9deeb495fea.e</t>
  </si>
  <si>
    <t>KristinaHysler@montrose-env.com</t>
  </si>
  <si>
    <t>Hysler</t>
  </si>
  <si>
    <t>976C216C6818F7CA0A495FD5@038d2aa263c9deeb495fea.e</t>
  </si>
  <si>
    <t>JoshuaBarrera@montrose-env.com</t>
  </si>
  <si>
    <t>Barrera</t>
  </si>
  <si>
    <t>BBE32190681A0B500A495CF5@038d2aa263c9deeb495fea.e</t>
  </si>
  <si>
    <t>yubai@montrose-env.com</t>
  </si>
  <si>
    <t>Yunxuan</t>
  </si>
  <si>
    <t>Bai</t>
  </si>
  <si>
    <t>B768218F681A2F170A495CDD@038d2aa263c9deeb495fea.e</t>
  </si>
  <si>
    <t>matthew.webster@enthalpy.com</t>
  </si>
  <si>
    <t>B76B216C681A42F20A495FF3@038d2aa263c9deeb495fea.e</t>
  </si>
  <si>
    <t>anders.bisgaard@enthalpy.com</t>
  </si>
  <si>
    <t>Bisgaard</t>
  </si>
  <si>
    <t>B9602196681A42F20A495EFA@038d2aa263c9deeb495fea.e</t>
  </si>
  <si>
    <t>AlyssaSharbaugh@montrose-env.com</t>
  </si>
  <si>
    <t>Sharbaugh</t>
  </si>
  <si>
    <t>C0DE216A681A63BF0A495E04@038d2aa263c9deeb495fea.e</t>
  </si>
  <si>
    <t>AdamCard@montrose-env.com</t>
  </si>
  <si>
    <t>adamcard@montrose-env.com</t>
  </si>
  <si>
    <t>Card</t>
  </si>
  <si>
    <t>1820230A681BC1BA0A495C9F@038d2aa263c9deeb495fea.e</t>
  </si>
  <si>
    <t>DerekDouglas@montrose-env.com</t>
  </si>
  <si>
    <t>17BD2326681BCC090A495F89@038d2aa263c9deeb495fea.e</t>
  </si>
  <si>
    <t>SpencerHorn@montrose-env.com</t>
  </si>
  <si>
    <t>184F2252681BD8F10A495E61@038d2aa263c9deeb495fea.e</t>
  </si>
  <si>
    <t>JamiaMcFadden@montrose-env.com</t>
  </si>
  <si>
    <t>Jamia</t>
  </si>
  <si>
    <t>McFadden</t>
  </si>
  <si>
    <t>1819230C681BD9930A495E25@038d2aa263c9deeb495fea.e</t>
  </si>
  <si>
    <t>ergaston@montrose-env.com</t>
  </si>
  <si>
    <t>Gaston</t>
  </si>
  <si>
    <t>54B7230F681DFC0D0A495E98@038d2aa263c9deeb495fea.e</t>
  </si>
  <si>
    <t>MatthewEngel@montrose-env.com</t>
  </si>
  <si>
    <t>5C93231A681E217A0A495FC0@038d2aa263c9deeb495fea.e</t>
  </si>
  <si>
    <t>andreaborkenhagen@montrose-env.com</t>
  </si>
  <si>
    <t>Borkenhagen</t>
  </si>
  <si>
    <t>AED222526822011E0A495E61@038d2aa263c9deeb495fea.e</t>
  </si>
  <si>
    <t>DavidDeMartino@montrose-env.com</t>
  </si>
  <si>
    <t>DeMartino</t>
  </si>
  <si>
    <t>EB4B231E6823CEE60A495CE7@038d2aa263c9deeb495fea.e</t>
  </si>
  <si>
    <t>USA - Environmental Consulting - Central - Sales &amp; Marketing</t>
  </si>
  <si>
    <t>CameronTolar@montrose-env.com</t>
  </si>
  <si>
    <t>Tolar</t>
  </si>
  <si>
    <t>EDCE239B6823CF530A495C96@038d2aa263c9deeb495fea.e</t>
  </si>
  <si>
    <t>CameronBattles@montrose-env.com</t>
  </si>
  <si>
    <t>Battles</t>
  </si>
  <si>
    <t>EDB123266823CF540A495F89@038d2aa263c9deeb495fea.e</t>
  </si>
  <si>
    <t>EmilySchlemmer@montrose-env.com</t>
  </si>
  <si>
    <t>Schlemmer</t>
  </si>
  <si>
    <t>F345231E6824368A0A495CE7@038d2aa263c9deeb495fea.e</t>
  </si>
  <si>
    <t>KaitlynODonnell@enthalpy.com</t>
  </si>
  <si>
    <t>Kaitlyn</t>
  </si>
  <si>
    <t>ODonnell</t>
  </si>
  <si>
    <t>FF99234B6824A12C0A495FF6@038d2aa263c9deeb495fea.e</t>
  </si>
  <si>
    <t>CameronEdmonson@montrose-env.com</t>
  </si>
  <si>
    <t>cameronedmonson@montrose-env.com</t>
  </si>
  <si>
    <t>Edmonson</t>
  </si>
  <si>
    <t>0CD221E168260C0A0A495E1C@038d2aa263c9deeb495fea.e</t>
  </si>
  <si>
    <t>ThinhPham@enthalpy.com</t>
  </si>
  <si>
    <t>Thinh</t>
  </si>
  <si>
    <t>0DE82272682614820A495EED@038d2aa263c9deeb495fea.e</t>
  </si>
  <si>
    <t>RogerClark@montrose-env.com</t>
  </si>
  <si>
    <t>14E3228B6826347D0A495CCF@038d2aa263c9deeb495fea.e</t>
  </si>
  <si>
    <t>SydneyRivera@montrose-env.com</t>
  </si>
  <si>
    <t>Rivera</t>
  </si>
  <si>
    <t>174C22976826566C0A495FFE@038d2aa263c9deeb495fea.e</t>
  </si>
  <si>
    <t>melzhallett@montrose-env.com</t>
  </si>
  <si>
    <t>Melz</t>
  </si>
  <si>
    <t>Hallett</t>
  </si>
  <si>
    <t>470722956827C0CD0A495E83@038d2aa263c9deeb495fea.e</t>
  </si>
  <si>
    <t>Default InDesign configuration,Default Photoshop configuration</t>
  </si>
  <si>
    <t>AUS - Epic - Operations</t>
  </si>
  <si>
    <t>InDesign (VIPMP - 99C0A3088A102BD9CB4A),Photoshop (VIPMP - 99C0A3088A102BD9CB4A)</t>
  </si>
  <si>
    <t>skylerhamm@montrose-env.com</t>
  </si>
  <si>
    <t>Skyler</t>
  </si>
  <si>
    <t>Hamm</t>
  </si>
  <si>
    <t>827B22A5682A91110A495E80@038d2aa263c9deeb495fea.e</t>
  </si>
  <si>
    <t>lmistick@montrose-env.com</t>
  </si>
  <si>
    <t>Mistick</t>
  </si>
  <si>
    <t>A770237C682B7E230A495EAD@038d2aa263c9deeb495fea.e</t>
  </si>
  <si>
    <t>LaviniaBoehmer@montrose-env.com</t>
  </si>
  <si>
    <t>Lavinia</t>
  </si>
  <si>
    <t>Boehmer</t>
  </si>
  <si>
    <t>15F42375682F00DA0A495FC3@038d2aa263c9deeb495fea.e</t>
  </si>
  <si>
    <t>NathanBrandwein@montrose-env.com</t>
  </si>
  <si>
    <t>Brandwein</t>
  </si>
  <si>
    <t>19462373682F0DF80A495C60@038d2aa263c9deeb495fea.e</t>
  </si>
  <si>
    <t>mhess@montrose-env.com</t>
  </si>
  <si>
    <t>Hess</t>
  </si>
  <si>
    <t>D3BE23966835B83D0A495CD2@038d2aa263c9deeb495fea.e</t>
  </si>
  <si>
    <t>AlexanderMacDonald@montrose-env.com</t>
  </si>
  <si>
    <t>Alexander</t>
  </si>
  <si>
    <t>MacDonald</t>
  </si>
  <si>
    <t>D16C21E86835D6790A495C7C@038d2aa263c9deeb495fea.e</t>
  </si>
  <si>
    <t>msallen@montrose-env.com</t>
  </si>
  <si>
    <t>mike.allen@enthalpy.com</t>
  </si>
  <si>
    <t>DB9523766835D8E90A495E36@038d2aa263c9deeb495fea.e</t>
  </si>
  <si>
    <t>twojtach@montrose-env.com</t>
  </si>
  <si>
    <t>Wojtach</t>
  </si>
  <si>
    <t>0DCF2205683763950A495FFA@038d2aa263c9deeb495fea.e</t>
  </si>
  <si>
    <t>rappelle@montrose-env.com</t>
  </si>
  <si>
    <t>Robin</t>
  </si>
  <si>
    <t>Appelle</t>
  </si>
  <si>
    <t>33602229683872300A495FBE@038d2aa263c9deeb495fea.e</t>
  </si>
  <si>
    <t>limyers@montrose-env.com</t>
  </si>
  <si>
    <t>3784222968388F8C0A495CDC@038d2aa263c9deeb495fea.e</t>
  </si>
  <si>
    <t>andrewparisi@montrose-env.com</t>
  </si>
  <si>
    <t>Parisi</t>
  </si>
  <si>
    <t>50022201683946140A495FB0@038d2aa263c9deeb495fea.e</t>
  </si>
  <si>
    <t>USA - Advisory Services - Spirit - Operations</t>
  </si>
  <si>
    <t>EricKolb@montrose-env.com</t>
  </si>
  <si>
    <t>erickolb@montrose-env.com</t>
  </si>
  <si>
    <t>Kolb</t>
  </si>
  <si>
    <t>4FF82229683946970A495CDC@038d2aa263c9deeb495fea.e</t>
  </si>
  <si>
    <t>HannahDay@montrose-env.com</t>
  </si>
  <si>
    <t>Day</t>
  </si>
  <si>
    <t>5E54222C6839B39C0A495C57@038d2aa263c9deeb495fea.e</t>
  </si>
  <si>
    <t>AnnaMarshall@montrose-env.com</t>
  </si>
  <si>
    <t>Marshall</t>
  </si>
  <si>
    <t>60D2222C6839D4880A495CFB@038d2aa263c9deeb495fea.e</t>
  </si>
  <si>
    <t>ParkerPalen@montrose-env.com</t>
  </si>
  <si>
    <t>Palen</t>
  </si>
  <si>
    <t>5E43222A6839D4880A495CEB@038d2aa263c9deeb495fea.e</t>
  </si>
  <si>
    <t>rusaldana@montrose-env.com</t>
  </si>
  <si>
    <t>Ruben</t>
  </si>
  <si>
    <t>Saldana</t>
  </si>
  <si>
    <t>8EB42229683BC04E0A495FBE@038d2aa263c9deeb495fea.e</t>
  </si>
  <si>
    <t>LaurenBlair@montrose-env.com</t>
  </si>
  <si>
    <t>B3E72207683DBA870A495CF8@038d2aa263c9deeb495fea.e</t>
  </si>
  <si>
    <t>KatieGatelein@montrose-env.com</t>
  </si>
  <si>
    <t>Gatelein</t>
  </si>
  <si>
    <t>BA742207683DC4910A495F89@038d2aa263c9deeb495fea.e</t>
  </si>
  <si>
    <t>OwenGillick@montrose-env.com</t>
  </si>
  <si>
    <t>Owen</t>
  </si>
  <si>
    <t>Gillick</t>
  </si>
  <si>
    <t>BF6C2229683DD34F0A495FBE@038d2aa263c9deeb495fea.e</t>
  </si>
  <si>
    <t>josatterfield@montrose-env.com</t>
  </si>
  <si>
    <t>Satterfield</t>
  </si>
  <si>
    <t>CB6621FB683E28FB0A495FD2@038d2aa263c9deeb495fea.e</t>
  </si>
  <si>
    <t>AmirFaeizi@enthalpy.com</t>
  </si>
  <si>
    <t>Amir</t>
  </si>
  <si>
    <t>Faeizi</t>
  </si>
  <si>
    <t>E0A72207683EEE780A495C4F@038d2aa263c9deeb495fea.e</t>
  </si>
  <si>
    <t>BriannaBruce@enthalpy.com</t>
  </si>
  <si>
    <t>EB5F2201683F18450A495FC8@038d2aa263c9deeb495fea.e</t>
  </si>
  <si>
    <t>KyCao@montrose-env.com</t>
  </si>
  <si>
    <t>kycao@montrose-env.com</t>
  </si>
  <si>
    <t>Ky Duyen</t>
  </si>
  <si>
    <t>Cao</t>
  </si>
  <si>
    <t>EFE4222B683F1F1F0A495E71@038d2aa263c9deeb495fea.e</t>
  </si>
  <si>
    <t>MelindaMarin@montrose-env.com</t>
  </si>
  <si>
    <t>Melinda</t>
  </si>
  <si>
    <t>Marin</t>
  </si>
  <si>
    <t>F3432201683F5A7C0A495FB0@038d2aa263c9deeb495fea.e</t>
  </si>
  <si>
    <t>NathanielLave@montrose-env.com</t>
  </si>
  <si>
    <t>Lave</t>
  </si>
  <si>
    <t>FA1C226F683F66C50A495EBF@038d2aa263c9deeb495fea.e</t>
  </si>
  <si>
    <t>LindsayScarola@montrose-env.com</t>
  </si>
  <si>
    <t>Scarola</t>
  </si>
  <si>
    <t>F63F2203683F6DEC0A495FDD@038d2aa263c9deeb495fea.e</t>
  </si>
  <si>
    <t>jcallahan@montrose-env.com</t>
  </si>
  <si>
    <t>Callahan</t>
  </si>
  <si>
    <t>19EC220668406D870A495C82@038d2aa263c9deeb495fea.e</t>
  </si>
  <si>
    <t>MakenzieElliott@montrose-env.com</t>
  </si>
  <si>
    <t>makenzieelliott@montrose-env.com</t>
  </si>
  <si>
    <t>Makenzie</t>
  </si>
  <si>
    <t>Elliott</t>
  </si>
  <si>
    <t>237F22076840AFBA0A495EAE@038d2aa263c9deeb495fea.e</t>
  </si>
  <si>
    <t>RichardCarland@montrose-env.com</t>
  </si>
  <si>
    <t>Carland</t>
  </si>
  <si>
    <t>238D22036840EC640A495C24@038d2aa263c9deeb495fea.e</t>
  </si>
  <si>
    <t>alprzybylowicz@montrose-env.com</t>
  </si>
  <si>
    <t>Przybylowicz</t>
  </si>
  <si>
    <t>0F1422596841F04F0A495FE2@038d2aa263c9deeb495fea.e</t>
  </si>
  <si>
    <t>YeMyint@enthalpy.com</t>
  </si>
  <si>
    <t>yemyint@enthalpy.com</t>
  </si>
  <si>
    <t>Ye</t>
  </si>
  <si>
    <t>Myint</t>
  </si>
  <si>
    <t>399F2256684386C00A495C2F@038d2aa263c9deeb495fea.e</t>
  </si>
  <si>
    <t>ChristinaYackey@montrose-env.com</t>
  </si>
  <si>
    <t>Yackey</t>
  </si>
  <si>
    <t>85C6225C6846DBD20A495FCB@038d2aa263c9deeb495fea.e</t>
  </si>
  <si>
    <t>DevynHallett@montrose-env.com</t>
  </si>
  <si>
    <t>Devyn</t>
  </si>
  <si>
    <t>904B222F6846FF7E0A495FA6@038d2aa263c9deeb495fea.e</t>
  </si>
  <si>
    <t>QuentishaForrester@montrose-env.com</t>
  </si>
  <si>
    <t>Quentisha</t>
  </si>
  <si>
    <t>Forrester</t>
  </si>
  <si>
    <t>905E2251684704D30A495E24@038d2aa263c9deeb495fea.e</t>
  </si>
  <si>
    <t>AlyssaWingard@montrose-env.com</t>
  </si>
  <si>
    <t>Wingard</t>
  </si>
  <si>
    <t>8D98222D68470C1E0A495EF3@038d2aa263c9deeb495fea.e</t>
  </si>
  <si>
    <t>twhitman@montrose-env.com</t>
  </si>
  <si>
    <t>Tiffany</t>
  </si>
  <si>
    <t>Whitman</t>
  </si>
  <si>
    <t>BB742226684865670A495FB8@038d2aa263c9deeb495fea.e</t>
  </si>
  <si>
    <t>EricMaez@montrose-env.com</t>
  </si>
  <si>
    <t>BF2B22246848772F0A495C78@038d2aa263c9deeb495fea.e</t>
  </si>
  <si>
    <t>ext-MattEidemiller@montrose-env.com</t>
  </si>
  <si>
    <t>EideMiller</t>
  </si>
  <si>
    <t>C15F222C6848836D0A495CF1@038d2aa263c9deeb495fea.e</t>
  </si>
  <si>
    <t>danielchang@montrose-env.com</t>
  </si>
  <si>
    <t>Chang</t>
  </si>
  <si>
    <t>C78A222C684898AC0A495C6E@038d2aa263c9deeb495fea.e</t>
  </si>
  <si>
    <t>AliciaLopez@montrose-env.com</t>
  </si>
  <si>
    <t>alicialopez@montrose-env.com</t>
  </si>
  <si>
    <t>Alicia</t>
  </si>
  <si>
    <t>Lopez</t>
  </si>
  <si>
    <t>E364225B68499A020A495ECC@038d2aa263c9deeb495fea.e</t>
  </si>
  <si>
    <t>leescobedo@montrose-env.com</t>
  </si>
  <si>
    <t>Leandrew</t>
  </si>
  <si>
    <t>Escobedo</t>
  </si>
  <si>
    <t>EDE422316849DA940A495E4A@038d2aa263c9deeb495fea.e</t>
  </si>
  <si>
    <t>EricCahill@montrose-env.com</t>
  </si>
  <si>
    <t>Cahill</t>
  </si>
  <si>
    <t>313B2229684C42ED0A495C1C@038d2aa263c9deeb495fea.e</t>
  </si>
  <si>
    <t>AndrewGreenwood@montrose-env.com</t>
  </si>
  <si>
    <t>33AA2236684C5FD70A495FF7@038d2aa263c9deeb495fea.e</t>
  </si>
  <si>
    <t>TerryLam@montrose-env.com</t>
  </si>
  <si>
    <t>terrylam@montrose-env.com</t>
  </si>
  <si>
    <t>Lam</t>
  </si>
  <si>
    <t>9ABC225A685073080A495C9A@038d2aa263c9deeb495fea.e</t>
  </si>
  <si>
    <t>astratton@montrose-env.com</t>
  </si>
  <si>
    <t>MONTROSE-ENV.COM</t>
  </si>
  <si>
    <t>ASTRATTON@MONTROSE-ENV.COM</t>
  </si>
  <si>
    <t>Stratton</t>
  </si>
  <si>
    <t>B9A2225B68515E7D0A495ECC@038d2aa263c9deeb495fea.e</t>
  </si>
  <si>
    <t>paanaya@ect2.com</t>
  </si>
  <si>
    <t>Anaya</t>
  </si>
  <si>
    <t>C1D4222868517C950A495E3F@038d2aa263c9deeb495fea.e</t>
  </si>
  <si>
    <t>johncentofanti@montrose-env.com</t>
  </si>
  <si>
    <t>Centofanti</t>
  </si>
  <si>
    <t>C13B2233685180600A495CA9@038d2aa263c9deeb495fea.e</t>
  </si>
  <si>
    <t>QuentishaForrester@enthalpy.com</t>
  </si>
  <si>
    <t>CCAD22776851BCE40A495C25@038d2aa263c9deeb495fea.e</t>
  </si>
  <si>
    <t>derekeggert@montrose-env.com</t>
  </si>
  <si>
    <t>DerekEggert@montrose-env.com</t>
  </si>
  <si>
    <t>Eggert</t>
  </si>
  <si>
    <t>206272DD6852E8AE0A495FD5@038d2aa263c9deeb495fea.e</t>
  </si>
  <si>
    <t>isabelmarrero@enthalpy.com</t>
  </si>
  <si>
    <t>IsabelMarrero@enthalpy.com</t>
  </si>
  <si>
    <t>Isabel</t>
  </si>
  <si>
    <t>Marrero</t>
  </si>
  <si>
    <t>221E22D26852E8AF0A495CDB@038d2aa263c9deeb495fea.e</t>
  </si>
  <si>
    <t>ryandecota@montrose-env.com</t>
  </si>
  <si>
    <t>DeCota</t>
  </si>
  <si>
    <t>26520E5168530D9B0A495FC3@038d2aa263c9deeb495fea.e</t>
  </si>
  <si>
    <t>USA - Corp - Investor Relations &amp; Treasury</t>
  </si>
  <si>
    <t>JoseJustiniano@enthalpy.com</t>
  </si>
  <si>
    <t>Justiniano</t>
  </si>
  <si>
    <t>06BB22A4685405B80A495E0F@038d2aa263c9deeb495fea.e</t>
  </si>
  <si>
    <t>silkeannmariz.mariano@enthalpy.com</t>
  </si>
  <si>
    <t>Silke Ann Mariz</t>
  </si>
  <si>
    <t>Mariano</t>
  </si>
  <si>
    <t>093E229868540EE70A495FBE@038d2aa263c9deeb495fea.e</t>
  </si>
  <si>
    <t>ParomitaBhaumik@montrose-env.com</t>
  </si>
  <si>
    <t>Paromita</t>
  </si>
  <si>
    <t>Bhaumik</t>
  </si>
  <si>
    <t>0ABC2278685428500A495EB9@038d2aa263c9deeb495fea.e</t>
  </si>
  <si>
    <t>jbeach@montrose-env.com</t>
  </si>
  <si>
    <t>Beach</t>
  </si>
  <si>
    <t>12B4229F68545A0E0A495CAB@038d2aa263c9deeb495fea.e</t>
  </si>
  <si>
    <t>MatthewFlacksenburg@enthalpy.com</t>
  </si>
  <si>
    <t>Flacksenburg</t>
  </si>
  <si>
    <t>8EDE22A46859BB270A495C27@038d2aa263c9deeb495fea.e</t>
  </si>
  <si>
    <t>nakrohne@montrose-env.com</t>
  </si>
  <si>
    <t>Krohne</t>
  </si>
  <si>
    <t>DE5522A9685C277D0A495EA0@038d2aa263c9deeb495fea.e</t>
  </si>
  <si>
    <t>ChrisVerheul@enthalpy.com</t>
  </si>
  <si>
    <t>E8CF227D685C65D10A495C9A@038d2aa263c9deeb495fea.e</t>
  </si>
  <si>
    <t>jordanbynon@enthalpy.com</t>
  </si>
  <si>
    <t>Bynon</t>
  </si>
  <si>
    <t>042723DE685D5EFC0A495FF0@038d2aa263c9deeb495fea.e</t>
  </si>
  <si>
    <t>jamesmaxwell@montrose-env.com</t>
  </si>
  <si>
    <t>Maxwell</t>
  </si>
  <si>
    <t>067D23B9685D70FE0A495FD7@038d2aa263c9deeb495fea.e</t>
  </si>
  <si>
    <t>jvera@montrose-env.com</t>
  </si>
  <si>
    <t>Vera</t>
  </si>
  <si>
    <t>B3C523E9686410C90A495E63@038d2aa263c9deeb495fea.e</t>
  </si>
  <si>
    <t>PamelaDerk@montrose-env.com</t>
  </si>
  <si>
    <t>pameladerk@montrose-env.com</t>
  </si>
  <si>
    <t>Derk</t>
  </si>
  <si>
    <t>E02223C8686535C90A495E1A@038d2aa263c9deeb495fea.e</t>
  </si>
  <si>
    <t>vidiran@montrose-env.com</t>
  </si>
  <si>
    <t>Diran</t>
  </si>
  <si>
    <t>197A23D96867043F0A495F87@038d2aa263c9deeb495fea.e</t>
  </si>
  <si>
    <t>RynFlood@enthalpy.com</t>
  </si>
  <si>
    <t>Ryn</t>
  </si>
  <si>
    <t>Flood</t>
  </si>
  <si>
    <t>893423E1686BE59F0A495C25@038d2aa263c9deeb495fea.e</t>
  </si>
  <si>
    <t>DagmaraLodl@enthalpy.com</t>
  </si>
  <si>
    <t>Dagmara</t>
  </si>
  <si>
    <t>Lodl</t>
  </si>
  <si>
    <t>849423C2686BE5F50A495C4B@038d2aa263c9deeb495fea.e</t>
  </si>
  <si>
    <t>PaigePreston@montrose-env.com</t>
  </si>
  <si>
    <t>Preston</t>
  </si>
  <si>
    <t>8B3323BA686BE6340A495E4A@038d2aa263c9deeb495fea.e</t>
  </si>
  <si>
    <t>WilliDriscoll@montrose-env.com</t>
  </si>
  <si>
    <t>Willi</t>
  </si>
  <si>
    <t>Driscoll</t>
  </si>
  <si>
    <t>85EB23BD686BE6690A495C42@038d2aa263c9deeb495fea.e</t>
  </si>
  <si>
    <t>JuliaCaporusso@montrose-env.com</t>
  </si>
  <si>
    <t>Caporusso</t>
  </si>
  <si>
    <t>8B4923BA686BE6B00A495E4A@038d2aa263c9deeb495fea.e</t>
  </si>
  <si>
    <t>KathleenSteward@enthalpy.com</t>
  </si>
  <si>
    <t>Steward</t>
  </si>
  <si>
    <t>84AB23FD686BE6DB0A495F9A@038d2aa263c9deeb495fea.e</t>
  </si>
  <si>
    <t>WesleyBonner@montrose-env.com</t>
  </si>
  <si>
    <t>Wesley</t>
  </si>
  <si>
    <t>Bonner</t>
  </si>
  <si>
    <t>908F23D4686BE6FA0A495CBF@038d2aa263c9deeb495fea.e</t>
  </si>
  <si>
    <t>ScottDoig@montrose-env.com</t>
  </si>
  <si>
    <t>Doig</t>
  </si>
  <si>
    <t>8796240B686BE71B0A495FD1@038d2aa263c9deeb495fea.e</t>
  </si>
  <si>
    <t>DesiraeMartz@montrose-env.com</t>
  </si>
  <si>
    <t>Desirae</t>
  </si>
  <si>
    <t>Martz</t>
  </si>
  <si>
    <t>83C223C0686BE73D0A495FE6@038d2aa263c9deeb495fea.e</t>
  </si>
  <si>
    <t>JackHennen@enthalpy.com</t>
  </si>
  <si>
    <t>Hennen</t>
  </si>
  <si>
    <t>93EE23BB686C28240A495E81@038d2aa263c9deeb495fea.e</t>
  </si>
  <si>
    <t>AshleyParkhurst@montrose-env.com</t>
  </si>
  <si>
    <t>Parkhurst</t>
  </si>
  <si>
    <t>B23523B8686D434A0A495C9C@038d2aa263c9deeb495fea.e</t>
  </si>
  <si>
    <t>NicoleDOleo@montrose-env.com</t>
  </si>
  <si>
    <t>DOleo</t>
  </si>
  <si>
    <t>BA1523B8686D43DD0A495CCD@038d2aa263c9deeb495fea.e</t>
  </si>
  <si>
    <t>AnthonyStratton@montrose-env.com</t>
  </si>
  <si>
    <t>B13B23BB686D43FC0A495C54@038d2aa263c9deeb495fea.e</t>
  </si>
  <si>
    <t>thorne.gregory@enthalpy.com</t>
  </si>
  <si>
    <t>tgregory@montrose-env.com</t>
  </si>
  <si>
    <t>Thorne</t>
  </si>
  <si>
    <t>E62823BA686E8DF80A495EF6@038d2aa263c9deeb495fea.e</t>
  </si>
  <si>
    <t>LukasPadua@montrose-env.com</t>
  </si>
  <si>
    <t>Padua</t>
  </si>
  <si>
    <t>F8A423D4686EB49E0A495CBF@038d2aa263c9deeb495fea.e</t>
  </si>
  <si>
    <t>HarleyBachler@montrose-env.com</t>
  </si>
  <si>
    <t>Harley</t>
  </si>
  <si>
    <t>Bachler</t>
  </si>
  <si>
    <t>F22523BD686EB49E0A495CCF@038d2aa263c9deeb495fea.e</t>
  </si>
  <si>
    <t>IsabellaRealey@montrose-env.com</t>
  </si>
  <si>
    <t>Realey</t>
  </si>
  <si>
    <t>F23323BC686EF70F0A495C34@038d2aa263c9deeb495fea.e</t>
  </si>
  <si>
    <t>MadisonLester@enthalpy.com</t>
  </si>
  <si>
    <t>09B722C2686FE2F00A495C6C@038d2aa263c9deeb495fea.e</t>
  </si>
  <si>
    <t>joshuacha@enthalpy.com</t>
  </si>
  <si>
    <t>Cha</t>
  </si>
  <si>
    <t>3B292273687174820A495C1D@038d2aa263c9deeb495fea.e</t>
  </si>
  <si>
    <t>tochoa@montrose-env.com</t>
  </si>
  <si>
    <t>Ochoa</t>
  </si>
  <si>
    <t>97B2227E687554760A495FAC@038d2aa263c9deeb495fea.e</t>
  </si>
  <si>
    <t>cacheng@montrose-env.com</t>
  </si>
  <si>
    <t>Casey</t>
  </si>
  <si>
    <t>Cheng</t>
  </si>
  <si>
    <t>427421C3687AB8B80A495E79@038d2aa263c9deeb495fea.e</t>
  </si>
  <si>
    <t>tshilt@montrose-env.com</t>
  </si>
  <si>
    <t>Shilt</t>
  </si>
  <si>
    <t>DC5821E3687FD7560A495CD5@038d2aa263c9deeb495fea.e</t>
  </si>
  <si>
    <t>CalebMeadows@montrose-env.com</t>
  </si>
  <si>
    <t>Caleb</t>
  </si>
  <si>
    <t>Meadows</t>
  </si>
  <si>
    <t>E82B21DC68803CDA0A495C75@038d2aa263c9deeb495fea.e</t>
  </si>
  <si>
    <t>KaylaBoon@montrose-env.com</t>
  </si>
  <si>
    <t>Boon</t>
  </si>
  <si>
    <t>0AE421B668813C2C0A495FF4@038d2aa263c9deeb495fea.e</t>
  </si>
  <si>
    <t>arscott@montrose-env.com</t>
  </si>
  <si>
    <t>Arik</t>
  </si>
  <si>
    <t>0A3F21C3688157550A495FDF@038d2aa263c9deeb495fea.e</t>
  </si>
  <si>
    <t>paleblanc@montrose-env.com</t>
  </si>
  <si>
    <t>LeBlanc</t>
  </si>
  <si>
    <t>1FC921E7688223680A495E3F@038d2aa263c9deeb495fea.e</t>
  </si>
  <si>
    <t>StevenSaldana@montrose-env.com</t>
  </si>
  <si>
    <t>164021E7688292C70A495C30@038d2aa263c9deeb495fea.e</t>
  </si>
  <si>
    <t>mabennett@montrose-env.com</t>
  </si>
  <si>
    <t>Malinda</t>
  </si>
  <si>
    <t>Bennett</t>
  </si>
  <si>
    <t>33ED21C968839DA00A495EC4@038d2aa263c9deeb495fea.e</t>
  </si>
  <si>
    <t>EmilyKlang@enthalpy.com</t>
  </si>
  <si>
    <t>Klang</t>
  </si>
  <si>
    <t>353721F06883B0CB0A495ED9@038d2aa263c9deeb495fea.e</t>
  </si>
  <si>
    <t>HilaryBrinegar@montrose-env.com</t>
  </si>
  <si>
    <t>Hilary</t>
  </si>
  <si>
    <t>Brinegar</t>
  </si>
  <si>
    <t>356A21CC6883B0CB0A495EFB@038d2aa263c9deeb495fea.e</t>
  </si>
  <si>
    <t>AlixHuhta@montrose-env.com</t>
  </si>
  <si>
    <t>Alix</t>
  </si>
  <si>
    <t>Huhta</t>
  </si>
  <si>
    <t>36B221EE6883B0CC0A495C60@038d2aa263c9deeb495fea.e</t>
  </si>
  <si>
    <t>LettyRodriguez@montrose-env.com</t>
  </si>
  <si>
    <t>Letty</t>
  </si>
  <si>
    <t>375321E76883B0CC0A495C26@038d2aa263c9deeb495fea.e</t>
  </si>
  <si>
    <t>ShantAnassian@montrose-env.com</t>
  </si>
  <si>
    <t>Shant</t>
  </si>
  <si>
    <t>Anassian</t>
  </si>
  <si>
    <t>A0C021BF688801570A495FB1@038d2aa263c9deeb495fea.e</t>
  </si>
  <si>
    <t>jorichardson@montrose-env.com</t>
  </si>
  <si>
    <t>C66121ED6888D2F20A495E84@038d2aa263c9deeb495fea.e</t>
  </si>
  <si>
    <t>TravisCumming@montrose-env.com</t>
  </si>
  <si>
    <t>Cumming</t>
  </si>
  <si>
    <t>04E8229B68895C9A0A495C39@038d2aa263c9deeb495fea.e</t>
  </si>
  <si>
    <t>SamuelGarrett@enthalpy.com</t>
  </si>
  <si>
    <t>21412298688A2C490A495FD9@038d2aa263c9deeb495fea.e</t>
  </si>
  <si>
    <t>NarayanUpreti@montrose-env.com</t>
  </si>
  <si>
    <t>Narayan</t>
  </si>
  <si>
    <t>Upreti</t>
  </si>
  <si>
    <t>2C152298688A61630A495E28@038d2aa263c9deeb495fea.e</t>
  </si>
  <si>
    <t>JoseNavarreteCruz@montrose-env.com</t>
  </si>
  <si>
    <t>Navarrete Cruz</t>
  </si>
  <si>
    <t>354922C8688A8C660A495FBB@038d2aa263c9deeb495fea.e</t>
  </si>
  <si>
    <t>NicholasFetter@montrose-env.com</t>
  </si>
  <si>
    <t>Fetter</t>
  </si>
  <si>
    <t>362E22A1688A9A720A495EEC@038d2aa263c9deeb495fea.e</t>
  </si>
  <si>
    <t>SeanCalderon@enthalpy.com</t>
  </si>
  <si>
    <t>Calderon</t>
  </si>
  <si>
    <t>142D2280688B9E3A0A495E26@038d2aa263c9deeb495fea.e</t>
  </si>
  <si>
    <t>BrianHunter@ect2.com</t>
  </si>
  <si>
    <t>58CE22A6688CE4270A495CA6@038d2aa263c9deeb495fea.e</t>
  </si>
  <si>
    <t>MayaFazio@montrose-env.com</t>
  </si>
  <si>
    <t>Maya</t>
  </si>
  <si>
    <t>Fazio</t>
  </si>
  <si>
    <t>5C4622D9688CE6B40A495E95@038d2aa263c9deeb495fea.e</t>
  </si>
  <si>
    <t>btyler@montrose-env.com</t>
  </si>
  <si>
    <t>bryan.tyler@enthalpy.com</t>
  </si>
  <si>
    <t>61812286688CFC9F0A495EC1@038d2aa263c9deeb495fea.e</t>
  </si>
  <si>
    <t>charlesmcfadden@montrose-env.com</t>
  </si>
  <si>
    <t>0254228A6890F8C40A495CB0@038d2aa263c9deeb495fea.e</t>
  </si>
  <si>
    <t>CharlizeMondragon@montrose-env.com</t>
  </si>
  <si>
    <t>Charlize</t>
  </si>
  <si>
    <t>Mondragon</t>
  </si>
  <si>
    <t>03012280689117A60A495E5E@038d2aa263c9deeb495fea.e</t>
  </si>
  <si>
    <t>ElysiaFields@montrose-env.com</t>
  </si>
  <si>
    <t>Elysia</t>
  </si>
  <si>
    <t>0AE822BB689117CF0A495E6A@038d2aa263c9deeb495fea.e</t>
  </si>
  <si>
    <t>JuliaButler@montrose-env.com</t>
  </si>
  <si>
    <t>3F2322C0689219680A495C16@038d2aa263c9deeb495fea.e</t>
  </si>
  <si>
    <t>MatthewBauer@montrose-env.com</t>
  </si>
  <si>
    <t>Bauer</t>
  </si>
  <si>
    <t>3CDE22A568922AD10A495FC6@038d2aa263c9deeb495fea.e</t>
  </si>
  <si>
    <t>JulieNawiesniak@montrose-env.com</t>
  </si>
  <si>
    <t>Nawiesniak</t>
  </si>
  <si>
    <t>504422AC689260190A495F94@038d2aa263c9deeb495fea.e</t>
  </si>
  <si>
    <t>UmutSaltik@montrose-env.com</t>
  </si>
  <si>
    <t>Umut</t>
  </si>
  <si>
    <t>Saltik</t>
  </si>
  <si>
    <t>84CC22846893E0C90A495C6A@038d2aa263c9deeb495fea.e</t>
  </si>
  <si>
    <t>SarahAasland@montrose-env.com</t>
  </si>
  <si>
    <t>Aasland</t>
  </si>
  <si>
    <t>1A6E21D2689538BE0A495EF4@038d2aa263c9deeb495fea.e</t>
  </si>
  <si>
    <t>xitlalyolivos@enthalpy.com</t>
  </si>
  <si>
    <t>Xitlaly</t>
  </si>
  <si>
    <t>Olivos</t>
  </si>
  <si>
    <t>3BB121B1689622E90A495FBB@038d2aa263c9deeb495fea.e</t>
  </si>
  <si>
    <t>pwhitman@montrose-env.com</t>
  </si>
  <si>
    <t>3CA021AE6896295B0A495C20@038d2aa263c9deeb495fea.e</t>
  </si>
  <si>
    <t>damaxwell@montrose-env.com</t>
  </si>
  <si>
    <t>9D3721E6689A2EBB0A495FF7@038d2aa263c9deeb495fea.e</t>
  </si>
  <si>
    <t>SebWangGaouette@montrose-env.com</t>
  </si>
  <si>
    <t>Seb</t>
  </si>
  <si>
    <t>Wang Gaouette</t>
  </si>
  <si>
    <t>720E21A6689E3D7B0A495E25@038d2aa263c9deeb495fea.e</t>
  </si>
  <si>
    <t>cmiller@montrose-env.com</t>
  </si>
  <si>
    <t>74FC21AB689E46AB0A495FD9@038d2aa263c9deeb495fea.e</t>
  </si>
  <si>
    <t>laurenlachance@enthalpy.com</t>
  </si>
  <si>
    <t>LaChance</t>
  </si>
  <si>
    <t>9AB021A2689F439F0A495FB7@038d2aa263c9deeb495fea.e</t>
  </si>
  <si>
    <t>JonathanSamuel@enthalpy.com</t>
  </si>
  <si>
    <t>9A2921EE689F4C240A495C17@038d2aa263c9deeb495fea.e</t>
  </si>
  <si>
    <t>KennedyLawson@montrose-env.com</t>
  </si>
  <si>
    <t>Kennedy</t>
  </si>
  <si>
    <t>Lawson</t>
  </si>
  <si>
    <t>9DC821AD689F506D0A495E21@038d2aa263c9deeb495fea.e</t>
  </si>
  <si>
    <t>MaananChowdhury@montrose-env.com</t>
  </si>
  <si>
    <t>Maanan</t>
  </si>
  <si>
    <t>Chowdhury</t>
  </si>
  <si>
    <t>A2E721C6689F667D0A495CE2@038d2aa263c9deeb495fea.e</t>
  </si>
  <si>
    <t>ZacharyLaird@montrose-env.com</t>
  </si>
  <si>
    <t>Laird</t>
  </si>
  <si>
    <t>AAA121C5689F7E340A495FCF@038d2aa263c9deeb495fea.e</t>
  </si>
  <si>
    <t>GabbyMcHugh@montrose-env.com</t>
  </si>
  <si>
    <t>Gabby</t>
  </si>
  <si>
    <t>McHugh</t>
  </si>
  <si>
    <t>AA1121AE689FA17D0A495EC2@038d2aa263c9deeb495fea.e</t>
  </si>
  <si>
    <t>NicoleZuniga@montrose-env.com</t>
  </si>
  <si>
    <t>AE7E21B4689FB2460A495E61@038d2aa263c9deeb495fea.e</t>
  </si>
  <si>
    <t>Daniel.Elliott@enthalpy.com</t>
  </si>
  <si>
    <t>daniel.elliott@enthalpy.com</t>
  </si>
  <si>
    <t>F9BC21CF68A331790A495E4A@038d2aa263c9deeb495fea.e</t>
  </si>
  <si>
    <t>erivera@montrose-env.com</t>
  </si>
  <si>
    <t>Eduardo</t>
  </si>
  <si>
    <t>0C4D21DA68A35CA40A495CCA@038d2aa263c9deeb495fea.e</t>
  </si>
  <si>
    <t>AdamLirette@ect2.com</t>
  </si>
  <si>
    <t>Lirette</t>
  </si>
  <si>
    <t>0CF121A568A362160A495E69@038d2aa263c9deeb495fea.e</t>
  </si>
  <si>
    <t>tonorato@montrose-gov.com</t>
  </si>
  <si>
    <t>montrose-gov.com</t>
  </si>
  <si>
    <t>106F224F68A38DDC0A495E3E@038d2aa263c9deeb495fea.e</t>
  </si>
  <si>
    <t>USA - Corp - Federal</t>
  </si>
  <si>
    <t>rbogert@montrose-gov.com</t>
  </si>
  <si>
    <t>Rob</t>
  </si>
  <si>
    <t>16D921D368A38E5B0A495FD1@038d2aa263c9deeb495fea.e</t>
  </si>
  <si>
    <t>lwebb@montrose-gov.com</t>
  </si>
  <si>
    <t>164221A968A38E7B0A495FDF@038d2aa263c9deeb495fea.e</t>
  </si>
  <si>
    <t>danwilczynski@montrose-env.com</t>
  </si>
  <si>
    <t>Wilczynski</t>
  </si>
  <si>
    <t>44E0224F68A4B4D40A495E3E@038d2aa263c9deeb495fea.e</t>
  </si>
  <si>
    <t>jventura@montrose-env.com</t>
  </si>
  <si>
    <t>52A021EB68A4D3300A495FD4@038d2aa263c9deeb495fea.e</t>
  </si>
  <si>
    <t>Jennifer.Christmann@enthalpy.com</t>
  </si>
  <si>
    <t>Christmann</t>
  </si>
  <si>
    <t>561221D768A4E37D0A495FCD@038d2aa263c9deeb495fea.e</t>
  </si>
  <si>
    <t>SophieCollet@montrose-env.com</t>
  </si>
  <si>
    <t>Sophie</t>
  </si>
  <si>
    <t>Collet</t>
  </si>
  <si>
    <t>6D7B21C668A5BD670A495FA2@038d2aa263c9deeb495fea.e</t>
  </si>
  <si>
    <t>elijah.sulal@enthalpy.com</t>
  </si>
  <si>
    <t>Sulal</t>
  </si>
  <si>
    <t>8ACE21DA68A61FAA0A495CCA@038d2aa263c9deeb495fea.e</t>
  </si>
  <si>
    <t>EverettMcAteer@montrose-env.com</t>
  </si>
  <si>
    <t>Everett</t>
  </si>
  <si>
    <t>McAteer</t>
  </si>
  <si>
    <t>10C321A168A754D90A495FC3@038d2aa263c9deeb495fea.e</t>
  </si>
  <si>
    <t>krosenberg@montrose-env.com</t>
  </si>
  <si>
    <t>Rosenberg</t>
  </si>
  <si>
    <t>B03321AF68ACAB740A495C87@038d2aa263c9deeb495fea.e</t>
  </si>
  <si>
    <t>taboyko@montrose-env.com</t>
  </si>
  <si>
    <t>Boyko</t>
  </si>
  <si>
    <t>B1A121A768ACAC6D0A495E40@038d2aa263c9deeb495fea.e</t>
  </si>
  <si>
    <t>JohnFlicker@montrose-env.com</t>
  </si>
  <si>
    <t>Flicker</t>
  </si>
  <si>
    <t>2CD821C168AF74FC0A495E64@038d2aa263c9deeb495fea.e</t>
  </si>
  <si>
    <t>JoseOrtiz@enthalpy.com</t>
  </si>
  <si>
    <t>joseortiz@enthalpy.com</t>
  </si>
  <si>
    <t>Ortiz</t>
  </si>
  <si>
    <t>61DD21C768B0CB520A495C31@038d2aa263c9deeb495fea.e</t>
  </si>
  <si>
    <t>JeffDaniels@montrose-env.com</t>
  </si>
  <si>
    <t>1353222B68B1C9CA0A495EF1@038d2aa263c9deeb495fea.e</t>
  </si>
  <si>
    <t>IlanaNguyen@montrose-env.com</t>
  </si>
  <si>
    <t>Ilana</t>
  </si>
  <si>
    <t>1452220168B1C9CA0A495E69@038d2aa263c9deeb495fea.e</t>
  </si>
  <si>
    <t>LorinChamberlain@montrose-env.com</t>
  </si>
  <si>
    <t>Lorin</t>
  </si>
  <si>
    <t>Chamberlain</t>
  </si>
  <si>
    <t>129F220B68B1CA780A495E86@038d2aa263c9deeb495fea.e</t>
  </si>
  <si>
    <t>amcclure@montrose-env.com</t>
  </si>
  <si>
    <t>McClure</t>
  </si>
  <si>
    <t>1DCF223468B1FA8E0A495E0F@038d2aa263c9deeb495fea.e</t>
  </si>
  <si>
    <t>BrentJohnson@montrose-env.com</t>
  </si>
  <si>
    <t>AB4B223068B72D7D0A495E87@038d2aa263c9deeb495fea.e</t>
  </si>
  <si>
    <t>BrandonStewart@enthalpy.com</t>
  </si>
  <si>
    <t>ADC4220E68B731C90A495C6E@038d2aa263c9deeb495fea.e</t>
  </si>
  <si>
    <t>USA - Env Lab - Orange - G&amp;A</t>
  </si>
  <si>
    <t>SunilaGupta@montrose-env.com</t>
  </si>
  <si>
    <t>Sunila</t>
  </si>
  <si>
    <t>Gupta</t>
  </si>
  <si>
    <t>B3DC220E68B747490A495C1E@038d2aa263c9deeb495fea.e</t>
  </si>
  <si>
    <t>JohnGregory@montrose-env.com</t>
  </si>
  <si>
    <t>B890223168B761D80A495FFB@038d2aa263c9deeb495fea.e</t>
  </si>
  <si>
    <t>marcus.hueppe@enthalpy.com</t>
  </si>
  <si>
    <t>Hueppe</t>
  </si>
  <si>
    <t>E346220B68B864260A495EE3@038d2aa263c9deeb495fea.e</t>
  </si>
  <si>
    <t>jacksullivan@enthalpy.com</t>
  </si>
  <si>
    <t>F8D9222E68B8C2BE0A495C70@038d2aa263c9deeb495fea.e</t>
  </si>
  <si>
    <t>DenverSheets@montrose-env.com</t>
  </si>
  <si>
    <t>Denver</t>
  </si>
  <si>
    <t>Sheets</t>
  </si>
  <si>
    <t>2432230268BA06D40A495FCA@038d2aa263c9deeb495fea.e</t>
  </si>
  <si>
    <t>marios@montrose-env.com</t>
  </si>
  <si>
    <t>Marcos</t>
  </si>
  <si>
    <t>Rios</t>
  </si>
  <si>
    <t>24F522E368BA071F0A495E3C@038d2aa263c9deeb495fea.e</t>
  </si>
  <si>
    <t>SheaHewage@enthalpy.com</t>
  </si>
  <si>
    <t>Shea</t>
  </si>
  <si>
    <t>Hewage</t>
  </si>
  <si>
    <t>3FDF22E368BAE56C0A495E44@038d2aa263c9deeb495fea.e</t>
  </si>
  <si>
    <t>MinhNguyetHong@enthalpy.com</t>
  </si>
  <si>
    <t>Minh-Nguyet</t>
  </si>
  <si>
    <t>Hong</t>
  </si>
  <si>
    <t>5085233668BB5F2B0A495C3F@038d2aa263c9deeb495fea.e</t>
  </si>
  <si>
    <t>minhchi.doan@enthalpy.com</t>
  </si>
  <si>
    <t>MinhChi</t>
  </si>
  <si>
    <t>Doan</t>
  </si>
  <si>
    <t>4D3A230768BB5FAD0A495F91@038d2aa263c9deeb495fea.e</t>
  </si>
  <si>
    <t>cruberti@montrose-env.com</t>
  </si>
  <si>
    <t>Ruberti</t>
  </si>
  <si>
    <t>9C4022E968BED4D10A495FF5@038d2aa263c9deeb495fea.e</t>
  </si>
  <si>
    <t>USA - ECT2 - OH - Safety</t>
  </si>
  <si>
    <t>KatieEberhardt@montrose-env.com</t>
  </si>
  <si>
    <t>Eberhardt</t>
  </si>
  <si>
    <t>A8C3222B68BF0D5B0A495C1B@038d2aa263c9deeb495fea.e</t>
  </si>
  <si>
    <t>IsiahMunoz@montrose-env.com</t>
  </si>
  <si>
    <t>Isiah</t>
  </si>
  <si>
    <t>B59C221468BF51990A495E5E@038d2aa263c9deeb495fea.e</t>
  </si>
  <si>
    <t>JakeDugger@montrose-env.com</t>
  </si>
  <si>
    <t>Dugger</t>
  </si>
  <si>
    <t>D429222168C012A40A495C0D@038d2aa263c9deeb495fea.e</t>
  </si>
  <si>
    <t>ChristosStamatis@montrose-env.com</t>
  </si>
  <si>
    <t>Christos</t>
  </si>
  <si>
    <t>Stamatis</t>
  </si>
  <si>
    <t>D5E4230E68C02A8F0A495CC1@038d2aa263c9deeb495fea.e</t>
  </si>
  <si>
    <t>jaevans@montrose-env.com</t>
  </si>
  <si>
    <t>Jim.Evans@enthalpy.com</t>
  </si>
  <si>
    <t>DAD422E068C0422C0A495FCD@038d2aa263c9deeb495fea.e</t>
  </si>
  <si>
    <t>GabrielGadwood@montrose-env.com</t>
  </si>
  <si>
    <t>Gadwood</t>
  </si>
  <si>
    <t>DDAE222168C0442D0A495C0D@038d2aa263c9deeb495fea.e</t>
  </si>
  <si>
    <t>JaLaFleur@montrose-env.com</t>
  </si>
  <si>
    <t>LaFleur</t>
  </si>
  <si>
    <t>E2B4221668C04E610A495CD2@038d2aa263c9deeb495fea.e</t>
  </si>
  <si>
    <t>thhelmich@montrose-env.com</t>
  </si>
  <si>
    <t>Helmich</t>
  </si>
  <si>
    <t>1316230268C16B610A495FCA@038d2aa263c9deeb495fea.e</t>
  </si>
  <si>
    <t>HollyLinton@ect2.com</t>
  </si>
  <si>
    <t>Linton</t>
  </si>
  <si>
    <t>0FCA22E868C1770A0A495E14@038d2aa263c9deeb495fea.e</t>
  </si>
  <si>
    <t>jacob.mcfadden@enthalpy.com</t>
  </si>
  <si>
    <t>21F3230A68C1BA650A495FC0@038d2aa263c9deeb495fea.e</t>
  </si>
  <si>
    <t>KeithTura@montrose-env.com</t>
  </si>
  <si>
    <t>Keith</t>
  </si>
  <si>
    <t>Tura</t>
  </si>
  <si>
    <t>18DA230568C315D30A495EEF@038d2aa263c9deeb495fea.e</t>
  </si>
  <si>
    <t>vasilkhaliaukin@enthalpy.com</t>
  </si>
  <si>
    <t>Vasil</t>
  </si>
  <si>
    <t>Khaliaukin</t>
  </si>
  <si>
    <t>5007231468C46AE10A495E13@038d2aa263c9deeb495fea.e</t>
  </si>
  <si>
    <t>SuzanneRoche@montrose-env.com</t>
  </si>
  <si>
    <t>Suzanne</t>
  </si>
  <si>
    <t>Roche</t>
  </si>
  <si>
    <t>A31422E568C8199F0A495C86@038d2aa263c9deeb495fea.e</t>
  </si>
  <si>
    <t>AlexanderFucci@enthalpy.com</t>
  </si>
  <si>
    <t>Fucci</t>
  </si>
  <si>
    <t>ADB522E568C848E30A495C86@038d2aa263c9deeb495fea.e</t>
  </si>
  <si>
    <t>JordanGoff@montrose-env.com</t>
  </si>
  <si>
    <t>Goff</t>
  </si>
  <si>
    <t>E100230E68C983840A495C37@038d2aa263c9deeb495fea.e</t>
  </si>
  <si>
    <t>ErichHeinzel@montrose-env.com</t>
  </si>
  <si>
    <t>Erich</t>
  </si>
  <si>
    <t>Heinzel</t>
  </si>
  <si>
    <t>22F7226868CAFE860A495C3B@038d2aa263c9deeb495fea.e</t>
  </si>
  <si>
    <t>KaitlynCaminiti@enthalpy.com</t>
  </si>
  <si>
    <t>Caminiti</t>
  </si>
  <si>
    <t>269F21E668CB0F5A0A495F85@038d2aa263c9deeb495fea.e</t>
  </si>
  <si>
    <t>ShannonWiley@montrose-env.com</t>
  </si>
  <si>
    <t>Wiley</t>
  </si>
  <si>
    <t>282B220268CB14C30A495F95@038d2aa263c9deeb495fea.e</t>
  </si>
  <si>
    <t>bettina.benedict@enthalpy.com</t>
  </si>
  <si>
    <t>Bettina</t>
  </si>
  <si>
    <t>Benedict</t>
  </si>
  <si>
    <t>548F220568CC42AF0A495E98@038d2aa263c9deeb495fea.e</t>
  </si>
  <si>
    <t>atianaromain@enthalpy.com</t>
  </si>
  <si>
    <t>Atiana</t>
  </si>
  <si>
    <t>Romain</t>
  </si>
  <si>
    <t>581A220C68CC6FCB0A495E58@038d2aa263c9deeb495fea.e</t>
  </si>
  <si>
    <t>CodyMiller@montrose-env.com</t>
  </si>
  <si>
    <t>Cody</t>
  </si>
  <si>
    <t>5AC8223268CC778C0A495E40@038d2aa263c9deeb495fea.e</t>
  </si>
  <si>
    <t>GradyGermain@montrose-env.com</t>
  </si>
  <si>
    <t>Grady</t>
  </si>
  <si>
    <t>Germain</t>
  </si>
  <si>
    <t>DA27220868D1899F0A495C34@038d2aa263c9deeb495fea.e</t>
  </si>
  <si>
    <t>MichelleBrooks@montrose-env.com</t>
  </si>
  <si>
    <t>D83A220268D18CEF0A495F95@038d2aa263c9deeb495fea.e</t>
  </si>
  <si>
    <t>dimontes@montrose-env.com</t>
  </si>
  <si>
    <t>Dianne</t>
  </si>
  <si>
    <t>Montes</t>
  </si>
  <si>
    <t>E0BD223168D1957B0A495C8A@038d2aa263c9deeb495fea.e</t>
  </si>
  <si>
    <t>ChristaWelch@montrose-env.com</t>
  </si>
  <si>
    <t>Christa</t>
  </si>
  <si>
    <t>DC3421A668D1A09C0A495FF3@038d2aa263c9deeb495fea.e</t>
  </si>
  <si>
    <t>asepulveda@ect2.com</t>
  </si>
  <si>
    <t>Sepulveda</t>
  </si>
  <si>
    <t>0652221568D2D5550A495C0C@038d2aa263c9deeb495fea.e</t>
  </si>
  <si>
    <t>davidtkac@enthalpy.com</t>
  </si>
  <si>
    <t>Tkac</t>
  </si>
  <si>
    <t>2D60220C68D40C650A495EDC@038d2aa263c9deeb495fea.e</t>
  </si>
  <si>
    <t>MaddyJordan@montrose-env.com</t>
  </si>
  <si>
    <t>Maddy</t>
  </si>
  <si>
    <t>3B2421A168D472380A495F90@038d2aa263c9deeb495fea.e</t>
  </si>
  <si>
    <t>SarahKirby@montrose-env.com</t>
  </si>
  <si>
    <t>5F15220A68D58EDD0A495EE8@038d2aa263c9deeb495fea.e</t>
  </si>
  <si>
    <t>noellemathis@enthalpy.com</t>
  </si>
  <si>
    <t>7186220568D60A2E0A495FA9@038d2aa263c9deeb495fea.e</t>
  </si>
  <si>
    <t>nicholas.dixon@enthalpy.com</t>
  </si>
  <si>
    <t>Dixon</t>
  </si>
  <si>
    <t>8083220B68D6B5DC0A495CE0@038d2aa263c9deeb495fea.e</t>
  </si>
  <si>
    <t>ChristopherWambach@montrose-env.com</t>
  </si>
  <si>
    <t>Wambach</t>
  </si>
  <si>
    <t>7F55220568D6E7630A495E51@038d2aa263c9deeb495fea.e</t>
  </si>
  <si>
    <t>NatashaGriswold@montrose-env.com</t>
  </si>
  <si>
    <t>Natasha</t>
  </si>
  <si>
    <t>Griswold</t>
  </si>
  <si>
    <t>875D21A468D6E7BA0A495FD5@038d2aa263c9deeb495fea.e</t>
  </si>
  <si>
    <t>brgiordanolanza@montrose-env.com</t>
  </si>
  <si>
    <t>Giordanolanza</t>
  </si>
  <si>
    <t>AF06221168D943070A495FC1@038d2aa263c9deeb495fea.e</t>
  </si>
  <si>
    <t>LaurenHill@montrose-env.com</t>
  </si>
  <si>
    <t>E97B220868DAEB170A495EDF@038d2aa263c9deeb495fea.e</t>
  </si>
  <si>
    <t>RyanMcKay@montrose-env.com</t>
  </si>
  <si>
    <t>ryanmckay@montrose-env.com</t>
  </si>
  <si>
    <t>McKay</t>
  </si>
  <si>
    <t>F790220568DB0B8C0A495E98@038d2aa263c9deeb495fea.e</t>
  </si>
  <si>
    <t>WesleyBear@montrose-env.com</t>
  </si>
  <si>
    <t>Bear</t>
  </si>
  <si>
    <t>4C4B219A68DD55A20A495FAE@038d2aa263c9deeb495fea.e</t>
  </si>
  <si>
    <t>jhlee@montrose-env.com</t>
  </si>
  <si>
    <t>Jacqueline</t>
  </si>
  <si>
    <t>457C219F68DD591E0A495FCB@038d2aa263c9deeb495fea.e</t>
  </si>
  <si>
    <t>YerbolMyrzagulov@ect2.com</t>
  </si>
  <si>
    <t>Yerbol</t>
  </si>
  <si>
    <t>Myrzagulov</t>
  </si>
  <si>
    <t>4950220C68DD63290A495C65@038d2aa263c9deeb495fea.e</t>
  </si>
  <si>
    <t>robertosborn@montrose-env.com</t>
  </si>
  <si>
    <t>Osborn</t>
  </si>
  <si>
    <t>7AD4219A68DE988A0A495FAE@038d2aa263c9deeb495fea.e</t>
  </si>
  <si>
    <t>aaron.petersen@enthalpy.com</t>
  </si>
  <si>
    <t>josh.petersen@enthalpy.com</t>
  </si>
  <si>
    <t>Petersen</t>
  </si>
  <si>
    <t>77AE222F68DEB1FD0A495FE9@038d2aa263c9deeb495fea.e</t>
  </si>
  <si>
    <t>jboulware@montrose-env.com</t>
  </si>
  <si>
    <t>Judith</t>
  </si>
  <si>
    <t>Boulware</t>
  </si>
  <si>
    <t>06E122FB68DFCB470A495C47@038d2aa263c9deeb495fea.e</t>
  </si>
  <si>
    <t>KaitlynOBoyle@montrose-env.com</t>
  </si>
  <si>
    <t>OBoyle</t>
  </si>
  <si>
    <t>0C8A232868DFE8F70A495FD7@038d2aa263c9deeb495fea.e</t>
  </si>
  <si>
    <t>SaraHempe@montrose-env.com</t>
  </si>
  <si>
    <t>Hempe</t>
  </si>
  <si>
    <t>0E1F230968DFEE030A495C24@038d2aa263c9deeb495fea.e</t>
  </si>
  <si>
    <t>GraceFroehlich@montrose-env.com</t>
  </si>
  <si>
    <t>Froehlich</t>
  </si>
  <si>
    <t>0C40232868DFEF7C0A495E52@038d2aa263c9deeb495fea.e</t>
  </si>
  <si>
    <t>MarissaBruno@montrose-env.com</t>
  </si>
  <si>
    <t>Marissa</t>
  </si>
  <si>
    <t>Bruno</t>
  </si>
  <si>
    <t>0CFE230968DFEFEC0A495C37@038d2aa263c9deeb495fea.e</t>
  </si>
  <si>
    <t>sadater@montrose-env.com</t>
  </si>
  <si>
    <t>Dater</t>
  </si>
  <si>
    <t>485C232A68E31C8D0A495FAB@038d2aa263c9deeb495fea.e</t>
  </si>
  <si>
    <t>PhillipCisco@montrose-env.com</t>
  </si>
  <si>
    <t>Cisco</t>
  </si>
  <si>
    <t>6C8122F568E425690A495FC7@038d2aa263c9deeb495fea.e</t>
  </si>
  <si>
    <t>RayyanJohnson@montrose-env.com</t>
  </si>
  <si>
    <t>Rayyan</t>
  </si>
  <si>
    <t>6AA5231868E4407D0A495CB9@038d2aa263c9deeb495fea.e</t>
  </si>
  <si>
    <t>zaraves@montrose-env.com</t>
  </si>
  <si>
    <t>Raves</t>
  </si>
  <si>
    <t>7C03232468E4EC9E0A495FEE@038d2aa263c9deeb495fea.e</t>
  </si>
  <si>
    <t>BrittanyGamboa@montrose-env.com</t>
  </si>
  <si>
    <t>884A230368E531AB0A495C1B@038d2aa263c9deeb495fea.e</t>
  </si>
  <si>
    <t>garyscoggin@montrose-env.com</t>
  </si>
  <si>
    <t>Scoggin</t>
  </si>
  <si>
    <t>8D0522F868E5528F0A495E0D@038d2aa263c9deeb495fea.e</t>
  </si>
  <si>
    <t>CullenFlanders@montrose-env.com</t>
  </si>
  <si>
    <t>Cullen</t>
  </si>
  <si>
    <t>Flanders</t>
  </si>
  <si>
    <t>AB3122FF68E669220A495E66@038d2aa263c9deeb495fea.e</t>
  </si>
  <si>
    <t>ShrayaChangela@enthalpy.com</t>
  </si>
  <si>
    <t>Shraya</t>
  </si>
  <si>
    <t>Changela</t>
  </si>
  <si>
    <t>B5CD22FC68E6B6AB0A495C4E@038d2aa263c9deeb495fea.e</t>
  </si>
  <si>
    <t>TrexlerProffitt@montrose-env.com</t>
  </si>
  <si>
    <t>Trexler</t>
  </si>
  <si>
    <t>Proffitt</t>
  </si>
  <si>
    <t>D01B231868E7C67A0A495CB9@038d2aa263c9deeb495fea.e</t>
  </si>
  <si>
    <t>JackCiulla@montrose-env.com</t>
  </si>
  <si>
    <t>Ciulla</t>
  </si>
  <si>
    <t>D93A232E68E7E64F0A495FF8@038d2aa263c9deeb495fea.e</t>
  </si>
  <si>
    <t>FarrellBell@montrose-env.com</t>
  </si>
  <si>
    <t>1F8022F868EE65110A495C38@038d2aa263c9deeb495fea.e</t>
  </si>
  <si>
    <t>MelindaKoziol@montrose-env.com</t>
  </si>
  <si>
    <t>Koziol</t>
  </si>
  <si>
    <t>284C22D168EE99130A495FBF@038d2aa263c9deeb495fea.e</t>
  </si>
  <si>
    <t>IzzieTurner@montrose-env.com</t>
  </si>
  <si>
    <t>Izzie</t>
  </si>
  <si>
    <t>Turner</t>
  </si>
  <si>
    <t>2A7E22EF68EE9D550A495E6B@038d2aa263c9deeb495fea.e</t>
  </si>
  <si>
    <t>nasullivan@montrose-env.com</t>
  </si>
  <si>
    <t>2A8B22C768EE9F920A495FC1@038d2aa263c9deeb495fea.e</t>
  </si>
  <si>
    <t>PhilipCisco@montrose-env.com</t>
  </si>
  <si>
    <t>549922DE68EFF5690A495C06@038d2aa263c9deeb495fea.e</t>
  </si>
  <si>
    <t>cvalligny@montrose-env.com</t>
  </si>
  <si>
    <t>Valligny</t>
  </si>
  <si>
    <t>0EC322CE68F126430A495C1D@038d2aa263c9deeb495fea.e</t>
  </si>
  <si>
    <t>jagruzalski@montrose-env.com</t>
  </si>
  <si>
    <t>Gruzalski</t>
  </si>
  <si>
    <t>324922FE68F25AE80A495E7A@038d2aa263c9deeb495fea.e</t>
  </si>
  <si>
    <t>IsabellaMitchell@montrose-env.com</t>
  </si>
  <si>
    <t>Mitchell</t>
  </si>
  <si>
    <t>9C0522CC68F67BE80A495C21@038d2aa263c9deeb495fea.e</t>
  </si>
  <si>
    <t>LaurynYevincy@montrose-env.com</t>
  </si>
  <si>
    <t>Lauryn</t>
  </si>
  <si>
    <t>Yevincy</t>
  </si>
  <si>
    <t>A5D222F168F69D2B0A495EF7@038d2aa263c9deeb495fea.e</t>
  </si>
  <si>
    <t>BenHaith@montrose-env.com</t>
  </si>
  <si>
    <t>Haith</t>
  </si>
  <si>
    <t>CC6F231C68F7ACC10A495CCF@038d2aa263c9deeb495fea.e</t>
  </si>
  <si>
    <t>ShadManning@montrose-env.com</t>
  </si>
  <si>
    <t>Shad</t>
  </si>
  <si>
    <t>Manning</t>
  </si>
  <si>
    <t>CFC222FE68F7DBCD0A495E91@038d2aa263c9deeb495fea.e</t>
  </si>
  <si>
    <t>KailMarler@enthalpy.com</t>
  </si>
  <si>
    <t>Kail</t>
  </si>
  <si>
    <t>Marler</t>
  </si>
  <si>
    <t>D50322C268F7FD300A495C5F@038d2aa263c9deeb495fea.e</t>
  </si>
  <si>
    <t>LilliStanley@enthalpy.com</t>
  </si>
  <si>
    <t>Lilli</t>
  </si>
  <si>
    <t>EF8B22CE68F8C7630A495C4A@038d2aa263c9deeb495fea.e</t>
  </si>
  <si>
    <t>jgoldfine@montrose-env.com</t>
  </si>
  <si>
    <t>Goldfine</t>
  </si>
  <si>
    <t>01D822CA68F91E690A495CB0@038d2aa263c9deeb495fea.e</t>
  </si>
  <si>
    <t>travis.greene@enthalpy.com</t>
  </si>
  <si>
    <t>131422CA68F95C250A495E22@038d2aa263c9deeb495fea.e</t>
  </si>
  <si>
    <t>Mksmith@montrose-env.com</t>
  </si>
  <si>
    <t>Mk</t>
  </si>
  <si>
    <t>0BC922EE68F95C260A495EB6@038d2aa263c9deeb495fea.e</t>
  </si>
  <si>
    <t>DanielBurke@enthalpy.com</t>
  </si>
  <si>
    <t>Daniel Burke</t>
  </si>
  <si>
    <t>0D3E229968F95C270A495F9A@038d2aa263c9deeb495fea.e</t>
  </si>
  <si>
    <t>alyssalawrence@enthalpy.com</t>
  </si>
  <si>
    <t>0CC922CD68F95C270A495C04@038d2aa263c9deeb495fea.e</t>
  </si>
  <si>
    <t>AbbyMoss@montrose-env.com</t>
  </si>
  <si>
    <t>Abby</t>
  </si>
  <si>
    <t>Moss</t>
  </si>
  <si>
    <t>21B122C468FA01260A495C74@038d2aa263c9deeb495fea.e</t>
  </si>
  <si>
    <t>MaryHill@montrose-env.com</t>
  </si>
  <si>
    <t>1FE922BA68FA01270A495EEB@038d2aa263c9deeb495fea.e</t>
  </si>
  <si>
    <t>KaiCastle@montrose-env.com</t>
  </si>
  <si>
    <t>Kai</t>
  </si>
  <si>
    <t>Castle</t>
  </si>
  <si>
    <t>1EC622CD68FA01270A495C04@038d2aa263c9deeb495fea.e</t>
  </si>
  <si>
    <t>ChayVanDyke@montrose-env.com</t>
  </si>
  <si>
    <t>Chay</t>
  </si>
  <si>
    <t>VanDyke</t>
  </si>
  <si>
    <t>20CD22C468FA02B70A495FD9@038d2aa263c9deeb495fea.e</t>
  </si>
  <si>
    <t>MarilynnRobinson@montrose-env.com</t>
  </si>
  <si>
    <t>Marilynn</t>
  </si>
  <si>
    <t>582922CB68FBA5ED0A495CEC@038d2aa263c9deeb495fea.e</t>
  </si>
  <si>
    <t>USA - MES - Segment</t>
  </si>
  <si>
    <t>RossHipple@montrose-env.com</t>
  </si>
  <si>
    <t>Hipple</t>
  </si>
  <si>
    <t>C5E322CF68FF90C20A495E7E@038d2aa263c9deeb495fea.e</t>
  </si>
  <si>
    <t>JoshMoralez@montrose-env.com</t>
  </si>
  <si>
    <t>Moralez</t>
  </si>
  <si>
    <t>C06222E168FFA9A30A495FD7@038d2aa263c9deeb495fea.e</t>
  </si>
  <si>
    <t>chrobare@ect2.com</t>
  </si>
  <si>
    <t>Robare</t>
  </si>
  <si>
    <t>F11A22BA6900BFB40A495EEB@038d2aa263c9deeb495fea.e</t>
  </si>
  <si>
    <t>AngelaLewis@enthalpy.com</t>
  </si>
  <si>
    <t>319222F1690243700A495EF7@038d2aa263c9deeb495fea.e</t>
  </si>
  <si>
    <t>apucevich@matrix-solutions.com</t>
  </si>
  <si>
    <t>matrix-solutions.com</t>
  </si>
  <si>
    <t>Pucevich</t>
  </si>
  <si>
    <t>366122CE69024ABE0A495C63@038d2aa263c9deeb495fea.e</t>
  </si>
  <si>
    <t>amydietrich@montrose-env.com</t>
  </si>
  <si>
    <t>Dietrich</t>
  </si>
  <si>
    <t>3C1222D36902ACFF0A495C75@038d2aa263c9deeb495fea.e</t>
  </si>
  <si>
    <t>SarahSimonson@montrose-env.com</t>
  </si>
  <si>
    <t>Simonson</t>
  </si>
  <si>
    <t>649922EC6903A1CF0A495CE3@038d2aa263c9deeb495fea.e</t>
  </si>
  <si>
    <t>JoanaSaenzQuiroz@montrose-env.com</t>
  </si>
  <si>
    <t>Joana</t>
  </si>
  <si>
    <t>Saenz Quiroz</t>
  </si>
  <si>
    <t>6AE622E76903CC200A495F94@038d2aa263c9deeb495fea.e</t>
  </si>
  <si>
    <t>BarrettHouchen@montrose-env.com</t>
  </si>
  <si>
    <t>Barrett</t>
  </si>
  <si>
    <t>Houchen</t>
  </si>
  <si>
    <t>935522CC6905328C0A495CE4@038d2aa263c9deeb495fea.e</t>
  </si>
  <si>
    <t>ColeJimerson@montrose-env.com</t>
  </si>
  <si>
    <t>Jimerson</t>
  </si>
  <si>
    <t>96F1231C6905328D0A495CCF@038d2aa263c9deeb495fea.e</t>
  </si>
  <si>
    <t>josiahreamy@montrose-env.com</t>
  </si>
  <si>
    <t>Josiah</t>
  </si>
  <si>
    <t>Reamy</t>
  </si>
  <si>
    <t>915222CB6905330F0A495CEC@038d2aa263c9deeb495fea.e</t>
  </si>
  <si>
    <t>JuliaMatney@montrose-env.com</t>
  </si>
  <si>
    <t>Matney</t>
  </si>
  <si>
    <t>8BD622B9690533100A495F8C@038d2aa263c9deeb495fea.e</t>
  </si>
  <si>
    <t>AllysenValencia@montrose-env.com</t>
  </si>
  <si>
    <t>Allysen</t>
  </si>
  <si>
    <t>Valencia</t>
  </si>
  <si>
    <t>FDC022CC69090FB50A495E19@038d2aa263c9deeb495fea.e</t>
  </si>
  <si>
    <t>JakeWilloughby@montrose-env.com</t>
  </si>
  <si>
    <t>Willoughby</t>
  </si>
  <si>
    <t>FE5822D3690913B30A495FCA@038d2aa263c9deeb495fea.e</t>
  </si>
  <si>
    <t>ryanahlberg@montrose-env.com</t>
  </si>
  <si>
    <t>Ahlberg</t>
  </si>
  <si>
    <t>FD6122E3690917110A495FDD@038d2aa263c9deeb495fea.e</t>
  </si>
  <si>
    <t>DonTaylor@ect2.com</t>
  </si>
  <si>
    <t>Don</t>
  </si>
  <si>
    <t>053522CD690953580A495F87@038d2aa263c9deeb495fea.e</t>
  </si>
  <si>
    <t>Sfroelicher@montrose-env.com</t>
  </si>
  <si>
    <t>Froelicher</t>
  </si>
  <si>
    <t>21B422CF6909F6CD0A495E7E@038d2aa263c9deeb495fea.e</t>
  </si>
  <si>
    <t>BradleyMills@montrose-env.com</t>
  </si>
  <si>
    <t>Mills</t>
  </si>
  <si>
    <t>1D5222D7690A05DF0A495E88@038d2aa263c9deeb495fea.e</t>
  </si>
  <si>
    <t>TroyGill@montrose-env.com</t>
  </si>
  <si>
    <t>688722BA690BB4160A495EEB@038d2aa263c9deeb495fea.e</t>
  </si>
  <si>
    <t>wilange@montrose-env.com</t>
  </si>
  <si>
    <t>Lange</t>
  </si>
  <si>
    <t>178222F4690CEB800A495FD4@038d2aa263c9deeb495fea.e</t>
  </si>
  <si>
    <t>kellyhogue@enthalpy.com</t>
  </si>
  <si>
    <t>Hogue</t>
  </si>
  <si>
    <t>497B22E7690E4CE60A495C4B@038d2aa263c9deeb495fea.e</t>
  </si>
  <si>
    <t>TariqSpring@enthalpy.com</t>
  </si>
  <si>
    <t>Spring</t>
  </si>
  <si>
    <t>5109231C690E849C0A495FBE@038d2aa263c9deeb495fea.e</t>
  </si>
  <si>
    <t>DavidRauscher@montrose-env.com</t>
  </si>
  <si>
    <t>Rauscher</t>
  </si>
  <si>
    <t>AB8222DD691206C60A495C3F@038d2aa263c9deeb495fea.e</t>
  </si>
  <si>
    <t>tathomas@montrose-env.com</t>
  </si>
  <si>
    <t>101B22EC6914C01D0A495E23@038d2aa263c9deeb495fea.e</t>
  </si>
  <si>
    <t>cguesnon@montrose-env.com</t>
  </si>
  <si>
    <t>Guesnon</t>
  </si>
  <si>
    <t>164322F46914D61A0A495CB9@038d2aa263c9deeb495fea.e</t>
  </si>
  <si>
    <t>EricMirkovich@montrose-env.com</t>
  </si>
  <si>
    <t>Mirkovich</t>
  </si>
  <si>
    <t>3DF422E26915F1700A495F93@038d2aa263c9deeb495fea.e</t>
  </si>
  <si>
    <t>LucienAnderson@montrose-env.com</t>
  </si>
  <si>
    <t>Lucien</t>
  </si>
  <si>
    <t>47A42307691649550A495E0D@038d2aa263c9deeb495fea.e</t>
  </si>
  <si>
    <t>NickDanna@monmtrose-env.com</t>
  </si>
  <si>
    <t>monmtrose-env.com</t>
  </si>
  <si>
    <t>Nick</t>
  </si>
  <si>
    <t>Danna</t>
  </si>
  <si>
    <t>4886235E691649550A495FAA@038d2aa263c9deeb495fea.e</t>
  </si>
  <si>
    <t>MichelleLaureano@montrose-env.com</t>
  </si>
  <si>
    <t>Laureano Garibaldi</t>
  </si>
  <si>
    <t>47B5230C691649560A495E4A@038d2aa263c9deeb495fea.e</t>
  </si>
  <si>
    <t>TobyReed@montrose-env.com</t>
  </si>
  <si>
    <t>47AD22F269164A4C0A495FA2@038d2aa263c9deeb495fea.e</t>
  </si>
  <si>
    <t>JacobAbdulla@montrose-env.com</t>
  </si>
  <si>
    <t>Abdulla</t>
  </si>
  <si>
    <t>4A7E22F469164A4C0A495F9C@038d2aa263c9deeb495fea.e</t>
  </si>
  <si>
    <t>PabloAgudelo@montrose-env.com</t>
  </si>
  <si>
    <t>Pablo</t>
  </si>
  <si>
    <t>Agudelo</t>
  </si>
  <si>
    <t>47FE22F369164A4D0A495FE8@038d2aa263c9deeb495fea.e</t>
  </si>
  <si>
    <t>jlhuffman@montrose-env.com</t>
  </si>
  <si>
    <t>Huffman</t>
  </si>
  <si>
    <t>44B422FA691650640A495C70@038d2aa263c9deeb495fea.e</t>
  </si>
  <si>
    <t>danidiaz@montrose-env.com</t>
  </si>
  <si>
    <t>Dani</t>
  </si>
  <si>
    <t>513E22E2691658020A495F93@038d2aa263c9deeb495fea.e</t>
  </si>
  <si>
    <t>austinsnavely@enthalpy.com</t>
  </si>
  <si>
    <t>Snavely</t>
  </si>
  <si>
    <t>863222BA6917C8D00A495C3C@038d2aa263c9deeb495fea.e</t>
  </si>
  <si>
    <t>innagenroberts@montrose-env.com</t>
  </si>
  <si>
    <t>Innagen</t>
  </si>
  <si>
    <t>7CC122F36917CCB00A495FE8@038d2aa263c9deeb495fea.e</t>
  </si>
  <si>
    <t>sarahley@montrose-env.com</t>
  </si>
  <si>
    <t>Ley</t>
  </si>
  <si>
    <t>F91B230A691C17DB0A495FDA@038d2aa263c9deeb495fea.e</t>
  </si>
  <si>
    <t>PaigeWolski@montrose-env.com</t>
  </si>
  <si>
    <t>paigewolski@montrose-env.com</t>
  </si>
  <si>
    <t>Wolski</t>
  </si>
  <si>
    <t>07FB22F4691C93AB0A495F8A@038d2aa263c9deeb495fea.e</t>
  </si>
  <si>
    <t>erpeck@montrose-env.com</t>
  </si>
  <si>
    <t>Peck</t>
  </si>
  <si>
    <t>17E322E5691CDB410A495CBC@038d2aa263c9deeb495fea.e</t>
  </si>
  <si>
    <t>gagomez@montrose-env.com</t>
  </si>
  <si>
    <t>Gabriella</t>
  </si>
  <si>
    <t>Gomez</t>
  </si>
  <si>
    <t>18FF230C691CEC100A495E4A@038d2aa263c9deeb495fea.e</t>
  </si>
  <si>
    <t>meboyer@montrose-env.com</t>
  </si>
  <si>
    <t>meredithboyer@montrose-env.com</t>
  </si>
  <si>
    <t>Boyer</t>
  </si>
  <si>
    <t>4C09231A691E3CA10A495EDC@038d2aa263c9deeb495fea.e</t>
  </si>
  <si>
    <t>FatimaElmouden@montrose-env.com</t>
  </si>
  <si>
    <t>Elmouden</t>
  </si>
  <si>
    <t>4E7122DD691E3E8E0A495FDC@038d2aa263c9deeb495fea.e</t>
  </si>
  <si>
    <t>christhoeny@montrose-env.com</t>
  </si>
  <si>
    <t>Thoeny</t>
  </si>
  <si>
    <t>0B6921EB691F31620A495CC9@038d2aa263c9deeb495fea.e</t>
  </si>
  <si>
    <t>MichelleChapekis@montrose-env.com</t>
  </si>
  <si>
    <t>Chapekis</t>
  </si>
  <si>
    <t>442E21D66920A4100A495E54@038d2aa263c9deeb495fea.e</t>
  </si>
  <si>
    <t>LeahMeyer@montrose-env.com</t>
  </si>
  <si>
    <t>Meyer</t>
  </si>
  <si>
    <t>B03B21EA6924B95E0A495CF8@038d2aa263c9deeb495fea.e</t>
  </si>
  <si>
    <t>DhurbaRajPandey@enthalpy.com</t>
  </si>
  <si>
    <t>Dhurba Raj</t>
  </si>
  <si>
    <t>Pandey</t>
  </si>
  <si>
    <t>B36921E46924B9E80A495C05@038d2aa263c9deeb495fea.e</t>
  </si>
  <si>
    <t>UrsulaBakken@montrose-env.com</t>
  </si>
  <si>
    <t>Ursula</t>
  </si>
  <si>
    <t>Bakken</t>
  </si>
  <si>
    <t>E1DD21FB6926304D0A495FF0@038d2aa263c9deeb495fea.e</t>
  </si>
  <si>
    <t>CarlMoczydlowsky@montrose-env.com</t>
  </si>
  <si>
    <t>CarlM@montrose-env.com</t>
  </si>
  <si>
    <t>Moczydlowsky</t>
  </si>
  <si>
    <t>E7B221F769265C0A0A495FD0@038d2aa263c9deeb495fea.e</t>
  </si>
  <si>
    <t>BrianNordmann@montrose-env.com</t>
  </si>
  <si>
    <t>Nordmann</t>
  </si>
  <si>
    <t>E84247AD69265C5B0A495E32@038d2aa263c9deeb495fea.e</t>
  </si>
  <si>
    <t>enalvarado@montrose-env.com</t>
  </si>
  <si>
    <t>Enrique</t>
  </si>
  <si>
    <t>Alvarado</t>
  </si>
  <si>
    <t>573421ED6929F5A30A495C39@038d2aa263c9deeb495fea.e</t>
  </si>
  <si>
    <t>KobeLott@enthalpy.com</t>
  </si>
  <si>
    <t>Kobe</t>
  </si>
  <si>
    <t>Lott</t>
  </si>
  <si>
    <t>B4562216692DC70E0A495C19@038d2aa263c9deeb495fea.e</t>
  </si>
  <si>
    <t>JamesLanderos@montrose-env.com</t>
  </si>
  <si>
    <t>Landeros</t>
  </si>
  <si>
    <t>B3FF21EB692DE5FA0A495FEB@038d2aa263c9deeb495fea.e</t>
  </si>
  <si>
    <t>NakshatraSingh@montrose-env.com</t>
  </si>
  <si>
    <t>Nakshatra</t>
  </si>
  <si>
    <t>B81021D7692DF63D0A495E62@038d2aa263c9deeb495fea.e</t>
  </si>
  <si>
    <t>JarettZelinsky@montrose-env.com</t>
  </si>
  <si>
    <t>Jarett</t>
  </si>
  <si>
    <t>Zelinsky</t>
  </si>
  <si>
    <t>BDD621D3692DFD390A495CB1@038d2aa263c9deeb495fea.e</t>
  </si>
  <si>
    <t>CameronSchuler@montrose-env.com</t>
  </si>
  <si>
    <t>BA6421FB692E03340A495F96@038d2aa263c9deeb495fea.e</t>
  </si>
  <si>
    <t>TeresaHamilton@enthalpy.com</t>
  </si>
  <si>
    <t>C3BC21FB692E27580A495FB7@038d2aa263c9deeb495fea.e</t>
  </si>
  <si>
    <t>ReeceIannacone@montrose-env.com</t>
  </si>
  <si>
    <t>Reece</t>
  </si>
  <si>
    <t>Iannacone</t>
  </si>
  <si>
    <t>BEF821EC692E27920A495C22@038d2aa263c9deeb495fea.e</t>
  </si>
  <si>
    <t>jaterry@montrose-env.com</t>
  </si>
  <si>
    <t>EA3E47AD692F4AAE0A495E32@038d2aa263c9deeb495fea.e</t>
  </si>
  <si>
    <t>SelahTatem@montrose-env.com</t>
  </si>
  <si>
    <t>Selah</t>
  </si>
  <si>
    <t>Tatem</t>
  </si>
  <si>
    <t>13E5482F6930722C0A495E1E@038d2aa263c9deeb495fea.e</t>
  </si>
  <si>
    <t>DylanLipscomb@montrose-env.com</t>
  </si>
  <si>
    <t>Lipscomb</t>
  </si>
  <si>
    <t>110621D16930722D0A495E22@038d2aa263c9deeb495fea.e</t>
  </si>
  <si>
    <t>AnaliseBracci@montrose-env.com</t>
  </si>
  <si>
    <t>Analise</t>
  </si>
  <si>
    <t>Bracci</t>
  </si>
  <si>
    <t>0FF421D56930722D0A495FA3@038d2aa263c9deeb495fea.e</t>
  </si>
  <si>
    <t>SeanGriffin@montrose-env.com</t>
  </si>
  <si>
    <t>099621EC6930722E0A495FB5@038d2aa263c9deeb495fea.e</t>
  </si>
  <si>
    <t>SebastianNiestepski@montrose-env.com</t>
  </si>
  <si>
    <t>Sebastian</t>
  </si>
  <si>
    <t>Niestepski</t>
  </si>
  <si>
    <t>0F36225B6930722E0A495C2C@038d2aa263c9deeb495fea.e</t>
  </si>
  <si>
    <t>MarcosPadilla@montrose-env.com</t>
  </si>
  <si>
    <t>173521CE6930A0590A495C6C@038d2aa263c9deeb495fea.e</t>
  </si>
  <si>
    <t>ErickEstrada@montrose-env.com</t>
  </si>
  <si>
    <t>Erick</t>
  </si>
  <si>
    <t>Estrada</t>
  </si>
  <si>
    <t>0D5E21E56930A05A0A495CB0@038d2aa263c9deeb495fea.e</t>
  </si>
  <si>
    <t>rshen@montrose-env.com</t>
  </si>
  <si>
    <t>Shen</t>
  </si>
  <si>
    <t>390F21D76931DBDC0A495FEC@038d2aa263c9deeb495fea.e</t>
  </si>
  <si>
    <t>JasonManzo@montrose-env.com</t>
  </si>
  <si>
    <t>Manzo</t>
  </si>
  <si>
    <t>82AA21DC69349ED50A495FAC@038d2aa263c9deeb495fea.e</t>
  </si>
  <si>
    <t>laurenedwards@montrose-env.com</t>
  </si>
  <si>
    <t>C58021FA6936FE830A495C76@038d2aa263c9deeb495fea.e</t>
  </si>
  <si>
    <t>abmenge@montrose-env.com</t>
  </si>
  <si>
    <t>Abbigail</t>
  </si>
  <si>
    <t>Menge</t>
  </si>
  <si>
    <t>5C1021CD693C2AD80A495E61@038d2aa263c9deeb495fea.e</t>
  </si>
  <si>
    <t>AnthonyMartin@montrose-env.com</t>
  </si>
  <si>
    <t>6DF82216693C3CCD0A495E1C@038d2aa263c9deeb495fea.e</t>
  </si>
  <si>
    <t>AllisonLiu@enthalpy.com</t>
  </si>
  <si>
    <t>60F121D1693C4D9C0A495E22@038d2aa263c9deeb495fea.e</t>
  </si>
  <si>
    <t>NickDanna@montrose-env.com</t>
  </si>
  <si>
    <t>F30521D16941B17C0A495E22@038d2aa263c9deeb495fea.e</t>
  </si>
  <si>
    <t>AloysiusAlbanese@enthalpy.com</t>
  </si>
  <si>
    <t>aloysiusalbanese@enthalpy.com</t>
  </si>
  <si>
    <t>Aloysius</t>
  </si>
  <si>
    <t>Albanese</t>
  </si>
  <si>
    <t>FACA21CE6941F5260A495C6C@038d2aa263c9deeb495fea.e</t>
  </si>
  <si>
    <t>JohnMerino@montrose-env.com</t>
  </si>
  <si>
    <t>Merino</t>
  </si>
  <si>
    <t>0C0B21CF6942AD090A495C8E@038d2aa263c9deeb495fea.e</t>
  </si>
  <si>
    <t>JeffereyMilosch@montrose-env.com</t>
  </si>
  <si>
    <t>Jefferey</t>
  </si>
  <si>
    <t>Milosch</t>
  </si>
  <si>
    <t>0F9D21DD6942D1D80A495E44@038d2aa263c9deeb495fea.e</t>
  </si>
  <si>
    <t>ChristineWhitacre@montrose-env.com</t>
  </si>
  <si>
    <t>Chrissy</t>
  </si>
  <si>
    <t>Whitacre</t>
  </si>
  <si>
    <t>07985D786944307A0A495E85@038d2aa263c9deeb495fea.e</t>
  </si>
  <si>
    <t>isabelobando@enthalpy.com</t>
  </si>
  <si>
    <t>Obando</t>
  </si>
  <si>
    <t>07FF22BC694448E40A495E60@038d2aa263c9deeb495fea.e</t>
  </si>
  <si>
    <t>Type of licenses</t>
  </si>
  <si>
    <t>annual rate</t>
  </si>
  <si>
    <t>monthly rate</t>
  </si>
  <si>
    <t>Default Adobe Captivate configuration</t>
  </si>
  <si>
    <t>Default Photoshop configuration</t>
  </si>
  <si>
    <t>Default Premiere Pro configuration</t>
  </si>
  <si>
    <t>Product Configurations 1 - COST</t>
  </si>
  <si>
    <t>Default Photoshop - Edition 4 configuration</t>
  </si>
  <si>
    <t>Product Configurations 1</t>
  </si>
  <si>
    <t>Product Configurations 2</t>
  </si>
  <si>
    <t>Product Configurations 3</t>
  </si>
  <si>
    <t>Product Configurations 2 - COST</t>
  </si>
  <si>
    <t>Product Configurations 3 - COST</t>
  </si>
  <si>
    <t>TOTAL Cost</t>
  </si>
  <si>
    <t># of Paid License Holder</t>
  </si>
  <si>
    <t>pending confirmation if these are the same as the respective license</t>
  </si>
  <si>
    <t>CCID - order of pulling data: 1. cost centers vlookup to HR home cost center, 2. prior version and 3. user group if undetermined by the 1st 2 process</t>
  </si>
  <si>
    <t>Cost center description per CCID #</t>
  </si>
  <si>
    <t>CC191</t>
  </si>
  <si>
    <t>USA - Corp - IT Operations</t>
  </si>
  <si>
    <t>CC109</t>
  </si>
  <si>
    <t>USA - Consulting - Santa Ana (Rem) - Operations</t>
  </si>
  <si>
    <t>CC343</t>
  </si>
  <si>
    <t>USA - Consulting - Valley Forge - Operations</t>
  </si>
  <si>
    <t>CC272</t>
  </si>
  <si>
    <t>USA - Consulting - Environmental Intelligence - Operations</t>
  </si>
  <si>
    <t>CC001</t>
  </si>
  <si>
    <t>CC020</t>
  </si>
  <si>
    <t>CC112</t>
  </si>
  <si>
    <t>USA - Consulting - Tampa - Operations</t>
  </si>
  <si>
    <t>CC116</t>
  </si>
  <si>
    <t>USA - Consulting - Robbinsville - G&amp;A</t>
  </si>
  <si>
    <t>CC022</t>
  </si>
  <si>
    <t>CC061</t>
  </si>
  <si>
    <t>CC135</t>
  </si>
  <si>
    <t>CC466</t>
  </si>
  <si>
    <t>USA - Corp - Digital Engagement</t>
  </si>
  <si>
    <t>CC019</t>
  </si>
  <si>
    <t>CC114</t>
  </si>
  <si>
    <t>USA - Consulting - Tampa - Sales &amp; Marketing</t>
  </si>
  <si>
    <t>CC267</t>
  </si>
  <si>
    <t>CC251</t>
  </si>
  <si>
    <t>CC300</t>
  </si>
  <si>
    <t>USA - Consulting - Operational Support - Logistics &amp; Variable Staffing</t>
  </si>
  <si>
    <t>CC291</t>
  </si>
  <si>
    <t>USA - Consulting - OH - Sales</t>
  </si>
  <si>
    <t>CC037</t>
  </si>
  <si>
    <t>USA  - Air Testing - OH - Marketing</t>
  </si>
  <si>
    <t>CC004</t>
  </si>
  <si>
    <t>CC210</t>
  </si>
  <si>
    <t>USA - Lab Testing  - OH - HR</t>
  </si>
  <si>
    <t>CC007</t>
  </si>
  <si>
    <t>CC324</t>
  </si>
  <si>
    <t>USA - Advisory &amp; Technical - Chemistry - Operations</t>
  </si>
  <si>
    <t>CC365</t>
  </si>
  <si>
    <t>USA - Lab Testing  - OH - Sales</t>
  </si>
  <si>
    <t>CC219</t>
  </si>
  <si>
    <t>CC160</t>
  </si>
  <si>
    <t>USA - Consulting - Santa Ana (P&amp;C) - Operations</t>
  </si>
  <si>
    <t>CC069</t>
  </si>
  <si>
    <t>CC110</t>
  </si>
  <si>
    <t>USA - Consulting - Santa Ana (Rem) - G&amp;A</t>
  </si>
  <si>
    <t>CC357</t>
  </si>
  <si>
    <t>CC252</t>
  </si>
  <si>
    <t>USA - Consulting - Orlando - Operations</t>
  </si>
  <si>
    <t>CC187</t>
  </si>
  <si>
    <t>CC054</t>
  </si>
  <si>
    <t>CC016</t>
  </si>
  <si>
    <t>CC242</t>
  </si>
  <si>
    <t>AUS - ECT2 - OH - G&amp;A</t>
  </si>
  <si>
    <t>CC381</t>
  </si>
  <si>
    <t>USA - Consulting - Wilmington DE - Operations</t>
  </si>
  <si>
    <t>CC309</t>
  </si>
  <si>
    <t>USA - Consulting - Oakland - Operations</t>
  </si>
  <si>
    <t>CC301</t>
  </si>
  <si>
    <t>USA - Consulting - OH - Marketing</t>
  </si>
  <si>
    <t>CC202</t>
  </si>
  <si>
    <t>CC188</t>
  </si>
  <si>
    <t>CC107</t>
  </si>
  <si>
    <t>USA - Lab Testing  - OH - Safety</t>
  </si>
  <si>
    <t>CC310</t>
  </si>
  <si>
    <t>USA - Consulting - Oakland - G&amp;A</t>
  </si>
  <si>
    <t>CC115</t>
  </si>
  <si>
    <t>USA - Consulting - Robbinsville - Operations</t>
  </si>
  <si>
    <t>CC011</t>
  </si>
  <si>
    <t>CC105</t>
  </si>
  <si>
    <t>USA - Lab Testing  - OH - Finance</t>
  </si>
  <si>
    <t>CC190</t>
  </si>
  <si>
    <t>CC478</t>
  </si>
  <si>
    <t>USA - Corp - IT Management</t>
  </si>
  <si>
    <t>CC462</t>
  </si>
  <si>
    <t>USA - Response &amp; Recovery - Response Consulting - Operations</t>
  </si>
  <si>
    <t>CC363</t>
  </si>
  <si>
    <t>USA  - Air Testing - OH - Sales Stack</t>
  </si>
  <si>
    <t>CC211</t>
  </si>
  <si>
    <t>CC034</t>
  </si>
  <si>
    <t>USA  - Air Testing - OH - Finance</t>
  </si>
  <si>
    <t>CC005</t>
  </si>
  <si>
    <t>CC277</t>
  </si>
  <si>
    <t>CC281</t>
  </si>
  <si>
    <t>USA - Response &amp; Recovery - Resilience &amp; Recovery Solutions - Operations</t>
  </si>
  <si>
    <t>CC189</t>
  </si>
  <si>
    <t>CC085</t>
  </si>
  <si>
    <t>CC075</t>
  </si>
  <si>
    <t>CC342</t>
  </si>
  <si>
    <t>USA - Consulting - Valley Forge - G&amp;A</t>
  </si>
  <si>
    <t>CC008</t>
  </si>
  <si>
    <t>CC010</t>
  </si>
  <si>
    <t>CC318</t>
  </si>
  <si>
    <t>CC313</t>
  </si>
  <si>
    <t>CC271</t>
  </si>
  <si>
    <t>USA - Consulting - Environmental Intelligence - G&amp;A</t>
  </si>
  <si>
    <t>CC203</t>
  </si>
  <si>
    <t>USA  - Air Testing - OH - HR Stack</t>
  </si>
  <si>
    <t>CC356</t>
  </si>
  <si>
    <t>CC302</t>
  </si>
  <si>
    <t>USA - Consulting - OH - G&amp;A</t>
  </si>
  <si>
    <t>CC331</t>
  </si>
  <si>
    <t>USA - Sensible EDP - OH - G&amp;A</t>
  </si>
  <si>
    <t>CC468</t>
  </si>
  <si>
    <t>USA - Consulting - Project Services - Project Services</t>
  </si>
  <si>
    <t>CC048</t>
  </si>
  <si>
    <t>CC364</t>
  </si>
  <si>
    <t>USA - Corp - Enterprise Applications</t>
  </si>
  <si>
    <t>CC201</t>
  </si>
  <si>
    <t>CC255</t>
  </si>
  <si>
    <t>USA - Consulting - Wilmington - Operations</t>
  </si>
  <si>
    <t>CC234</t>
  </si>
  <si>
    <t>CC377</t>
  </si>
  <si>
    <t>USA - Advisory &amp; Technical - Risk Management Solutions - Operations</t>
  </si>
  <si>
    <t>CC192</t>
  </si>
  <si>
    <t>CC195</t>
  </si>
  <si>
    <t>CC168</t>
  </si>
  <si>
    <t>USA - Consulting - OH - Safety</t>
  </si>
  <si>
    <t>CC118</t>
  </si>
  <si>
    <t>USA - Consulting - Atlanta - Operations</t>
  </si>
  <si>
    <t>CC013</t>
  </si>
  <si>
    <t>CC087</t>
  </si>
  <si>
    <t>CC258</t>
  </si>
  <si>
    <t>USA - Consulting - Charlottesville - Operations</t>
  </si>
  <si>
    <t>CC078</t>
  </si>
  <si>
    <t>CC304</t>
  </si>
  <si>
    <t>USA - Consulting - OH - HR</t>
  </si>
  <si>
    <t>CC025</t>
  </si>
  <si>
    <t>CC046</t>
  </si>
  <si>
    <t>CC058</t>
  </si>
  <si>
    <t>USA - LDAR - OH - Software Development</t>
  </si>
  <si>
    <t>CC373</t>
  </si>
  <si>
    <t>CC079</t>
  </si>
  <si>
    <t>CC321</t>
  </si>
  <si>
    <t>CC248</t>
  </si>
  <si>
    <t>USA - Consulting - Central - Operations</t>
  </si>
  <si>
    <t>CC303</t>
  </si>
  <si>
    <t>USA - Advisory &amp; Technical - Chemistry - G&amp;A</t>
  </si>
  <si>
    <t>CC361</t>
  </si>
  <si>
    <t>USA  - Air Testing - OH - Sales LDAR/Sensible</t>
  </si>
  <si>
    <t>CC239</t>
  </si>
  <si>
    <t>CC457</t>
  </si>
  <si>
    <t>USA - Response &amp; Recovery - Environmental - Operations</t>
  </si>
  <si>
    <t>CC014</t>
  </si>
  <si>
    <t>CC052</t>
  </si>
  <si>
    <t>CC205</t>
  </si>
  <si>
    <t>USA  - Air Testing - OH - HR LDAR/Sensible</t>
  </si>
  <si>
    <t>CC170</t>
  </si>
  <si>
    <t>CAN - Consulting - Air Permit &amp; Comp - Operations</t>
  </si>
  <si>
    <t>CC031</t>
  </si>
  <si>
    <t>CC433</t>
  </si>
  <si>
    <t>CAN - Consulting - Project Services - Project Services</t>
  </si>
  <si>
    <t>CC028</t>
  </si>
  <si>
    <t>CC265</t>
  </si>
  <si>
    <t>CC084</t>
  </si>
  <si>
    <t>CC391</t>
  </si>
  <si>
    <t>CAN - Consulting - OH - HR</t>
  </si>
  <si>
    <t>CC036</t>
  </si>
  <si>
    <t>USA  - Air Testing - OH - Safety</t>
  </si>
  <si>
    <t>CC284</t>
  </si>
  <si>
    <t>USA - Response &amp; Recovery - Emergency Response - Operations</t>
  </si>
  <si>
    <t>CC049</t>
  </si>
  <si>
    <t>CC236</t>
  </si>
  <si>
    <t>CC441</t>
  </si>
  <si>
    <t>USA - Consulting - Two Dot - Operations</t>
  </si>
  <si>
    <t>CC247</t>
  </si>
  <si>
    <t>USA - Consulting - OH - Finance</t>
  </si>
  <si>
    <t>CC460</t>
  </si>
  <si>
    <t>CC459</t>
  </si>
  <si>
    <t>USA - Consulting - OH - COE</t>
  </si>
  <si>
    <t>CC439</t>
  </si>
  <si>
    <t>AUS - Consulting - G&amp;A</t>
  </si>
  <si>
    <t>CC469</t>
  </si>
  <si>
    <t>USA - Consulting - OH - Legal</t>
  </si>
  <si>
    <t>CC314</t>
  </si>
  <si>
    <t>CC339</t>
  </si>
  <si>
    <t>USA - Consulting - Nashville - Operations</t>
  </si>
  <si>
    <t>CC193</t>
  </si>
  <si>
    <t>CC450</t>
  </si>
  <si>
    <t>USA - Advisory &amp; Technical - Air - G&amp;A</t>
  </si>
  <si>
    <t>CC026</t>
  </si>
  <si>
    <t>CC194</t>
  </si>
  <si>
    <t>CC454</t>
  </si>
  <si>
    <t>CC113</t>
  </si>
  <si>
    <t>USA - Consulting - Tampa - G&amp;A</t>
  </si>
  <si>
    <t>CC344</t>
  </si>
  <si>
    <t>USA - Consulting - Valley Forge - Sales &amp; Marketing</t>
  </si>
  <si>
    <t>CC296</t>
  </si>
  <si>
    <t>USA - Advisory &amp; Technical - Health Sciences - Operations</t>
  </si>
  <si>
    <t>CC068</t>
  </si>
  <si>
    <t>CAN - LDAR - OH - Software Development</t>
  </si>
  <si>
    <t>CC055</t>
  </si>
  <si>
    <t>CC081</t>
  </si>
  <si>
    <t>CC442</t>
  </si>
  <si>
    <t>USA - Consulting - Two Dot - G&amp;A</t>
  </si>
  <si>
    <t>CC451</t>
  </si>
  <si>
    <t>USA - Advisory &amp; Technical - Air - Operations</t>
  </si>
  <si>
    <t>CC424</t>
  </si>
  <si>
    <t>CAN - Consulting - Aquatics &amp; Wildlife - Operations</t>
  </si>
  <si>
    <t>CC250</t>
  </si>
  <si>
    <t>USA - Consulting - Central - Sales &amp; Marketing</t>
  </si>
  <si>
    <t>CC438</t>
  </si>
  <si>
    <t>AUS - Consulting - Operations</t>
  </si>
  <si>
    <t>CC249</t>
  </si>
  <si>
    <t>USA - Consulting - Central  - G&amp;A</t>
  </si>
  <si>
    <t>CC254</t>
  </si>
  <si>
    <t>USA - Consulting - Orlando - G&amp;A</t>
  </si>
  <si>
    <t>CC473</t>
  </si>
  <si>
    <t>USA - Consulting - Operational Support - Supply Chain</t>
  </si>
  <si>
    <t>CC106</t>
  </si>
  <si>
    <t>USA - Labs - OH - LIMS</t>
  </si>
  <si>
    <t>CC051</t>
  </si>
  <si>
    <t>CC017</t>
  </si>
  <si>
    <t>CC070</t>
  </si>
  <si>
    <t>CC238</t>
  </si>
  <si>
    <t>CC143</t>
  </si>
  <si>
    <t>Sum of TOTAL Cost</t>
  </si>
  <si>
    <t>(blank)</t>
  </si>
  <si>
    <t>Grand Total</t>
  </si>
  <si>
    <t>Sum of # of Paid License Holder</t>
  </si>
  <si>
    <t>Credit USA Corp IT Operations under Computer Software</t>
  </si>
  <si>
    <t>Adobe Cost Allocation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</si>
</sst>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43" fontId="0" fillId="0" borderId="0" xfId="1" applyFont="1"/>
    <xf numFmtId="0" fontId="16" fillId="0" borderId="0" xfId="0" applyFont="1"/>
    <xf numFmtId="0" fontId="18" fillId="0" borderId="0" xfId="0" applyFont="1"/>
    <xf numFmtId="43" fontId="18" fillId="0" borderId="0" xfId="1" applyFont="1" applyFill="1"/>
    <xf numFmtId="0" fontId="16" fillId="33" borderId="0" xfId="0" applyFont="1" applyFill="1" applyAlignment="1">
      <alignment wrapText="1"/>
    </xf>
    <xf numFmtId="43" fontId="0" fillId="0" borderId="0" xfId="0" applyNumberFormat="1"/>
    <xf numFmtId="0" fontId="0" fillId="34" borderId="0" xfId="0" applyFill="1"/>
    <xf numFmtId="43" fontId="18" fillId="34" borderId="0" xfId="1" applyFont="1" applyFill="1"/>
    <xf numFmtId="0" fontId="0" fillId="0" borderId="0" xfId="0" applyFill="1"/>
    <xf numFmtId="0" fontId="0" fillId="0" borderId="0" xfId="0" pivotButton="1"/>
    <xf numFmtId="0" fontId="0" fillId="0" borderId="0" xfId="0" applyNumberFormat="1"/>
    <xf numFmtId="0" fontId="19" fillId="0" borderId="0" xfId="0" applyFont="1"/>
    <xf numFmtId="0" fontId="16" fillId="0" borderId="0" xfId="0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214313</xdr:colOff>
      <xdr:row>0</xdr:row>
      <xdr:rowOff>11907</xdr:rowOff>
    </xdr:from>
    <xdr:to>
      <xdr:col>17</xdr:col>
      <xdr:colOff>83345</xdr:colOff>
      <xdr:row>2</xdr:row>
      <xdr:rowOff>154782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E83F08-157A-9DC4-4684-DB0DB87EDB18}"/>
            </a:ext>
          </a:extLst>
        </xdr:cNvPr>
        <xdr:cNvSpPr txBox="1"/>
      </xdr:nvSpPr>
      <xdr:spPr>
        <a:xfrm>
          <a:off x="11941969" y="11907"/>
          <a:ext cx="7155657" cy="5238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kern="1200">
              <a:solidFill>
                <a:srgbClr val="FF0000"/>
              </a:solidFill>
            </a:rPr>
            <a:t>REFER TO NEXT TAB FOR DETAIL BY COST CENTER BY LICENSE TYPE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Quach" refreshedDate="46083.727518981483" createdVersion="8" refreshedVersion="8" minRefreshableVersion="3" recordCount="1526" xr:uid="{13A31EDD-7C6D-4979-AEB2-EAFD8A969961}">
  <cacheSource type="worksheet">
    <worksheetSource ref="A1:AB1527" sheet="Adobe users (3)"/>
  </cacheSource>
  <cacheFields count="28">
    <cacheField name="Identity Type" numFmtId="0">
      <sharedItems/>
    </cacheField>
    <cacheField name="Username" numFmtId="0">
      <sharedItems/>
    </cacheField>
    <cacheField name="Domain" numFmtId="0">
      <sharedItems/>
    </cacheField>
    <cacheField name="Email" numFmtId="0">
      <sharedItems/>
    </cacheField>
    <cacheField name="First Name" numFmtId="0">
      <sharedItems containsBlank="1"/>
    </cacheField>
    <cacheField name="Last Name" numFmtId="0">
      <sharedItems containsBlank="1"/>
    </cacheField>
    <cacheField name="Country Code" numFmtId="0">
      <sharedItems/>
    </cacheField>
    <cacheField name="ID" numFmtId="0">
      <sharedItems/>
    </cacheField>
    <cacheField name="Product Configurations 1" numFmtId="0">
      <sharedItems containsBlank="1" count="7">
        <m/>
        <s v="Default Acrobat Pro configuration"/>
        <s v="Default Acrobat Standard DC configuration"/>
        <s v="Default All Apps plan configuration"/>
        <s v="Default InDesign configuration"/>
        <s v="Default Illustrator configuration"/>
        <s v="Default All Apps - Edition 4 configuration"/>
      </sharedItems>
    </cacheField>
    <cacheField name="Product Configurations 2" numFmtId="0">
      <sharedItems containsBlank="1" count="9">
        <m/>
        <s v="Default InDesign configuration"/>
        <s v="Default Adobe Captivate configuration"/>
        <s v="Default Illustrator configuration"/>
        <s v="Default Photoshop configuration"/>
        <s v="Default All Apps plan configuration"/>
        <s v="Default Photoshop - Edition 4 configuration"/>
        <s v="Default All Apps - Edition 4 configuration"/>
        <s v="Default Acrobat Standard DC configuration"/>
      </sharedItems>
    </cacheField>
    <cacheField name="Product Configurations 3" numFmtId="0">
      <sharedItems containsBlank="1" count="4">
        <m/>
        <s v="Default Photoshop configuration"/>
        <s v="Default Illustrator configuration"/>
        <s v="Default Premiere Pro configuration"/>
      </sharedItems>
    </cacheField>
    <cacheField name="Admin Roles" numFmtId="0">
      <sharedItems containsBlank="1"/>
    </cacheField>
    <cacheField name="Product Configurations Administered" numFmtId="0">
      <sharedItems containsBlank="1"/>
    </cacheField>
    <cacheField name="User Groups" numFmtId="0">
      <sharedItems containsBlank="1"/>
    </cacheField>
    <cacheField name="User Groups Administered" numFmtId="0">
      <sharedItems containsBlank="1" longText="1"/>
    </cacheField>
    <cacheField name="Products Administered" numFmtId="0">
      <sharedItems containsBlank="1"/>
    </cacheField>
    <cacheField name="Contracts Administered" numFmtId="0">
      <sharedItems containsNonDate="0" containsString="0" containsBlank="1"/>
    </cacheField>
    <cacheField name="Team Products" numFmtId="0">
      <sharedItems containsBlank="1"/>
    </cacheField>
    <cacheField name="Enterprise Products" numFmtId="0">
      <sharedItems containsBlank="1"/>
    </cacheField>
    <cacheField name="Developer Access" numFmtId="0">
      <sharedItems containsNonDate="0" containsString="0" containsBlank="1"/>
    </cacheField>
    <cacheField name="Auto Assigned Products" numFmtId="0">
      <sharedItems containsNonDate="0" containsString="0" containsBlank="1"/>
    </cacheField>
    <cacheField name="CCID - order of pulling data: 1. cost centers vlookup to HR home cost center, 2. prior version and 3. user group if undetermined by the 1st 2 process" numFmtId="0">
      <sharedItems containsBlank="1" count="146">
        <m/>
        <s v="CC109"/>
        <s v="CC343"/>
        <s v="CC272"/>
        <s v="CC001"/>
        <s v="CC020"/>
        <s v="CC112"/>
        <s v="CC116"/>
        <s v="CC022"/>
        <s v="CC061"/>
        <s v="CC135"/>
        <s v="CC466"/>
        <s v="CC019"/>
        <s v="CC114"/>
        <s v="CC267"/>
        <s v="CC251"/>
        <s v="CC300"/>
        <s v="CC291"/>
        <s v="CC037"/>
        <s v="CC004"/>
        <s v="CC210"/>
        <s v="CC007"/>
        <s v="CC324"/>
        <s v="CC365"/>
        <s v="CC219"/>
        <s v="CC160"/>
        <s v="CC069"/>
        <s v="CC110"/>
        <s v="CC252"/>
        <s v="CC187"/>
        <s v="CC054"/>
        <s v="CC016"/>
        <s v="CC242"/>
        <s v="CC381"/>
        <s v="CC309"/>
        <s v="CC301"/>
        <s v="CC202"/>
        <s v="CC188"/>
        <s v="CC107"/>
        <s v="CC310"/>
        <s v="CC115"/>
        <s v="CC011"/>
        <s v="CC105"/>
        <s v="CC201"/>
        <s v="CC195"/>
        <s v="CC190"/>
        <s v="CC478"/>
        <s v="CC462"/>
        <s v="CC363"/>
        <s v="CC211"/>
        <s v="CC034"/>
        <s v="CC005"/>
        <s v="CC277"/>
        <s v="CC281"/>
        <s v="CC189"/>
        <s v="CC191"/>
        <s v="CC085"/>
        <s v="CC075"/>
        <s v="CC342"/>
        <s v="CC008"/>
        <s v="CC010"/>
        <s v="CC318"/>
        <s v="CC313"/>
        <s v="CC271"/>
        <s v="CC203"/>
        <s v="CC356"/>
        <s v="CC302"/>
        <s v="CC331"/>
        <s v="CC468"/>
        <s v="CC048"/>
        <s v="CC364"/>
        <s v="CC255"/>
        <s v="CC234"/>
        <s v="CC377"/>
        <s v="CC192"/>
        <s v="CC084"/>
        <s v="CC357"/>
        <s v="CC168"/>
        <s v="CC118"/>
        <s v="CC013"/>
        <s v="CC087"/>
        <s v="CC258"/>
        <s v="CC078"/>
        <s v="CC304"/>
        <s v="CC025"/>
        <s v="CC296"/>
        <s v="CC046"/>
        <s v="CC058"/>
        <s v="CC373"/>
        <s v="CC079"/>
        <s v="CC321"/>
        <s v="CC248"/>
        <s v="CC254"/>
        <s v="CC303"/>
        <s v="CC361"/>
        <s v="CC239"/>
        <s v="CC457"/>
        <s v="CC014"/>
        <s v="CC052"/>
        <s v="CC205"/>
        <s v="CC170"/>
        <s v="CC031"/>
        <s v="CC028"/>
        <s v="CC433"/>
        <s v="CC265"/>
        <s v="CC391"/>
        <s v="CC036"/>
        <s v="CC284"/>
        <s v="CC049"/>
        <s v="CC236"/>
        <s v="CC441"/>
        <s v="CC247"/>
        <s v="CC460"/>
        <s v="CC459"/>
        <s v="CC439"/>
        <s v="CC469"/>
        <s v="CC314"/>
        <s v="CC339"/>
        <s v="CC106"/>
        <s v="CC193"/>
        <s v="CC450"/>
        <s v="CC026"/>
        <s v="CC194"/>
        <s v="CC454"/>
        <s v="CC113"/>
        <s v="CC344"/>
        <s v="CC055"/>
        <s v="CC068"/>
        <s v="CC081"/>
        <s v="CC442"/>
        <s v="CC451"/>
        <s v="CC424"/>
        <s v="CC250"/>
        <s v="CC438"/>
        <s v="CC249"/>
        <s v="CC473"/>
        <s v="CC051"/>
        <s v="CC017"/>
        <s v="CC070"/>
        <s v="CC238"/>
        <s v="CC143"/>
        <s v="CC169" u="1"/>
        <s v="CC376" u="1"/>
        <s v="CC472" u="1"/>
        <s v="CC464" u="1"/>
        <s v="CC287" u="1"/>
      </sharedItems>
    </cacheField>
    <cacheField name="Cost center description per CCID #" numFmtId="0">
      <sharedItems containsBlank="1" count="146">
        <m/>
        <s v="USA - Consulting - Santa Ana (Rem) - Operations"/>
        <s v="USA - Consulting - Valley Forge - Operations"/>
        <s v="USA - Consulting - Environmental Intelligence - Operations"/>
        <s v="USA - Stack - Seattle - Operations"/>
        <s v="USA - Stack - Chicago - G&amp;A"/>
        <s v="USA - Consulting - Tampa - Operations"/>
        <s v="USA - Consulting - Robbinsville - G&amp;A"/>
        <s v="USA - Stack - Cleveland - Operations"/>
        <s v="CAN - OGI - Operations"/>
        <s v="USA - ECT2 - Operations"/>
        <s v="USA - Corp - Digital Engagement"/>
        <s v="USA - Stack - Chicago - Operations"/>
        <s v="USA - Consulting - Tampa - Sales &amp; Marketing"/>
        <s v="USA - Corp - Sales"/>
        <s v="USA - Corp - R&amp;D"/>
        <s v="USA - Consulting - Operational Support - Logistics &amp; Variable Staffing"/>
        <s v="USA - Consulting - OH - Sales"/>
        <s v="USA  - Air Testing - OH - Marketing"/>
        <s v="USA - Stack - Antioch - Operations"/>
        <s v="USA - Lab Testing  - OH - HR"/>
        <s v="USA - Stack - Santa Ana - Operations"/>
        <s v="USA - Advisory &amp; Technical - Chemistry - Operations"/>
        <s v="USA - Lab Testing  - OH - Sales"/>
        <s v="USA - Stack - Power Start-Ups - Operations"/>
        <s v="USA - Consulting - Santa Ana (P&amp;C) - Operations"/>
        <s v="USA - Env Lab - Orange - Operations"/>
        <s v="USA - Consulting - Santa Ana (Rem) - G&amp;A"/>
        <s v="USA - Consulting - Orlando - Operations"/>
        <s v="USA - Corp - HR"/>
        <s v="USA - OGI - Operations"/>
        <s v="USA - Stack - Southeast - Operations"/>
        <s v="AUS - ECT2 - OH - G&amp;A"/>
        <s v="USA - Consulting - Wilmington DE - Operations"/>
        <s v="USA - Consulting - Oakland - Operations"/>
        <s v="USA - Consulting - OH - Marketing"/>
        <s v="USA - Stack - OH - G&amp;A"/>
        <s v="USA - Corp - Executive"/>
        <s v="USA - Lab Testing  - OH - Safety"/>
        <s v="USA - Consulting - Oakland - G&amp;A"/>
        <s v="USA - Consulting - Robbinsville - Operations"/>
        <s v="USA - Stack - Gulf Coast - G&amp;A"/>
        <s v="USA - Lab Testing  - OH - Finance"/>
        <s v="USA - Labs - OH - G&amp;A"/>
        <s v="USA - Corp - Marketing"/>
        <s v="USA - Corp - Legal"/>
        <s v="USA - Corp - IT Management"/>
        <s v="USA - Response &amp; Recovery - Response Consulting - Operations"/>
        <s v="USA  - Air Testing - OH - Sales Stack"/>
        <s v="USA - LDAR - OH - G&amp;A"/>
        <s v="USA  - Air Testing - OH - Finance"/>
        <s v="USA - Stack - Antioch - G&amp;A"/>
        <s v="USA - Env Lab - Houston - Operations"/>
        <s v="USA - Response &amp; Recovery - Resilience &amp; Recovery Solutions - Operations"/>
        <s v="USA - Corp - Finance"/>
        <s v="USA - Corp - IT Operations"/>
        <s v="USA - Env Lab - Wilmington - G&amp;A"/>
        <s v="USA - Env Lab - Durham - Operations"/>
        <s v="USA - Consulting - Valley Forge - G&amp;A"/>
        <s v="USA - Stack - Santa Ana - G&amp;A"/>
        <s v="USA - Stack - Gulf Coast - Operations"/>
        <s v="USA - Sensible EDP - Denver - Operations"/>
        <s v="USA - Corp - Internal Audit"/>
        <s v="USA - Consulting - Environmental Intelligence - G&amp;A"/>
        <s v="USA  - Air Testing - OH - HR Stack"/>
        <s v="USA - Corp - Global Business Services"/>
        <s v="USA - Consulting - OH - G&amp;A"/>
        <s v="USA - Sensible EDP - OH - G&amp;A"/>
        <s v="USA - Consulting - Project Services - Project Services"/>
        <s v="USA - LDAR - California - Operations"/>
        <s v="USA - Corp - Enterprise Applications"/>
        <s v="USA - Consulting - Wilmington - Operations"/>
        <s v="USA - ECT2 - OH - Finance"/>
        <s v="USA - Advisory &amp; Technical - Risk Management Solutions - Operations"/>
        <s v="USA - Corp - Safety"/>
        <s v="USA - Env Lab - Wilmington - Operations"/>
        <s v="USA - Corp - Information Security"/>
        <s v="USA - Consulting - OH - Safety"/>
        <s v="USA - Consulting - Atlanta - Operations"/>
        <s v="USA - Stack - Great Plains - Operations"/>
        <s v="USA - Env Lab - Deer Park - Operations"/>
        <s v="USA - Consulting - Charlottesville - Operations"/>
        <s v="USA - Env Lab - Mt Pleasant - Operations"/>
        <s v="USA - Consulting - OH - HR"/>
        <s v="USA - Stack - Northeast - Operations"/>
        <s v="USA - Advisory &amp; Technical - Health Sciences - Operations"/>
        <s v="USA - Sensible EDP - Pinebrook - Operations"/>
        <s v="USA - LDAR - OH - Software Development"/>
        <s v="USA - ECT2 - OH - Sales"/>
        <s v="USA - Env Lab - Mt Pleasant - G&amp;A"/>
        <s v="USA - Sensible EDP - Austin - Operations"/>
        <s v="USA - Consulting - Central - Operations"/>
        <s v="USA - Consulting - Orlando - G&amp;A"/>
        <s v="USA - Advisory &amp; Technical - Chemistry - G&amp;A"/>
        <s v="USA  - Air Testing - OH - Sales LDAR/Sensible"/>
        <s v="USA - ECT2 - OH - Marketing"/>
        <s v="USA - Response &amp; Recovery - Environmental - Operations"/>
        <s v="USA - Stack - Great Plains - G&amp;A"/>
        <s v="USA - LDAR - Texas - G&amp;A"/>
        <s v="USA  - Air Testing - OH - HR LDAR/Sensible"/>
        <s v="CAN - Consulting - Air Permit &amp; Comp - Operations"/>
        <s v="CAN - Stack - Point Edward - Operations"/>
        <s v="CAN - Stack - Edmonton - Operations"/>
        <s v="CAN - Consulting - Project Services - Project Services"/>
        <s v="USA - Env Lab - El Dorado Hills - Operations"/>
        <s v="CAN - Consulting - OH - HR"/>
        <s v="USA  - Air Testing - OH - Safety"/>
        <s v="USA - Response &amp; Recovery - Emergency Response - Operations"/>
        <s v="USA - LDAR - California - G&amp;A"/>
        <s v="USA - ECT2 - OH - HR"/>
        <s v="USA - Consulting - Two Dot - Operations"/>
        <s v="USA - Consulting - OH - Finance"/>
        <s v="USA - Corp - Investor Relations &amp; Treasury"/>
        <s v="USA - Consulting - OH - COE"/>
        <s v="AUS - Consulting - G&amp;A"/>
        <s v="USA - Consulting - OH - Legal"/>
        <s v="USA - Corp - Federal"/>
        <s v="USA - Consulting - Nashville - Operations"/>
        <s v="USA - Labs - OH - LIMS"/>
        <s v="USA - Corp - G&amp;A"/>
        <s v="USA - Advisory &amp; Technical - Air - G&amp;A"/>
        <s v="USA - Stack - Northeast - G&amp;A"/>
        <s v="USA - Corp - M&amp;A"/>
        <s v="USA - Env Lab - Denver - Operations"/>
        <s v="USA - Consulting - Tampa - G&amp;A"/>
        <s v="USA - Consulting - Valley Forge - Sales &amp; Marketing"/>
        <s v="USA - OGI - G&amp;A"/>
        <s v="CAN - LDAR - OH - Software Development"/>
        <s v="USA - Env Lab - Richmond - Operations"/>
        <s v="USA - Consulting - Two Dot - G&amp;A"/>
        <s v="USA - Advisory &amp; Technical - Air - Operations"/>
        <s v="CAN - Consulting - Aquatics &amp; Wildlife - Operations"/>
        <s v="USA - Consulting - Central - Sales &amp; Marketing"/>
        <s v="AUS - Consulting - Operations"/>
        <s v="USA - Consulting - Central  - G&amp;A"/>
        <s v="USA - Consulting - Operational Support - Supply Chain"/>
        <s v="USA - LDAR - Texas - Operations"/>
        <s v="USA - Stack - Southeast - G&amp;A"/>
        <s v="USA - Env Lab - Orange - G&amp;A"/>
        <s v="USA - ECT2 - OH - Safety"/>
        <s v="AUS - ECT2 - OH - Safety"/>
        <s v="zzzUSA - Consulting OH - Marketing" u="1"/>
        <s v="USA - Sensible EDP - OH - Software Development" u="1"/>
        <s v="CAN - Consulting - OH - Legal" u="1"/>
        <s v="zzzUSA - MES - Segment" u="1"/>
        <s v="USA - Advisory &amp; Technical - Industrial Hygiene &amp; Safety Services - Operations" u="1"/>
      </sharedItems>
    </cacheField>
    <cacheField name="Product Configurations 1 - COST" numFmtId="43">
      <sharedItems containsSemiMixedTypes="0" containsString="0" containsNumber="1" minValue="0" maxValue="82.24"/>
    </cacheField>
    <cacheField name="Product Configurations 2 - COST" numFmtId="43">
      <sharedItems containsSemiMixedTypes="0" containsString="0" containsNumber="1" minValue="0" maxValue="82.24"/>
    </cacheField>
    <cacheField name="Product Configurations 3 - COST" numFmtId="43">
      <sharedItems containsSemiMixedTypes="0" containsString="0" containsNumber="1" minValue="0" maxValue="36.357500000000002"/>
    </cacheField>
    <cacheField name="TOTAL Cost" numFmtId="43">
      <sharedItems containsSemiMixedTypes="0" containsString="0" containsNumber="1" minValue="0" maxValue="107.21041666666666"/>
    </cacheField>
    <cacheField name="# of Paid License Holder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6">
  <r>
    <s v="Adobe ID"/>
    <s v="mcarlin@montrose-env.com"/>
    <s v="montrose-env.com"/>
    <s v="mcarlin@montrose-env.com"/>
    <s v="Mark"/>
    <s v="Carlin"/>
    <s v="US"/>
    <s v="038E2AA263C9DEEB0A495FEA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Adobe ID"/>
    <s v="grant.wicker@enthalpy.com"/>
    <s v="enthalpy.com"/>
    <s v="grant.wicker@enthalpy.com"/>
    <s v="Grant"/>
    <s v="Wicker"/>
    <s v="US"/>
    <s v="04172ACB63C9DF460A495E05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stescamilla@montrose-env.com"/>
    <s v="montrose-env.com"/>
    <s v="stescamilla@montrose-env.com"/>
    <s v="Stacey"/>
    <s v="Escamilla"/>
    <s v="US"/>
    <s v="C7E825EB63D846A50A495C5B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mcarlinadmin@montrose-env.com"/>
    <s v="montrose-env.com"/>
    <s v="mcarlinadmin@montrose-env.com"/>
    <s v="Mark"/>
    <s v="Carlin Admin"/>
    <s v="US"/>
    <s v="C5DE265363D849620A495FDA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sbagchi@montrose-env.com"/>
    <s v="montrose-env.com"/>
    <s v="sbagchi@montrose-env.com"/>
    <s v="Sohini"/>
    <s v="Bagchi"/>
    <s v="US"/>
    <s v="C67F262A63D866EF0A495CA0@038d2aa263c9deeb495fea.e"/>
    <x v="1"/>
    <x v="0"/>
    <x v="0"/>
    <m/>
    <m/>
    <s v="USA - Environmental Consulting - Santa Ana (Rem)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lwork@montrose-env.com"/>
    <s v="montrose-env.com"/>
    <s v="lwork@montrose-env.com"/>
    <s v="Lydia"/>
    <s v="Work"/>
    <s v="US"/>
    <s v="08EB268D63DA6A030A495FB1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ligordon@montrose-env.com"/>
    <s v="montrose-env.com"/>
    <s v="ligordon@montrose-env.com"/>
    <s v="Lindsey"/>
    <s v="Gordon"/>
    <s v="US"/>
    <s v="1039261B63DA8F350A495FED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jwomack@montrose-env.com"/>
    <s v="montrose-env.com"/>
    <s v="Jwomack@montrose-env.com"/>
    <s v="Jake"/>
    <s v="Womack"/>
    <s v="US"/>
    <s v="12B8266163DAA9CB0A495C28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mlibman@montrose-env.com"/>
    <s v="montrose-env.com"/>
    <s v="mlibman@montrose-env.com"/>
    <s v="Matt"/>
    <s v="Libman"/>
    <s v="US"/>
    <s v="3DC925EA63DBECBB0A495FA3@038d2aa263c9deeb495fea.e"/>
    <x v="1"/>
    <x v="0"/>
    <x v="0"/>
    <m/>
    <m/>
    <s v="USA - Stack - Chicago - G&amp;A"/>
    <m/>
    <m/>
    <m/>
    <m/>
    <s v="Acrobat Pro (VIPMP - 99C0A3088A102BD9CB4A)"/>
    <m/>
    <m/>
    <x v="5"/>
    <x v="5"/>
    <n v="14.333333333333334"/>
    <n v="0"/>
    <n v="0"/>
    <n v="14.333333333333334"/>
    <n v="1"/>
  </r>
  <r>
    <s v="Federated ID"/>
    <s v="kacyoung@montrose-env.com"/>
    <s v="montrose-env.com"/>
    <s v="kacyoung@montrose-env.com"/>
    <s v="Katie"/>
    <s v="Young"/>
    <s v="US"/>
    <s v="4AF7245863DC2D0E0A495EBD@038d2aa263c9deeb495fea.e"/>
    <x v="2"/>
    <x v="0"/>
    <x v="0"/>
    <m/>
    <m/>
    <s v="USA - Environmental Consulting - Tampa - Operations"/>
    <m/>
    <m/>
    <m/>
    <m/>
    <s v="Acrobat Standard DC (VIPMP - 99C0A3088A102BD9CB4A)"/>
    <m/>
    <m/>
    <x v="6"/>
    <x v="6"/>
    <n v="8.6983333333333324"/>
    <n v="0"/>
    <n v="0"/>
    <n v="8.6983333333333324"/>
    <n v="1"/>
  </r>
  <r>
    <s v="Federated ID"/>
    <s v="kesmith@montrose-env.com"/>
    <s v="montrose-env.com"/>
    <s v="kesmith@montrose-env.com"/>
    <s v="Kenneth"/>
    <s v="Smith"/>
    <s v="US"/>
    <s v="DEE6260A63E163DC0A495C48@038d2aa263c9deeb495fea.e"/>
    <x v="1"/>
    <x v="0"/>
    <x v="0"/>
    <m/>
    <m/>
    <s v="USA - Environmental Consulting - Robbinsville - G&amp;A"/>
    <m/>
    <m/>
    <m/>
    <m/>
    <s v="Acrobat Pro (VIPMP - 99C0A3088A102BD9CB4A)"/>
    <m/>
    <m/>
    <x v="7"/>
    <x v="7"/>
    <n v="14.333333333333334"/>
    <n v="0"/>
    <n v="0"/>
    <n v="14.333333333333334"/>
    <n v="1"/>
  </r>
  <r>
    <s v="Federated ID"/>
    <s v="schiew@montrose-env.com"/>
    <s v="montrose-env.com"/>
    <s v="schiew@montrose-env.com"/>
    <s v="Sin Hoi"/>
    <s v="Chiew"/>
    <s v="US"/>
    <s v="05E72A4E63E45DD20A495E57@038d2aa263c9deeb495fea.e"/>
    <x v="1"/>
    <x v="0"/>
    <x v="0"/>
    <m/>
    <m/>
    <s v="USA - Stack - Cleveland - Operations"/>
    <m/>
    <m/>
    <m/>
    <m/>
    <s v="Acrobat Pro (VIPMP - 99C0A3088A102BD9CB4A)"/>
    <m/>
    <m/>
    <x v="8"/>
    <x v="8"/>
    <n v="14.333333333333334"/>
    <n v="0"/>
    <n v="0"/>
    <n v="14.333333333333334"/>
    <n v="1"/>
  </r>
  <r>
    <s v="Federated ID"/>
    <s v="tjscuthbertson@montrose-env.com"/>
    <s v="montrose-env.com"/>
    <s v="tjscuthbertson@montrose-env.com"/>
    <s v="Thomas"/>
    <s v="Cuthbertson"/>
    <s v="US"/>
    <s v="6F2728E563E706EB0A495FBA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matandukar@ect2.com"/>
    <s v="ect2.com"/>
    <s v="matandukar@ect2.com"/>
    <s v="Madan"/>
    <s v="Tandukar"/>
    <s v="US"/>
    <s v="C0FB295363EA5C4C0A495E94@038d2aa263c9deeb495fea.e"/>
    <x v="3"/>
    <x v="0"/>
    <x v="0"/>
    <m/>
    <m/>
    <s v="USA - ECT2 - Operations"/>
    <m/>
    <m/>
    <m/>
    <m/>
    <s v="All Apps plan (VIPMP - 99C0A3088A102BD9CB4A)"/>
    <m/>
    <m/>
    <x v="10"/>
    <x v="10"/>
    <n v="82.24"/>
    <n v="0"/>
    <n v="0"/>
    <n v="82.24"/>
    <n v="1"/>
  </r>
  <r>
    <s v="Federated ID"/>
    <s v="djensen@montrose-env.com"/>
    <s v="montrose-env.com"/>
    <s v="djensen@montrose-env.com"/>
    <s v="Dan"/>
    <s v="Jensen"/>
    <s v="US"/>
    <s v="BF9E29CF63EA60350A495EB3@c67c263163d83b8d0a495c06"/>
    <x v="1"/>
    <x v="0"/>
    <x v="0"/>
    <m/>
    <m/>
    <s v="USA - Corp - Enterprise Solution Services"/>
    <m/>
    <m/>
    <m/>
    <m/>
    <s v="Acrobat Pro (VIPMP - 99C0A3088A102BD9CB4A)"/>
    <m/>
    <m/>
    <x v="11"/>
    <x v="11"/>
    <n v="14.333333333333334"/>
    <n v="0"/>
    <n v="0"/>
    <n v="14.333333333333334"/>
    <n v="1"/>
  </r>
  <r>
    <s v="Federated ID"/>
    <s v="jruggaber@montrose-env.com"/>
    <s v="montrose-env.com"/>
    <s v="jruggaber@montrose-env.com"/>
    <s v="Joel"/>
    <s v="Ruggaber"/>
    <s v="US"/>
    <s v="1321268363ECFFB90A495FC6@038d2aa263c9deeb495fea.e"/>
    <x v="1"/>
    <x v="0"/>
    <x v="0"/>
    <m/>
    <m/>
    <s v="USA - Stack - Chicago - Operations"/>
    <m/>
    <m/>
    <m/>
    <m/>
    <s v="Acrobat Pro (VIPMP - 99C0A3088A102BD9CB4A)"/>
    <m/>
    <m/>
    <x v="12"/>
    <x v="12"/>
    <n v="14.333333333333334"/>
    <n v="0"/>
    <n v="0"/>
    <n v="14.333333333333334"/>
    <n v="1"/>
  </r>
  <r>
    <s v="Federated ID"/>
    <s v="lford@montrose-env.com"/>
    <s v="montrose-env.com"/>
    <s v="lford@montrose-env.com"/>
    <s v="Lee"/>
    <s v="Ford"/>
    <s v="US"/>
    <s v="493427C263EEA5BA0A495C9A@038d2aa263c9deeb495fea.e"/>
    <x v="1"/>
    <x v="0"/>
    <x v="0"/>
    <m/>
    <m/>
    <s v="USA - Environmental Consulting - Tampa - Sales &amp; Marketing"/>
    <m/>
    <m/>
    <m/>
    <m/>
    <s v="Acrobat Pro (VIPMP - 99C0A3088A102BD9CB4A)"/>
    <m/>
    <m/>
    <x v="13"/>
    <x v="13"/>
    <n v="14.333333333333334"/>
    <n v="0"/>
    <n v="0"/>
    <n v="14.333333333333334"/>
    <n v="1"/>
  </r>
  <r>
    <s v="Federated ID"/>
    <s v="caduncanson@montrose-env.com"/>
    <s v="montrose-env.com"/>
    <s v="caduncanson@montrose-env.com"/>
    <s v="Cassie"/>
    <s v="Duncanson-Cappe"/>
    <s v="US"/>
    <s v="BE58252263F3DD5B0A495EEF@038d2aa263c9deeb495fea.e"/>
    <x v="1"/>
    <x v="1"/>
    <x v="0"/>
    <m/>
    <m/>
    <s v="USA - Corp - Sales"/>
    <m/>
    <m/>
    <m/>
    <m/>
    <s v="Acrobat Pro (VIPMP - 99C0A3088A102BD9CB4A),InDesign (VIPMP - 99C0A3088A102BD9CB4A)"/>
    <m/>
    <m/>
    <x v="14"/>
    <x v="14"/>
    <n v="14.333333333333334"/>
    <n v="35.979166666666664"/>
    <n v="0"/>
    <n v="50.3125"/>
    <n v="1"/>
  </r>
  <r>
    <s v="Federated ID"/>
    <s v="wewang@montrose-env.com"/>
    <s v="montrose-env.com"/>
    <s v="wewang@montrose-env.com"/>
    <s v="Wei"/>
    <s v="Wang"/>
    <s v="US"/>
    <s v="E0D0266B63F4EF010A495E6F@038d2aa263c9deeb495fea.e"/>
    <x v="0"/>
    <x v="0"/>
    <x v="0"/>
    <m/>
    <m/>
    <s v="CAN - OGI - Operations"/>
    <m/>
    <m/>
    <m/>
    <m/>
    <m/>
    <m/>
    <m/>
    <x v="0"/>
    <x v="0"/>
    <n v="0"/>
    <n v="0"/>
    <n v="0"/>
    <n v="0"/>
    <m/>
  </r>
  <r>
    <s v="Federated ID"/>
    <s v="dakempisty@ect2.com"/>
    <s v="ect2.com"/>
    <s v="dakempisty@ect2.com"/>
    <s v="David"/>
    <s v="Kempisty"/>
    <s v="US"/>
    <s v="390E291C63F6DE4E0A495C71@038d2aa263c9deeb495fea.e"/>
    <x v="1"/>
    <x v="0"/>
    <x v="0"/>
    <m/>
    <m/>
    <s v="USA - Corp - R&amp;D"/>
    <m/>
    <m/>
    <m/>
    <m/>
    <s v="Acrobat Pro (VIPMP - 99C0A3088A102BD9CB4A)"/>
    <m/>
    <m/>
    <x v="15"/>
    <x v="15"/>
    <n v="14.333333333333334"/>
    <n v="0"/>
    <n v="0"/>
    <n v="14.333333333333334"/>
    <n v="1"/>
  </r>
  <r>
    <s v="Federated ID"/>
    <s v="adoubleday@montrose-env.com"/>
    <s v="montrose-env.com"/>
    <s v="adoubleday@montrose-env.com"/>
    <s v="Adam"/>
    <s v="Doubleday"/>
    <s v="US"/>
    <s v="6F4527D963F8FA290A495ED7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16"/>
    <x v="16"/>
    <n v="14.333333333333334"/>
    <n v="0"/>
    <n v="0"/>
    <n v="14.333333333333334"/>
    <n v="1"/>
  </r>
  <r>
    <s v="Federated ID"/>
    <s v="jbolakas@montrose-env.com"/>
    <s v="montrose-env.com"/>
    <s v="jbolakas@montrose-env.com"/>
    <s v="John"/>
    <s v="Bolakas"/>
    <s v="US"/>
    <s v="428E27CC63FCC7C10A495E58@038d2aa263c9deeb495fea.e"/>
    <x v="1"/>
    <x v="0"/>
    <x v="0"/>
    <m/>
    <m/>
    <s v="USA - Environmental Consulting - Charlottesville - Operations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jorounsaville@montrose-env.com"/>
    <s v="montrose-env.com"/>
    <s v="jorounsaville@montrose-env.com"/>
    <s v="Joseph"/>
    <s v="Rounsaville"/>
    <s v="US"/>
    <s v="6B4F28FB63FE1DDD0A495EDD@038d2aa263c9deeb495fea.e"/>
    <x v="0"/>
    <x v="0"/>
    <x v="0"/>
    <m/>
    <m/>
    <s v="USA - Remediation - Northeast - Operations"/>
    <m/>
    <m/>
    <m/>
    <m/>
    <m/>
    <m/>
    <m/>
    <x v="0"/>
    <x v="0"/>
    <n v="0"/>
    <n v="0"/>
    <n v="0"/>
    <n v="0"/>
    <m/>
  </r>
  <r>
    <s v="Federated ID"/>
    <s v="tanelson@montrose-env.com"/>
    <s v="montrose-env.com"/>
    <s v="tanelson@montrose-env.com"/>
    <s v="Taylor"/>
    <s v="Nelson"/>
    <s v="US"/>
    <s v="937C2A8063FF9B650A495E11@038d2aa263c9deeb495fea.e"/>
    <x v="1"/>
    <x v="0"/>
    <x v="0"/>
    <m/>
    <m/>
    <s v="USA - Corp - Marketing"/>
    <m/>
    <m/>
    <m/>
    <m/>
    <s v="Acrobat Pro (VIPMP - 99C0A3088A102BD9CB4A)"/>
    <m/>
    <m/>
    <x v="18"/>
    <x v="18"/>
    <n v="14.333333333333334"/>
    <n v="0"/>
    <n v="0"/>
    <n v="14.333333333333334"/>
    <n v="1"/>
  </r>
  <r>
    <s v="Federated ID"/>
    <s v="mamatelski@montrose-env.com"/>
    <s v="montrose-env.com"/>
    <s v="mamatelski@montrose-env.com"/>
    <s v="Marie"/>
    <s v="Matelski"/>
    <s v="US"/>
    <s v="9C882AB963FFCA5E0A495FDB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thlyons@montrose-env.com"/>
    <s v="montrose-env.com"/>
    <s v="thlyons@montrose-env.com"/>
    <s v="Thomas"/>
    <s v="Lyons"/>
    <s v="US"/>
    <s v="B9C22AB96400E0E30A495FDB@038d2aa263c9deeb495fea.e"/>
    <x v="0"/>
    <x v="0"/>
    <x v="0"/>
    <m/>
    <m/>
    <s v="USA - Environmental Consulting - Orlando - Operations,USA - Stack - Northeast - Operations"/>
    <m/>
    <m/>
    <m/>
    <m/>
    <m/>
    <m/>
    <m/>
    <x v="0"/>
    <x v="0"/>
    <n v="0"/>
    <n v="0"/>
    <n v="0"/>
    <n v="0"/>
    <m/>
  </r>
  <r>
    <s v="Federated ID"/>
    <s v="swoodard@ect2.com"/>
    <s v="ect2.com"/>
    <s v="SWoodard@ect2.com"/>
    <s v="Steven"/>
    <s v="Woodard"/>
    <s v="US"/>
    <s v="D93127A86401F4190A495FBD@038d2aa263c9deeb495fea.e"/>
    <x v="1"/>
    <x v="0"/>
    <x v="0"/>
    <m/>
    <m/>
    <s v="USA - Corp - R&amp;D"/>
    <m/>
    <m/>
    <m/>
    <m/>
    <s v="Acrobat Pro (VIPMP - 99C0A3088A102BD9CB4A)"/>
    <m/>
    <m/>
    <x v="15"/>
    <x v="15"/>
    <n v="14.333333333333334"/>
    <n v="0"/>
    <n v="0"/>
    <n v="14.333333333333334"/>
    <n v="1"/>
  </r>
  <r>
    <s v="Federated ID"/>
    <s v="sweeks@montrose-env.com"/>
    <s v="montrose-env.com"/>
    <s v="sweeks@montrose-env.com"/>
    <s v="Stina"/>
    <s v="Weeks"/>
    <s v="US"/>
    <s v="D8B128FF640234940A495EE6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domatthys@montrose-env.com"/>
    <s v="montrose-env.com"/>
    <s v="domatthys@montrose-env.com"/>
    <s v="Douglas"/>
    <s v="Matthys"/>
    <s v="US"/>
    <s v="294A2AA16405ECEF0A495CA0@038d2aa263c9deeb495fea.e"/>
    <x v="0"/>
    <x v="0"/>
    <x v="0"/>
    <m/>
    <m/>
    <s v="USA - Environmental Consulting OH - G&amp;A"/>
    <m/>
    <m/>
    <m/>
    <m/>
    <m/>
    <m/>
    <m/>
    <x v="0"/>
    <x v="0"/>
    <n v="0"/>
    <n v="0"/>
    <n v="0"/>
    <n v="0"/>
    <m/>
  </r>
  <r>
    <s v="Federated ID"/>
    <s v="deanna.yates@enthalpy.com"/>
    <s v="enthalpy.com"/>
    <s v="deanna.yates@enthalpy.com"/>
    <s v="Deanna"/>
    <s v="Yates"/>
    <s v="US"/>
    <s v="272025796405F90C0A495C7B@038d2aa263c9deeb495fea.e"/>
    <x v="1"/>
    <x v="0"/>
    <x v="0"/>
    <m/>
    <m/>
    <s v="USA - Labs - OH - HR"/>
    <m/>
    <m/>
    <m/>
    <m/>
    <s v="Acrobat Pro (VIPMP - 99C0A3088A102BD9CB4A)"/>
    <m/>
    <m/>
    <x v="20"/>
    <x v="20"/>
    <n v="14.333333333333334"/>
    <n v="0"/>
    <n v="0"/>
    <n v="14.333333333333334"/>
    <n v="1"/>
  </r>
  <r>
    <s v="Federated ID"/>
    <s v="mchowsanitphon@montrose-env.com"/>
    <s v="montrose-env.com"/>
    <s v="mchowsanitphon@montrose-env.com"/>
    <s v="Michael"/>
    <s v="Chowsanitphon"/>
    <s v="US"/>
    <s v="3694253E640672EC0A495FB4@038d2aa263c9deeb495fea.e"/>
    <x v="2"/>
    <x v="0"/>
    <x v="0"/>
    <m/>
    <m/>
    <s v="USA - Stack - Santa Ana - Operations"/>
    <m/>
    <m/>
    <m/>
    <m/>
    <s v="Acrobat Standard DC (VIPMP - 99C0A3088A102BD9CB4A)"/>
    <m/>
    <m/>
    <x v="21"/>
    <x v="21"/>
    <n v="8.6983333333333324"/>
    <n v="0"/>
    <n v="0"/>
    <n v="8.6983333333333324"/>
    <n v="1"/>
  </r>
  <r>
    <s v="Federated ID"/>
    <s v="wezhou@montrose-env.com"/>
    <s v="montrose-env.com"/>
    <s v="wezhou@montrose-env.com"/>
    <s v="Wei"/>
    <s v="Zhou"/>
    <s v="US"/>
    <s v="42DD2991640B8D960A495FC1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sarah.mack@enthalpy.com"/>
    <s v="enthalpy.com"/>
    <s v="sarah.mack@enthalpy.com"/>
    <s v="Sarah"/>
    <s v="Mack"/>
    <s v="US"/>
    <s v="8D1A2A06640F74B40A495E6D@038d2aa263c9deeb495fea.e"/>
    <x v="1"/>
    <x v="0"/>
    <x v="0"/>
    <m/>
    <m/>
    <s v="USA - Labs - OH - Sales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dacoles@montrose-env.com"/>
    <s v="montrose-env.com"/>
    <s v="dacoles@montrose-env.com"/>
    <s v="Danielle"/>
    <s v="Coles"/>
    <s v="US"/>
    <s v="91C32A52640FE28A0A495F8E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wayneglenny@montrose-env.com"/>
    <s v="montrose-env.com"/>
    <s v="wayneglenny@montrose-env.com"/>
    <s v="Wayne"/>
    <s v="Glenny"/>
    <s v="US"/>
    <s v="A8BE2A2E6410C9430A495FAE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chwymore@montrose-env.com"/>
    <s v="montrose-env.com"/>
    <s v="chwymore@montrose-env.com"/>
    <s v="Christopher"/>
    <s v="Wymore"/>
    <s v="US"/>
    <s v="CDCE29ED6411EE4A0A495C53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amnilles@montrose-env.com"/>
    <s v="montrose-env.com"/>
    <s v="amnilles@montrose-env.com"/>
    <s v="Amanda"/>
    <s v="Nilles"/>
    <s v="US"/>
    <s v="FCA72A6F641362B70A495F8A@038d2aa263c9deeb495fea.e"/>
    <x v="2"/>
    <x v="0"/>
    <x v="0"/>
    <m/>
    <m/>
    <s v="USA - Stack - OH - G&amp;A"/>
    <m/>
    <m/>
    <m/>
    <m/>
    <s v="Acrobat Standard DC (VIPMP - 99C0A3088A102BD9CB4A)"/>
    <m/>
    <m/>
    <x v="24"/>
    <x v="24"/>
    <n v="8.6983333333333324"/>
    <n v="0"/>
    <n v="0"/>
    <n v="8.6983333333333324"/>
    <n v="1"/>
  </r>
  <r>
    <s v="Federated ID"/>
    <s v="gamorales@montrose-env.com"/>
    <s v="montrose-env.com"/>
    <s v="gamorales@montrose-env.com"/>
    <s v="Gabriel"/>
    <s v="Morales"/>
    <s v="US"/>
    <s v="02812A46641384A90A495C83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memercer@montrose-env.com"/>
    <s v="montrose-env.com"/>
    <s v="memercer@montrose-env.com"/>
    <s v="Melissa"/>
    <s v="Mercer"/>
    <s v="US"/>
    <s v="257A2A6F6414B22A0A495F8A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mesloan@montrose-env.com"/>
    <s v="montrose-env.com"/>
    <s v="mesloan@montrose-env.com"/>
    <s v="Merritt"/>
    <s v="Sloan"/>
    <s v="US"/>
    <s v="5FFE2A386417554B0A495FF0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bwinchester@montrose-env.com"/>
    <s v="montrose-env.com"/>
    <s v="bwinchester@montrose-env.com"/>
    <s v="Bill"/>
    <s v="Winchester"/>
    <s v="US"/>
    <s v="B72F28526419FF850A495E24@038d2aa263c9deeb495fea.e"/>
    <x v="1"/>
    <x v="0"/>
    <x v="0"/>
    <m/>
    <m/>
    <s v="USA - Environmental Consulting - Santa Ana (P&amp;C) - Operations"/>
    <m/>
    <m/>
    <m/>
    <m/>
    <s v="Acrobat Pro (VIPMP - 99C0A3088A102BD9CB4A)"/>
    <m/>
    <m/>
    <x v="25"/>
    <x v="25"/>
    <n v="14.333333333333334"/>
    <n v="0"/>
    <n v="0"/>
    <n v="14.333333333333334"/>
    <n v="1"/>
  </r>
  <r>
    <s v="Federated ID"/>
    <s v="anelskamp@montrose-env.com"/>
    <s v="montrose-env.com"/>
    <s v="anelskamp@montrose-env.com"/>
    <s v="Anthony"/>
    <s v="Elskamp"/>
    <s v="US"/>
    <s v="BBFF2713641A1B1F0A495C79@038d2aa263c9deeb495fea.e"/>
    <x v="0"/>
    <x v="0"/>
    <x v="0"/>
    <s v="System"/>
    <m/>
    <m/>
    <m/>
    <m/>
    <m/>
    <m/>
    <m/>
    <m/>
    <m/>
    <x v="0"/>
    <x v="0"/>
    <n v="0"/>
    <n v="0"/>
    <n v="0"/>
    <n v="0"/>
    <m/>
  </r>
  <r>
    <s v="Federated ID"/>
    <s v="gamoralesadmin@montrose-env.com"/>
    <s v="montrose-env.com"/>
    <s v="gamoralesadmin@montrose-env.com"/>
    <m/>
    <m/>
    <s v="US"/>
    <s v="BD9B2947641A1B360A495C26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rshengadmin@montrose-env.com"/>
    <s v="montrose-env.com"/>
    <s v="rshengadmin@montrose-env.com"/>
    <s v="Ren"/>
    <s v="Sheng Admin"/>
    <s v="US"/>
    <s v="B9962A3C641A1B360A495E6A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jole@montrose-env.com"/>
    <s v="montrose-env.com"/>
    <s v="jole@montrose-env.com"/>
    <s v="Johnny"/>
    <s v="Le"/>
    <s v="US"/>
    <s v="C3082CF9641A2BE80A495ED1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jiwang@montrose-env.com"/>
    <s v="montrose-env.com"/>
    <s v="jiwang@montrose-env.com"/>
    <s v="Jim"/>
    <s v="Wang"/>
    <s v="US"/>
    <s v="C5933512641A2DB50A495EA1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cliff.baldridge@enthalpy.com"/>
    <s v="enthalpy.com"/>
    <s v="cliff.baldridge@enthalpy.com"/>
    <s v="Clifford"/>
    <s v="Baldridge"/>
    <s v="US"/>
    <s v="DBB02736641B1E950A495CF5@038d2aa263c9deeb495fea.e"/>
    <x v="1"/>
    <x v="0"/>
    <x v="0"/>
    <m/>
    <m/>
    <s v="USA - Env Lab - Durham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sparrowmcmorran@montrose-env.com"/>
    <s v="montrose-env.com"/>
    <s v="sparrowmcmorran@montrose-env.com"/>
    <s v="Sparrow"/>
    <s v="McMorran"/>
    <s v="US"/>
    <s v="DC2F2AA0641B23140A495E80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dnygaard@montrose-env.com"/>
    <s v="montrose-env.com"/>
    <s v="dnygaard@montrose-env.com"/>
    <s v="Dane"/>
    <s v="Nygaard"/>
    <s v="US"/>
    <s v="DC412A86641B2DB20A495FBA@038d2aa263c9deeb495fea.e"/>
    <x v="1"/>
    <x v="0"/>
    <x v="0"/>
    <m/>
    <m/>
    <s v="USA - Environmental Consulting - Santa Ana (Rem) - G&amp;A"/>
    <m/>
    <m/>
    <m/>
    <m/>
    <s v="Acrobat Pro (VIPMP - 99C0A3088A102BD9CB4A)"/>
    <m/>
    <m/>
    <x v="27"/>
    <x v="27"/>
    <n v="14.333333333333334"/>
    <n v="0"/>
    <n v="0"/>
    <n v="14.333333333333334"/>
    <n v="1"/>
  </r>
  <r>
    <s v="Federated ID"/>
    <s v="fuhoshino@montrose-env.com"/>
    <s v="montrose-env.com"/>
    <s v="fuhoshino@montrose-env.com"/>
    <s v="Fumiaki"/>
    <s v="Hoshino"/>
    <s v="US"/>
    <s v="F09E2A46641B8A1B0A495C83@038d2aa263c9deeb495fea.e"/>
    <x v="2"/>
    <x v="0"/>
    <x v="0"/>
    <m/>
    <m/>
    <s v="CAN - OGI - Operations"/>
    <m/>
    <m/>
    <m/>
    <m/>
    <s v="Acrobat Standard DC (VIPMP - 99C0A3088A102BD9CB4A)"/>
    <m/>
    <m/>
    <x v="9"/>
    <x v="9"/>
    <n v="8.6983333333333324"/>
    <n v="0"/>
    <n v="0"/>
    <n v="8.6983333333333324"/>
    <n v="1"/>
  </r>
  <r>
    <s v="Federated ID"/>
    <s v="chaleshaikeradmin@montrose-env.com"/>
    <s v="montrose-env.com"/>
    <s v="chaleshaikeradmin@montrose-env.com"/>
    <m/>
    <m/>
    <s v="US"/>
    <s v="0B912BC4641C82D50A495ED8@038d2aa263c9deeb495fea.e"/>
    <x v="0"/>
    <x v="0"/>
    <x v="0"/>
    <s v="System,Support"/>
    <s v="Default Acrobat Pro configuration"/>
    <s v="USA - Corp - IT"/>
    <s v="USA - Environmental Consulting - Atlanta - G&amp;A,USA - Real Time Air - Albuquerque - G&amp;A,USA - Environmental Consulting - Nashville - Operations,USA - Advisory Services - Transactional Diligence – Operations,USA - Env Lab - Deer Park - Sales &amp; Marketing,EUR - ECT2 - OH - Finance,USA - CTEH OH - IT,USA - Stack - OH - Sales,USA - Environmental Consulting - Santa Ana (Rem) - Sales &amp; Marketing,USA - Tob Lab - Berkeley - G&amp;A,USA - Environmental Consulting - Wilmington - Operations,USA - RNG - OH - IT,USA - Stack - Cleveland - Sales &amp; Marketing,USA - Real Time Air - OH - HR,USA - LDAR - OH - Finance,USA - Advisory Services - Ecosystem Economics  - Operations,USA - Env Lab - Mt Pleasant - Sales &amp; Marketing,AUS - ECT2 - Operations,CAN - Matrix - G&amp;A,USA - Corp - IT,USA - CTEH - Health Sciences - G&amp;A,USA - Env Lab - Orange - G&amp;A,USA - Environmental Consulting - Atlanta - Operations,USA - Tob Lab - Berkeley - Operations,USA - Environmental Consulting - Wilmington - Sales &amp; Marketing,AUS - ECT2 - Sales &amp; Marketing,USA - Env Lab - Durham - G&amp;A,USA - CTEH OH - Logistics &amp; Variable Staffing,USA - Stack - Power Start-Ups - G&amp;A,USA - Corp - Legal,USA - RNG - OH - Marketing,USA - Advisory Services - Ecosystem Economics  - Sales &amp; Marketing,CAN - Matrix - Operations,USA - ECT2 - OH - IT,USA - LDAR - OH - G&amp;A,USA - Water Treatment - OH - Safety,USA - CTEH - Health Sciences - Operations,USA - Advisory Services OH - Finance,USA - Real Time Air - OH - IT,USA - Environmental Consulting - Robbinsville - G&amp;A,USA - Environmental Consulting OH - Sales,EUR - ECT2 - OH - G&amp;A,USA - Stack - Power Start-Ups - Operations,USA - CTEH OH - Marketing,USA - Env Lab - Denver - Operations,USA - ECT2 - OH - Marketing,USA - Tob Lab - Berkeley - Sales &amp; Marketing,AUS - ECT2 O&amp;M - G&amp;A,USA - RNG - OH - Safety,USA - Environmental Consulting - Robbinsville - Operations,USA - Env Lab - Orange - Operations,USA - Real Time Air - OH - Marketing,USA - LDAR - OH - HR,USA - Water Treatment - OH - Sales &amp; Marketing,USA - Advisory Services - EHSS  - G&amp;A,USA - Real Time Air - Albuquerque - Operations,CAN - Matrix - Sales &amp; Marketing,USA - Environmental Consulting - Southeast - G&amp;A,USA - Stack - Great Plains - G&amp;A,USA - Environmental Consulting - Atlanta - Sales &amp; Marketing,USA - Environmental Consulting - Nashville - Sales &amp; Marketing,USA - Advisory Services OH - G&amp;A,USA - Tob Lab - Durham - G&amp;A,AUS - ECT2 O&amp;M - Operations,USA - CTEH - Health Sciences - Sales &amp; Marketing,USA - Stack - Power Start-Ups - Sales &amp; Marketing,USA - Environmental Consulting - Southeast - Operations,USA - Real Time Air - OH - Safety,USA - Environmental Consulting - Central  - G&amp;A,USA - RNG - OH - Sales,USA - LDAR - OH - Marketing,USA - Water Treatment - Sales &amp; Marketing,CAN - OGI - G&amp;A,USA - LDAR - OH - IT,USA - Env Lab - Durham - Operations,USA - Water Treatment - Operations,USA - Stack - Great Plains - Operations,USA - Environmental Consulting - Wilmington DE - G&amp;A,USA - Advisory Services OH - HR,USA - Corp - M&amp;A,USA - Advisory Services - EHSS  - Operations,USA - Real Time Air - Albuquerque - Sales &amp; Marketing,USA - Environmental Consulting - Wilmington - G&amp;A,AUS - ECT2 - OH - R&amp;D,CAN - Air Quality - OH - Marketing,USA - Stack - Seattle - Sales &amp; Marketing,USA - Corp - HR,USA - Environmental Consulting - Santa Ana (P&amp;C) - Sales &amp; Marketing,USA - CTEH - Disaster Recovery &amp; Innovative Services - Sales &amp; Marketing,USA - Stack - Chicago - Operations,USA - Env Lab - San Diego - Sales &amp; Marketing,USA - Advisory Services - Chemistry  - Operations,USA - OGI - G&amp;A,USA - Advisory Services - Sustainability - Operations,USA - ECT2 O&amp;M - Operations,USA - LDAR - California - G&amp;A,USA - ECT2 - G&amp;A,USA - ECT2 O&amp;M - G&amp;A,USA - Stack - OH - G&amp;A,USA - RNG - G&amp;A,USA - Environmental Consulting - Long Beach - G&amp;A,USA - Water Treatment - OH - G&amp;A,USA - Env Lab - Houston - Operations,USA - CTEH - Emergency Response - G&amp;A,USA - Stack - Chicago - Sales &amp; Marketing,AUS - ECT2 - OH - Safety,USA - Advisory Services - Sustainability - Sales &amp; Marketing,USA - Corp - Information Security,USA - LDAR - California - Operations,USA - Env Lab - Wilmington - G&amp;A,USA - Advisory Services - Chemistry  - Sales &amp; Marketing,USA - OGI - Operations,USA - Stack - Southeast - G&amp;A,USA - ECT2 O&amp;M - Sales &amp; Marketing,USA - Stack - OH - HR,USA - RNG - OH - Finance,USA - Environmental Consulting - Long Beach - Operations,USA - Env Lab - Houston - Sales &amp; Marketing,USA - Real Time Air - OH - Finance,CAN - Air Quality - OH - Safety,USA - Environmental Consulting OH - Marketing,USA - ECT2 - OH - Finance,CAN - Stack - Point Edward - Operations,USA - Water Treatment - OH - HR,USA - Corp - Internal Audit,USA - CTEH - Emergency Response - Operations,USA - Stack - Cleveland - G&amp;A,USA - Env Lab - Wilmington - Operations,USA - OGI - Sales &amp; Marketing,USA - Advisory Services - Transactional Diligence - G&amp;A,USA - Env Lab - Deer Park - G&amp;A,USA - LDAR - California - Sales &amp; Marketing,CAN - Stack - Point Edward - Sales &amp; Marketing,USA - Stack - OH - Marketing,USA - Stack - Southeast - Operations,USA - Environmental Consulting - Orlando - Operations,USA - Stack - OH - IT,USA - Environmental Consulting - Santa Ana (Rem) - G&amp;A,USA - Real Time Air - OH - G&amp;A,USA - RNG - OH - G&amp;A,USA - Environmental Consulting - Long Beach - Sales &amp; Marketing,USA - Env Lab - Mt Pleasant - G&amp;A,AUS - ECT2 - OH - Sales,USA - CTEH OH - HR,CAN - Air Quality - OH - Sales,USA - ECT2 - OH - G&amp;A,USA - Environmental Consulting - Nashville - G&amp;A,USA - Advisory Services - Transactional Diligence - Sales &amp; Marketing,USA - Environmental Consulting - Orlando - Sales &amp; Marketing,USA - RNG - OH - HR,EUR - ECT2 - G&amp;A,USA - Env Lab - Wilmington - Sales &amp; Marketing,USA - Stack - Southeast - Sales &amp; Marketing,USA - Env Lab - Deer Park - Operations,USA - Environmental Consulting OH - Safety,USA - Stack - OH - Safety,USA - Advisory Services - Ecosystem Economics  - G&amp;A,USA - Env Lab - Mt Pleasant - Operations,CAN - Air Quality - OH - Software Development,USA - ECT2 - OH - HR,USA - Water Treatment - OH - IT,USA - Environmental Consulting - Santa Ana (Rem) - Operations,USA - CTEH - Emergency Response - Sales &amp; Marketing,USA - Stack - Cleveland - Operations,USA - Real Time Air - Pinebrook - Sales &amp; Marketing,USA - Environmental Consulting - Charlottesville - Sales &amp; Marketing,CAN - Stack - Edmonton - G&amp;A,USA - Env Lab - El Dorado Hills - Sales &amp; Marketing,USA - Stack - Santa Ana - Sales &amp; Marketing,USA - Corp - Federal,USA - Corp - Sales,USA - Real Time Air - Austin - Sales &amp; Marketing,USA - Corp - Executive,USA - Labs - OH - IT,EUR - ECT2 - OH - Safety,USA - LDAR - Texas - G&amp;A,AUS - ECT2 - OH - G&amp;A,USA - Environmental Consulting - Valley Forge - G&amp;A,USA - Tob Lab - Richmond - Sales &amp; Marketing,CAN - Air Quality - OH - G&amp;A,USA - Stack - Northeast - G&amp;A,USA - Stack - Seattle - G&amp;A,USA - CTEH OH - Software Development,CAN - Stack - Edmonton - Operations,USA - Corp - Shared Services,USA - Real Time Air - Denver - Operations,USA - Environmental Consulting - Oakland - Sales &amp; Marketing,USA - Corp - Finance,USA - Env Lab - Richmond - Sales &amp; Marketing,EUR - ECT2 - OH - Sales,USA - LDAR - Texas - Operations,USA - Real Time Air - Denver - G&amp;A,USA - Advisory Services - HUCO - Sales &amp; Marketing,USA - ECT2 - Operations,USA - Water Treatment - G&amp;A,CAN - Air Quality - OH - HR,USA - Labs - OH - Marketing,USA - Stack - Northeast - Operations,USA - CTEH OH - Finance,AUS - ECT2 - OH - HR,USA - Environmental Consulting - Valley Forge - Operations,USA - Real Time Air - Specialized Monitoring Systems - G&amp;A,USA - Environmental Consulting - Environmental Intelligence - G&amp;A,USA - Stack - Antioch - Operations,CAN - Stack - Edmonton - Sales &amp; Marketing,USA - ECT2 - Sales &amp; Marketing,CAN - Air Quality - OH - IT Systems,USA - Stack - Seattle - Operations,USA - Corp - Financial Systems,USA - CTEH - Disaster Recovery &amp; Innovative Services - G&amp;A,USA - Env Lab - San Diego - G&amp;A,USA - LDAR - Texas - Sales &amp; Marketing,EUR - ECT2 - Sales &amp; Marketing,USA - Real Time Air - Denver - Sales &amp; Marketing,USA - Advisory Services - Sustainability - G&amp;A,USA - Labs - OH - Safety,EUR - ECT2 - Operations,USA - Environmental Consulting - Valley Forge - Sales &amp; Marketing,AUS - ECT2 - OH - IT,USA - Water Treatment - OH - Finance,USA - Environmental Consulting OH - HR,USA - Stack - Antioch - Sales &amp; Marketing,USA - Stack - Northeast - Sales &amp; Marketing,USA - Environmental Consulting - Santa Ana (P&amp;C) - G&amp;A,USA - Real Time Air - Specialized Monitoring Systems - Operations,USA - Environmental Consulting - Environmental Intelligence - Operations,CAN - Air Quality - OH - Legal,USA - Environmental Consulting OH - IT,CAN - Stack - Point Edward - G&amp;A,USA - Environmental Consulting - Santa Ana (P&amp;C) - Operations,USA - CTEH - Disaster Recovery &amp; Innovative Services - Operations,USA - Stack - Chicago - G&amp;A,AUS - ECT2 - OH - Marketing,USA - CTEH OH - G&amp;A,USA - Environmental Consulting - Orlando - G&amp;A,USA - Corp - G&amp;A,USA - Labs - OH - Sales,USA - Env Lab - San Diego - Operations,USA - Advisory Services - Chemistry  - G&amp;A,USA - Env Lab - Houston - G&amp;A,USA - Stack - OH - Finance,USA - Real Time Air - Specialized Monitoring Systems - Sales &amp; Marketing,USA - Environmental Consulting - Environmental Intelligence - Sales &amp; Marketing,USA - Environmental Consulting - Southeast - Sales &amp; Marketing,USA - Tob Lab - Durham - Operations,USA - Environmental Consulting - Wilmington DE - Operations,USA - Corp - Marketing,USA - Environmental Consulting - Oakland - G&amp;A,USA - CTEH - Industrial Hygiene &amp; Safety Services - G&amp;A,USA - Advisory Services - EHSS  - Sales &amp; Marketing,USA - Env Lab - Orange - Sales &amp; Marketing,USA - Real Time Air - OH - Sales,USA - Environmental Consulting - Central - Operations,CAN - OGI - Sales &amp; Marketing,USA - LDAR - OH - Safety,USA - Water Treatment O&amp;M - G&amp;A,CAN - OGI - Operations,USA - ECT2 - OH - R&amp;D,USA - Stack - Great Plains - Sales &amp; Marketing,USA - Advisory Services OH - IT,USA - Env Lab - Durham - Sales &amp; Marketing,USA - Labs - OH - Finance,EUR - ECT2 - OH - HR,USA - CTEH OH - Safety,USA - Environmental Consulting - Tampa - G&amp;A,USA - Real Time Air - OH - Software Development,USA - Environmental Consulting - Central - Sales &amp; Marketing,USA - Environmental Consulting - Oakland - Operations,USA - Env Lab - El Dorado Hills - G&amp;A,USA - Water Treatment O&amp;M - Operations,USA - Real Time Air - Austin - G&amp;A,USA - Advisory Services - HUCO - G&amp;A,CAN - Permit &amp; Comp - G&amp;A,USA - Stack - Gulf Coast - G&amp;A,USA - Stack - Santa Ana - G&amp;A,USA - Advisory Services OH - Marketing,USA - Environmental Consulting - Robbinsville - Sales &amp; Marketing,USA - RNG - Operations,EUR - ECT2 - OH - IT,USA - Tob Lab - Durham - Sales &amp; Marketing,AUS - ECT2 O&amp;M - Sales &amp; Marketing,USA - Environmental Consulting - Wilmington DE - Sales &amp; Marketing,USA - Labs - OH - G&amp;A,USA - Stack - Gulf Coast - Operations,USA - Advisory Services - HUCO - Operations,USA - Real Time Air - Pinebrook - G&amp;A,USA - Environmental Consulting - Charlottesville - G&amp;A,USA - Labs - OH - HR,CAN - Permit &amp; Comp - Operations,USA - LDAR - OH - Sales,USA - Water Treatment O&amp;M - Sales &amp; Marketing,USA - CTEH - Industrial Hygiene &amp; Safety Services - Operations,USA - Environmental Consulting - Sacramento - G&amp;A,USA - Corp - Public Company,USA - RNG - Sales &amp; Marketing,USA - Advisory Services OH - Safety,USA - Env Lab - Richmond - G&amp;A,EUR - ECT2 - OH - Marketing,AUS - ECT2 - G&amp;A,USA - Environmental Consulting - Tampa - Operations,USA - ECT2 - OH - Safety,USA - Tob Lab - Richmond - G&amp;A,USA - Environmental Consulting OH - Finance,USA - Real Time Air - Pinebrook - Operations,USA - Environmental Consulting - Charlottesville - Operations,USA - Env Lab - El Dorado Hills - Operations,USA - Environmental Consulting OH - G&amp;A,USA - CTEH OH - Sales,CAN - Permit &amp; Comp - Sales &amp; Marketing,USA - Environmental Consulting - Sacramento - Sales &amp; Marketing,USA - Corp - Safety,USA - CTEH - Industrial Hygiene &amp; Safety Services - Sales &amp; Marketing,USA - Advisory Services OH - Sales,USA - Environmental Consulting - Sacramento - Operations,USA - Stack - Antioch - G&amp;A,USA - Corp - R&amp;D,USA - Env Lab - Richmond - Operations,EUR - ECT2 - OH - R&amp;D,USA - Real Time Air - Austin - Operations,USA - ECT2 - OH - Sales,USA - Tob Lab - Richmond - Operations,CAN - Air Quality - OH - Finance,USA - Stack - Gulf Coast - Sales &amp; Marketing,USA - Stack - Santa Ana - Operations,AUS - ECT2 - OH - Finance,USA - Environmental Consulting - Tampa - Sales &amp; Marketing"/>
    <s v="Acrobat Pro (VIPMP - 99C0A3088A102BD9CB4A)"/>
    <m/>
    <m/>
    <m/>
    <m/>
    <m/>
    <x v="0"/>
    <x v="0"/>
    <n v="0"/>
    <n v="0"/>
    <n v="0"/>
    <n v="0"/>
    <m/>
  </r>
  <r>
    <s v="Federated ID"/>
    <s v="jwgable@montrose-env.com"/>
    <s v="montrose-env.com"/>
    <s v="jwgable@montrose-env.com"/>
    <s v="Joseph"/>
    <s v="Gable"/>
    <s v="US"/>
    <s v="38E03512641DA37F0A495EA1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djensenadmin@montrose-env.com"/>
    <s v="montrose-env.com"/>
    <s v="djensenadmin@montrose-env.com"/>
    <s v="Dan"/>
    <s v="Jensen Admin"/>
    <s v="US"/>
    <s v="3C0229B5641DE5700A495E29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maboward@montrose-env.com"/>
    <s v="montrose-env.com"/>
    <s v="maboward@montrose-env.com"/>
    <s v="Mark"/>
    <s v="Boward"/>
    <s v="US"/>
    <s v="3C8A2754641E172E0A495C23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erickline@montrose-env.com"/>
    <s v="montrose-env.com"/>
    <s v="erickline@montrose-env.com"/>
    <s v="Eric"/>
    <s v="Kline"/>
    <s v="US"/>
    <s v="AB91270A6421E0660A495CAC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anelskampadmin@montrose-env.com"/>
    <s v="montrose-env.com"/>
    <s v="anelskampadmin@montrose-env.com"/>
    <m/>
    <m/>
    <s v="US"/>
    <s v="D44A274664231F3A0A495F94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joleadmin@montrose-env.com"/>
    <s v="montrose-env.com"/>
    <s v="joleadmin@montrose-env.com"/>
    <s v="Johnny"/>
    <s v="Le Admin"/>
    <s v="US"/>
    <s v="D2D92863642320890A495E9A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rdadams@montrose-env.com"/>
    <s v="montrose-env.com"/>
    <s v="rdadams@montrose-env.com"/>
    <s v="Ryan"/>
    <s v="Adams"/>
    <s v="US"/>
    <s v="DC0C270A64234F720A495CAC@038d2aa263c9deeb495fea.e"/>
    <x v="1"/>
    <x v="0"/>
    <x v="0"/>
    <m/>
    <m/>
    <s v="USA - Corp - HR"/>
    <m/>
    <m/>
    <m/>
    <m/>
    <s v="Acrobat Pro (VIPMP - 99C0A3088A102BD9CB4A)"/>
    <m/>
    <m/>
    <x v="29"/>
    <x v="29"/>
    <n v="14.333333333333334"/>
    <n v="0"/>
    <n v="0"/>
    <n v="14.333333333333334"/>
    <n v="1"/>
  </r>
  <r>
    <s v="Federated ID"/>
    <s v="jvecchio@montrose-env.com"/>
    <s v="montrose-env.com"/>
    <s v="jvecchio@montrose-env.com"/>
    <s v="Justin"/>
    <s v="Vecchio"/>
    <s v="US"/>
    <s v="03C42A65642466740A495E7E@038d2aa263c9deeb495fea.e"/>
    <x v="1"/>
    <x v="0"/>
    <x v="0"/>
    <m/>
    <m/>
    <s v="USA - OGI - Operations"/>
    <m/>
    <m/>
    <m/>
    <m/>
    <s v="Acrobat Pro (VIPMP - 99C0A3088A102BD9CB4A)"/>
    <m/>
    <m/>
    <x v="30"/>
    <x v="30"/>
    <n v="14.333333333333334"/>
    <n v="0"/>
    <n v="0"/>
    <n v="14.333333333333334"/>
    <n v="1"/>
  </r>
  <r>
    <s v="Federated ID"/>
    <s v="meganwilson@montrose-env.com"/>
    <s v="montrose-env.com"/>
    <s v="meganwilson@montrose-env.com"/>
    <s v="Megan"/>
    <s v="Wilson"/>
    <s v="US"/>
    <s v="04CC29A7642477640A495C8C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montrosetraining@montrose-env.com"/>
    <s v="montrose-env.com"/>
    <s v="montrosetraining@montrose-env.com"/>
    <s v="Montrose"/>
    <s v="Training"/>
    <s v="US"/>
    <s v="08092A6F64247A850A495F8A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agraham@montrose-env.com"/>
    <s v="montrose-env.com"/>
    <s v="agraham@montrose-env.com"/>
    <s v="Amy"/>
    <s v="Graham"/>
    <s v="US"/>
    <s v="2C9D2816642591CD0A495FA8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liliciaga@montrose-env.com"/>
    <s v="montrose-env.com"/>
    <s v="liliciaga@montrose-env.com"/>
    <s v="Lisa"/>
    <s v="Liciaga"/>
    <s v="US"/>
    <s v="29DC289A6425AD8B0A495C39@038d2aa263c9deeb495fea.e"/>
    <x v="0"/>
    <x v="0"/>
    <x v="0"/>
    <m/>
    <m/>
    <s v="USA - Environmental Consulting OH - Finance"/>
    <m/>
    <m/>
    <m/>
    <m/>
    <m/>
    <m/>
    <m/>
    <x v="0"/>
    <x v="0"/>
    <n v="0"/>
    <n v="0"/>
    <n v="0"/>
    <n v="0"/>
    <m/>
  </r>
  <r>
    <s v="Federated ID"/>
    <s v="jicotton@montrose-env.com"/>
    <s v="montrose-env.com"/>
    <s v="jicotton@montrose-env.com"/>
    <s v="Jim"/>
    <s v="Cotton"/>
    <s v="US"/>
    <s v="2C242AFD6425B4570A495F86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gemeahl@montrose-env.com"/>
    <s v="montrose-env.com"/>
    <s v="gemeahl@montrose-env.com"/>
    <s v="Gerren"/>
    <s v="Meahl"/>
    <s v="US"/>
    <s v="2F4B274A6425BA6C0A495C10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csueli@ect2.com"/>
    <s v="ect2.com"/>
    <s v="csueli@ect2.com"/>
    <s v="Carl"/>
    <s v="Sueli"/>
    <s v="US"/>
    <s v="6A4029366427625B0A495FE4@038d2aa263c9deeb495fea.e"/>
    <x v="2"/>
    <x v="0"/>
    <x v="0"/>
    <m/>
    <m/>
    <s v="AUS - ECT2 O&amp;M - G&amp;A"/>
    <m/>
    <m/>
    <m/>
    <m/>
    <s v="Acrobat Standard DC (VIPMP - 99C0A3088A102BD9CB4A)"/>
    <m/>
    <m/>
    <x v="32"/>
    <x v="32"/>
    <n v="8.6983333333333324"/>
    <n v="0"/>
    <n v="0"/>
    <n v="8.6983333333333324"/>
    <n v="1"/>
  </r>
  <r>
    <s v="Federated ID"/>
    <s v="kytrisler@montrose-env.com"/>
    <s v="montrose-env.com"/>
    <s v="kytrisler@montrose-env.com"/>
    <s v="Kyle"/>
    <s v="Trisler"/>
    <s v="US"/>
    <s v="E0992AA0642B87750A495E80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cajohnson@montrose-env.com"/>
    <s v="montrose-env.com"/>
    <s v="cajohnson@montrose-env.com"/>
    <s v="Cari"/>
    <s v="Johnson"/>
    <s v="US"/>
    <s v="08DE2A86642CCA270A495FBA@038d2aa263c9deeb495fea.e"/>
    <x v="0"/>
    <x v="0"/>
    <x v="0"/>
    <m/>
    <m/>
    <s v="USA - Environmental Consulting - Orlando - Sales &amp; Marketing"/>
    <m/>
    <m/>
    <m/>
    <m/>
    <m/>
    <m/>
    <m/>
    <x v="0"/>
    <x v="0"/>
    <n v="0"/>
    <n v="0"/>
    <n v="0"/>
    <n v="0"/>
    <m/>
  </r>
  <r>
    <s v="Federated ID"/>
    <s v="korourke@montrose-env.com"/>
    <s v="montrose-env.com"/>
    <s v="korourke@montrose-env.com"/>
    <s v="Kevin"/>
    <s v="ORourke"/>
    <s v="US"/>
    <s v="1FE129EB642D68180A495EBF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chfeichtadmin@montrose-env.com"/>
    <s v="montrose-env.com"/>
    <s v="chfeichtadmin@montrose-env.com"/>
    <s v="Christian"/>
    <s v="Feicht Admin"/>
    <s v="US"/>
    <s v="308829E4642DC3D90A495C4F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anbraun@montrose-env.com"/>
    <s v="montrose-env.com"/>
    <s v="anbraun@montrose-env.com"/>
    <s v="Andrew"/>
    <s v="Braun"/>
    <s v="US"/>
    <s v="9492274A64306EB40A495C10@038d2aa263c9deeb495fea.e"/>
    <x v="1"/>
    <x v="0"/>
    <x v="0"/>
    <m/>
    <m/>
    <s v="USA - Environmental Consulting - Charlottesvill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tmengels@montrose-env.com"/>
    <s v="montrose-env.com"/>
    <s v="tmengels@montrose-env.com"/>
    <s v="Tom"/>
    <s v="Engels"/>
    <s v="US"/>
    <s v="A19A29CA6430829A0A495EF1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erDeSourdy@montrose-env.com"/>
    <s v="montrose-env.com"/>
    <s v="erDeSourdy@montrose-env.com"/>
    <s v="Erin"/>
    <s v="DeSourdy"/>
    <s v="US"/>
    <s v="ED4F2B37643462600A495E06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cvillasenor@montrose-env.com"/>
    <s v="montrose-env.com"/>
    <s v="cvillasenor@montrose-env.com"/>
    <s v="Cedrick"/>
    <s v="Villasenor"/>
    <s v="US"/>
    <s v="F8F22A3C64349B9F0A495E6A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rpatry@montrose-env.com"/>
    <s v="montrose-env.com"/>
    <s v="rpatry@montrose-env.com"/>
    <s v="Randy"/>
    <s v="Patry"/>
    <s v="US"/>
    <s v="8BF629ED64381A240A495C53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linda.scharpenberg@enthalpy.com"/>
    <s v="enthalpy.com"/>
    <s v="linda.scharpenberg@enthalpy.com"/>
    <s v="Linda"/>
    <s v="Scharpenberg"/>
    <s v="US"/>
    <s v="13D432B9643948880A495CC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niwelch@montrose-env.com"/>
    <s v="montrose-env.com"/>
    <s v="niwelch@montrose-env.com"/>
    <s v="Nicholas"/>
    <s v="Welch"/>
    <s v="US"/>
    <s v="818C382E643D6C2B0A495EA3@038d2aa263c9deeb495fea.e"/>
    <x v="1"/>
    <x v="0"/>
    <x v="0"/>
    <m/>
    <m/>
    <s v="USA - ECT2 - OH - Marketing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misanders@montrose-env.com"/>
    <s v="montrose-env.com"/>
    <s v="misanders@montrose-env.com"/>
    <s v="Michelle"/>
    <s v="Sanders"/>
    <s v="US"/>
    <s v="8176366D643D6C2B0A495E23@038d2aa263c9deeb495fea.e"/>
    <x v="1"/>
    <x v="0"/>
    <x v="0"/>
    <m/>
    <m/>
    <s v="USA - Environmental Consulting OH - Marketing"/>
    <m/>
    <m/>
    <m/>
    <m/>
    <s v="Acrobat Pro (VIPMP - 99C0A3088A102BD9CB4A)"/>
    <m/>
    <m/>
    <x v="35"/>
    <x v="35"/>
    <n v="14.333333333333334"/>
    <n v="0"/>
    <n v="0"/>
    <n v="14.333333333333334"/>
    <n v="1"/>
  </r>
  <r>
    <s v="Federated ID"/>
    <s v="jeremysmith@montrose-env.com"/>
    <s v="montrose-env.com"/>
    <s v="jeremysmith@montrose-env.com"/>
    <s v="Jeremy"/>
    <s v="Smith"/>
    <s v="US"/>
    <s v="AC921B91643ECE850A495CEA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pzemek@montrose-env.com"/>
    <s v="montrose-env.com"/>
    <s v="pzemek@montrose-env.com"/>
    <s v="Peter"/>
    <s v="Zemek"/>
    <s v="US"/>
    <s v="081B393264419A330A495E30@038d2aa263c9deeb495fea.e"/>
    <x v="0"/>
    <x v="0"/>
    <x v="0"/>
    <m/>
    <m/>
    <s v="USA - Corp - R&amp;D"/>
    <m/>
    <m/>
    <m/>
    <m/>
    <m/>
    <m/>
    <m/>
    <x v="0"/>
    <x v="0"/>
    <n v="0"/>
    <n v="0"/>
    <n v="0"/>
    <n v="0"/>
    <m/>
  </r>
  <r>
    <s v="Federated ID"/>
    <s v="jclark@montrose-env.com"/>
    <s v="montrose-env.com"/>
    <s v="jclark@montrose-env.com"/>
    <s v="Jeremy"/>
    <s v="Clark"/>
    <s v="US"/>
    <s v="2E623DFF6442BEFB0A495FB2@038d2aa263c9deeb495fea.e"/>
    <x v="2"/>
    <x v="0"/>
    <x v="0"/>
    <m/>
    <m/>
    <s v="USA - Stack - OH - G&amp;A"/>
    <m/>
    <m/>
    <m/>
    <m/>
    <s v="Acrobat Standard DC (VIPMP - 99C0A3088A102BD9CB4A)"/>
    <m/>
    <m/>
    <x v="36"/>
    <x v="36"/>
    <n v="8.6983333333333324"/>
    <n v="0"/>
    <n v="0"/>
    <n v="8.6983333333333324"/>
    <n v="1"/>
  </r>
  <r>
    <s v="Federated ID"/>
    <s v="keignaszak@montrose-env.com"/>
    <s v="montrose-env.com"/>
    <s v="keignaszak@montrose-env.com"/>
    <s v="Kevin"/>
    <s v="Ignaszak"/>
    <s v="US"/>
    <s v="AC83648A644689F30A495FC0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stcampbell@montrose-env.com"/>
    <s v="montrose-env.com"/>
    <s v="stcampbell@montrose-env.com"/>
    <s v="Steven"/>
    <s v="Campbell"/>
    <s v="US"/>
    <s v="8B601AD5644689F40A495E8F@038d2aa263c9deeb495fea.e"/>
    <x v="0"/>
    <x v="0"/>
    <x v="0"/>
    <m/>
    <m/>
    <s v="USA - Environmental Consulting - Valley Forge - Operations"/>
    <m/>
    <m/>
    <m/>
    <m/>
    <m/>
    <m/>
    <m/>
    <x v="0"/>
    <x v="0"/>
    <n v="0"/>
    <n v="0"/>
    <n v="0"/>
    <n v="0"/>
    <m/>
  </r>
  <r>
    <s v="Federated ID"/>
    <s v="rebekah.armentrout@enthalpy.com"/>
    <s v="enthalpy.com"/>
    <s v="rebekah.armentrout@enthalpy.com"/>
    <s v="Rebekah"/>
    <s v="Armentrout"/>
    <s v="US"/>
    <s v="B616016E6446C6770A495FC3@038d2aa263c9deeb495fea.e"/>
    <x v="0"/>
    <x v="0"/>
    <x v="0"/>
    <m/>
    <m/>
    <s v="USA - Labs - OH - Finance"/>
    <m/>
    <m/>
    <m/>
    <m/>
    <m/>
    <m/>
    <m/>
    <x v="0"/>
    <x v="0"/>
    <n v="0"/>
    <n v="0"/>
    <n v="0"/>
    <n v="0"/>
    <m/>
  </r>
  <r>
    <s v="Federated ID"/>
    <s v="CrWendling@montrose-env.com"/>
    <s v="montrose-env.com"/>
    <s v="crwendling@montrose-env.com"/>
    <s v="Craig"/>
    <s v="Wendling"/>
    <s v="US"/>
    <s v="B677016E6446C99A0A495FC3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cadutra@montrose-env.com"/>
    <s v="montrose-env.com"/>
    <s v="cadutra@montrose-env.com"/>
    <s v="Carley"/>
    <s v="Dutra"/>
    <s v="US"/>
    <s v="0D0D016E644947AF0A495FC3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micarlyle@montrose-env.com"/>
    <s v="montrose-env.com"/>
    <s v="micarlyle@montrose-env.com"/>
    <s v="Misty"/>
    <s v="Carlyle"/>
    <s v="US"/>
    <s v="0F7C1C2664497A0C0A495E6E@038d2aa263c9deeb495fea.e"/>
    <x v="1"/>
    <x v="0"/>
    <x v="0"/>
    <m/>
    <m/>
    <s v="USA - Corp - HR"/>
    <m/>
    <m/>
    <m/>
    <m/>
    <s v="Acrobat Pro (VIPMP - 99C0A3088A102BD9CB4A)"/>
    <m/>
    <m/>
    <x v="29"/>
    <x v="29"/>
    <n v="14.333333333333334"/>
    <n v="0"/>
    <n v="0"/>
    <n v="14.333333333333334"/>
    <n v="1"/>
  </r>
  <r>
    <s v="Federated ID"/>
    <s v="tgrosshandler@montrose-env.com"/>
    <s v="montrose-env.com"/>
    <s v="tgrosshandler@montrose-env.com"/>
    <s v="Todd"/>
    <s v="Grosshandler"/>
    <s v="US"/>
    <s v="0346125664499CFC0A495FDD@038d2aa263c9deeb495fea.e"/>
    <x v="2"/>
    <x v="0"/>
    <x v="0"/>
    <m/>
    <m/>
    <s v="USA - Corp - Executive"/>
    <m/>
    <m/>
    <m/>
    <m/>
    <s v="Acrobat Standard DC (VIPMP - 99C0A3088A102BD9CB4A)"/>
    <m/>
    <m/>
    <x v="37"/>
    <x v="37"/>
    <n v="8.6983333333333324"/>
    <n v="0"/>
    <n v="0"/>
    <n v="8.6983333333333324"/>
    <n v="1"/>
  </r>
  <r>
    <s v="Federated ID"/>
    <s v="sarahking@montrose-env.com"/>
    <s v="montrose-env.com"/>
    <s v="sarahking@montrose-env.com"/>
    <s v="Sarah"/>
    <s v="King"/>
    <s v="US"/>
    <s v="B07128BE644FD2460A495E73@038d2aa263c9deeb495fea.e"/>
    <x v="0"/>
    <x v="0"/>
    <x v="0"/>
    <m/>
    <m/>
    <s v="USA - Environmental Consulting OH - Finance"/>
    <m/>
    <m/>
    <m/>
    <m/>
    <m/>
    <m/>
    <m/>
    <x v="0"/>
    <x v="0"/>
    <n v="0"/>
    <n v="0"/>
    <n v="0"/>
    <n v="0"/>
    <m/>
  </r>
  <r>
    <s v="Federated ID"/>
    <s v="lobustamante@montrose-env.com"/>
    <s v="montrose-env.com"/>
    <s v="lobustamante@montrose-env.com"/>
    <s v="Louis"/>
    <s v="Bustamante"/>
    <s v="US"/>
    <s v="B9DB288564502ACA0A495CA4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jelamoreux@montrose-env.com"/>
    <s v="montrose-env.com"/>
    <s v="jelamoreux@montrose-env.com"/>
    <s v="Jennifer"/>
    <s v="Lamoreux"/>
    <s v="US"/>
    <s v="D677276D6451026E0A495E7B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brmendoza@montrose-env.com"/>
    <s v="montrose-env.com"/>
    <s v="brmendoza@montrose-env.com"/>
    <s v="Bryan"/>
    <s v="Mendoza"/>
    <s v="US"/>
    <s v="AEFF28AF645732560A495E0C@038d2aa263c9deeb495fea.e"/>
    <x v="1"/>
    <x v="0"/>
    <x v="0"/>
    <m/>
    <m/>
    <m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chmiller@montrose-env.com"/>
    <s v="montrose-env.com"/>
    <s v="chmiller@montrose-env.com"/>
    <s v="Christian"/>
    <s v="Miller"/>
    <s v="US"/>
    <s v="0CFE2643645A82E20A495CAF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chweber@montrose-env.com"/>
    <s v="montrose-env.com"/>
    <s v="chweber@montrose-env.com"/>
    <s v="Chris"/>
    <s v="Weber"/>
    <s v="US"/>
    <s v="712828FB645D56E20A495EEE@038d2aa263c9deeb495fea.e"/>
    <x v="0"/>
    <x v="0"/>
    <x v="0"/>
    <m/>
    <m/>
    <s v="USA - OGI - Operations"/>
    <m/>
    <m/>
    <m/>
    <m/>
    <m/>
    <m/>
    <m/>
    <x v="0"/>
    <x v="0"/>
    <n v="0"/>
    <n v="0"/>
    <n v="0"/>
    <n v="0"/>
    <m/>
  </r>
  <r>
    <s v="Federated ID"/>
    <s v="jschulte@montrose-env.com"/>
    <s v="montrose-env.com"/>
    <s v="jschulte@montrose-env.com"/>
    <s v="Jennifer"/>
    <s v="Schulte"/>
    <s v="US"/>
    <s v="6D732520645D68C50A495EDF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cabraham@montrose-env.com"/>
    <s v="montrose-env.com"/>
    <s v="cabraham@montrose-env.com"/>
    <s v="Christopher"/>
    <s v="Abraham"/>
    <s v="US"/>
    <s v="203324F0645E756A0A495E5D@038d2aa263c9deeb495fea.e"/>
    <x v="1"/>
    <x v="0"/>
    <x v="0"/>
    <m/>
    <m/>
    <s v="USA - Labs - OH - Safety"/>
    <m/>
    <m/>
    <m/>
    <m/>
    <s v="Acrobat Pro (VIPMP - 99C0A3088A102BD9CB4A)"/>
    <m/>
    <m/>
    <x v="38"/>
    <x v="38"/>
    <n v="14.333333333333334"/>
    <n v="0"/>
    <n v="0"/>
    <n v="14.333333333333334"/>
    <n v="1"/>
  </r>
  <r>
    <s v="Federated ID"/>
    <s v="erinrodgers@montrose-env.com"/>
    <s v="montrose-env.com"/>
    <s v="erinrodgers@montrose-env.com"/>
    <s v="Erin"/>
    <s v="Rodgers"/>
    <s v="US"/>
    <s v="80B324F7646253210A495C89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emandrews@montrose-env.com"/>
    <s v="montrose-env.com"/>
    <s v="emandrews@montrose-env.com"/>
    <s v="Emily"/>
    <s v="Andrews"/>
    <s v="US"/>
    <s v="E06F268164655D690A495C62@038d2aa263c9deeb495fea.e"/>
    <x v="1"/>
    <x v="1"/>
    <x v="1"/>
    <m/>
    <m/>
    <s v="USA - Environmental Consulting - Sacramento - G&amp;A"/>
    <m/>
    <m/>
    <m/>
    <m/>
    <s v="Acrobat Pro (VIPMP - 99C0A3088A102BD9CB4A),InDesign (VIPMP - 99C0A3088A102BD9CB4A),Photoshop (VIPMP - 99C0A3088A102BD9CB4A)"/>
    <m/>
    <m/>
    <x v="17"/>
    <x v="17"/>
    <n v="14.333333333333334"/>
    <n v="35.979166666666664"/>
    <n v="34.873750000000001"/>
    <n v="85.186250000000001"/>
    <n v="1"/>
  </r>
  <r>
    <s v="Federated ID"/>
    <s v="vavasquez@montrose-env.com"/>
    <s v="montrose-env.com"/>
    <s v="vavasquez@montrose-env.com"/>
    <s v="Vanessa"/>
    <s v="Vasquez"/>
    <s v="US"/>
    <s v="7D10269E646B72D70A495C87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sawieder@montrose-env.com"/>
    <s v="montrose-env.com"/>
    <s v="sawieder@montrose-env.com"/>
    <s v="Sandy"/>
    <s v="Wieder"/>
    <s v="US"/>
    <s v="05BD60EB646EF09C0A495E10@038d2aa263c9deeb495fea.e"/>
    <x v="1"/>
    <x v="0"/>
    <x v="0"/>
    <m/>
    <m/>
    <s v="USA - Environmental Consulting OH - Finance"/>
    <m/>
    <m/>
    <m/>
    <m/>
    <s v="Acrobat Pro (VIPMP - 99C0A3088A102BD9CB4A)"/>
    <m/>
    <m/>
    <x v="39"/>
    <x v="39"/>
    <n v="14.333333333333334"/>
    <n v="0"/>
    <n v="0"/>
    <n v="14.333333333333334"/>
    <n v="1"/>
  </r>
  <r>
    <s v="Federated ID"/>
    <s v="slmay@montrose-env.com"/>
    <s v="montrose-env.com"/>
    <s v="slmay@montrose-env.com"/>
    <s v="Stephanie"/>
    <s v="May"/>
    <s v="US"/>
    <s v="11F649C8646F52790A495CA1@038d2aa263c9deeb495fea.e"/>
    <x v="1"/>
    <x v="0"/>
    <x v="0"/>
    <m/>
    <m/>
    <s v="USA - Remediation - Florida - operations"/>
    <m/>
    <m/>
    <m/>
    <m/>
    <s v="Acrobat Pro (VIPMP - 99C0A3088A102BD9CB4A)"/>
    <m/>
    <m/>
    <x v="16"/>
    <x v="16"/>
    <n v="14.333333333333334"/>
    <n v="0"/>
    <n v="0"/>
    <n v="14.333333333333334"/>
    <n v="1"/>
  </r>
  <r>
    <s v="Federated ID"/>
    <s v="mpotter@montrose-env.com"/>
    <s v="montrose-env.com"/>
    <s v="mpotter@montrose-env.com"/>
    <s v="Matt"/>
    <s v="Potter"/>
    <s v="US"/>
    <s v="1B5D60EB646F90EB0A495E10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djedski@montrose-env.com"/>
    <s v="montrose-env.com"/>
    <s v="djedski@montrose-env.com"/>
    <s v="Diane"/>
    <s v="Jedski"/>
    <s v="US"/>
    <s v="A4D71EE1647619570A495CA2@038d2aa263c9deeb495fea.e"/>
    <x v="1"/>
    <x v="0"/>
    <x v="0"/>
    <m/>
    <m/>
    <s v="USA - Environmental Consulting - Robbinsville - G&amp;A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mahallamasek@montrose-env.com"/>
    <s v="montrose-env.com"/>
    <s v="mahallamasek@montrose-env.com"/>
    <s v="Margaret"/>
    <s v="Hallamasek"/>
    <s v="US"/>
    <s v="AD8C1EBB647647530A495C16@038d2aa263c9deeb495fea.e"/>
    <x v="2"/>
    <x v="0"/>
    <x v="0"/>
    <m/>
    <m/>
    <s v="USA - Real Time Air - OH - Sales"/>
    <m/>
    <m/>
    <m/>
    <m/>
    <s v="Acrobat Standard DC (VIPMP - 99C0A3088A102BD9CB4A)"/>
    <m/>
    <m/>
    <x v="14"/>
    <x v="14"/>
    <n v="8.6983333333333324"/>
    <n v="0"/>
    <n v="0"/>
    <n v="8.6983333333333324"/>
    <n v="1"/>
  </r>
  <r>
    <s v="Federated ID"/>
    <s v="chdavis@montrose-env.com"/>
    <s v="montrose-env.com"/>
    <s v="chdavis@montrose-env.com"/>
    <s v="Cheri"/>
    <s v="Davis"/>
    <s v="US"/>
    <s v="D0E51EDA647763680A495CC9@038d2aa263c9deeb495fea.e"/>
    <x v="1"/>
    <x v="0"/>
    <x v="0"/>
    <m/>
    <m/>
    <s v="USA - Stack - Gulf Coast - G&amp;A"/>
    <m/>
    <m/>
    <m/>
    <m/>
    <s v="Acrobat Pro (VIPMP - 99C0A3088A102BD9CB4A)"/>
    <m/>
    <m/>
    <x v="41"/>
    <x v="41"/>
    <n v="14.333333333333334"/>
    <n v="0"/>
    <n v="0"/>
    <n v="14.333333333333334"/>
    <n v="1"/>
  </r>
  <r>
    <s v="Federated ID"/>
    <s v="joehrmann@montrose-env.com"/>
    <s v="montrose-env.com"/>
    <s v="joehrmann@montrose-env.com"/>
    <s v="Johann"/>
    <s v="Ehrmann"/>
    <s v="US"/>
    <s v="E0F21EDF6477A2D90A495E34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ronda.burrell@enthalpy.com"/>
    <s v="enthalpy.com"/>
    <s v="ronda.burrell@enthalpy.com"/>
    <s v="Ronda"/>
    <s v="Burrell"/>
    <s v="US"/>
    <s v="DA9A1EDC6477A3430A495FF0@038d2aa263c9deeb495fea.e"/>
    <x v="1"/>
    <x v="0"/>
    <x v="0"/>
    <m/>
    <m/>
    <s v="USA - Labs - OH - Finance"/>
    <m/>
    <m/>
    <m/>
    <m/>
    <s v="Acrobat Pro (VIPMP - 99C0A3088A102BD9CB4A)"/>
    <m/>
    <m/>
    <x v="42"/>
    <x v="42"/>
    <n v="14.333333333333334"/>
    <n v="0"/>
    <n v="0"/>
    <n v="14.333333333333334"/>
    <n v="1"/>
  </r>
  <r>
    <s v="Federated ID"/>
    <s v="vigrossman@montrose-env.com"/>
    <s v="montrose-env.com"/>
    <s v="vigrossman@montrose-env.com"/>
    <s v="Viktoria"/>
    <s v="Grossman"/>
    <s v="US"/>
    <s v="DA761DC76477A4980A495E3E@038d2aa263c9deeb495fea.e"/>
    <x v="0"/>
    <x v="0"/>
    <x v="0"/>
    <m/>
    <m/>
    <s v="USA - CTEH - Disaster Recovery &amp; Innovative Services - Operations,USA - Advisory Services - Ecosystem Economics - Operations"/>
    <m/>
    <m/>
    <m/>
    <m/>
    <m/>
    <m/>
    <m/>
    <x v="0"/>
    <x v="0"/>
    <n v="0"/>
    <n v="0"/>
    <n v="0"/>
    <n v="0"/>
    <m/>
  </r>
  <r>
    <s v="Federated ID"/>
    <s v="zanyhus@montrose-env.com"/>
    <s v="montrose-env.com"/>
    <s v="zanyhus@montrose-env.com"/>
    <s v="Zara"/>
    <s v="Nyhus"/>
    <s v="US"/>
    <s v="2ACC1EE0647A15610A495F90@038d2aa263c9deeb495fea.e"/>
    <x v="1"/>
    <x v="0"/>
    <x v="0"/>
    <m/>
    <m/>
    <s v="USA - Real Time Air - OH - Marketing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gisantiago@montrose-env.com"/>
    <s v="montrose-env.com"/>
    <s v="gisantiago@montrose-env.com"/>
    <s v="Giovanni"/>
    <s v="Santiago"/>
    <s v="US"/>
    <s v="9F331ED5647DF2120A495C7A@038d2aa263c9deeb495fea.e"/>
    <x v="0"/>
    <x v="0"/>
    <x v="0"/>
    <m/>
    <m/>
    <s v="USA - Corp - Legal"/>
    <m/>
    <m/>
    <m/>
    <m/>
    <m/>
    <m/>
    <m/>
    <x v="0"/>
    <x v="0"/>
    <n v="0"/>
    <n v="0"/>
    <n v="0"/>
    <n v="0"/>
    <m/>
  </r>
  <r>
    <s v="Federated ID"/>
    <s v="quynhgiao.le@enthalpy.com"/>
    <s v="enthalpy.com"/>
    <s v="quynhgiao.le@enthalpy.com"/>
    <s v="Quynhgiao"/>
    <s v="Le"/>
    <s v="US"/>
    <s v="B7D71ED9647E549A0A495EF3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tmorrison@montrose-env.com"/>
    <s v="enthalpy.com"/>
    <s v="teresa.morrison@enthalpy.com"/>
    <s v="Teresa"/>
    <s v="Morrison"/>
    <s v="US"/>
    <s v="CD731EE5647F32570A495FBE@038d2aa263c9deeb495fea.e"/>
    <x v="1"/>
    <x v="0"/>
    <x v="0"/>
    <m/>
    <m/>
    <s v="USA - Labs - OH - G&amp;A"/>
    <m/>
    <m/>
    <m/>
    <m/>
    <s v="Acrobat Pro (VIPMP - 99C0A3088A102BD9CB4A)"/>
    <m/>
    <m/>
    <x v="43"/>
    <x v="43"/>
    <n v="14.333333333333334"/>
    <n v="0"/>
    <n v="0"/>
    <n v="14.333333333333334"/>
    <n v="1"/>
  </r>
  <r>
    <s v="Federated ID"/>
    <s v="laroquemore@montrose-env.com"/>
    <s v="montrose-env.com"/>
    <s v="laroquemore@montrose-env.com"/>
    <s v="Lauren"/>
    <s v="Roquemore"/>
    <s v="US"/>
    <s v="DE2B1F01647F70D70A495E3F@038d2aa263c9deeb495fea.e"/>
    <x v="2"/>
    <x v="0"/>
    <x v="0"/>
    <m/>
    <m/>
    <s v="USA - Environmental Consulting OH - Marketing"/>
    <m/>
    <m/>
    <m/>
    <m/>
    <s v="Acrobat Standard DC (VIPMP - 99C0A3088A102BD9CB4A)"/>
    <m/>
    <m/>
    <x v="44"/>
    <x v="44"/>
    <n v="8.6983333333333324"/>
    <n v="0"/>
    <n v="0"/>
    <n v="8.6983333333333324"/>
    <n v="1"/>
  </r>
  <r>
    <s v="Federated ID"/>
    <s v="dfrank@montrose-env.com"/>
    <s v="montrose-env.com"/>
    <s v="dfrank@montrose-env.com"/>
    <s v="Diana"/>
    <s v="Frank"/>
    <s v="US"/>
    <s v="D89E1EDC647F88E40A495FCA@038d2aa263c9deeb495fea.e"/>
    <x v="1"/>
    <x v="0"/>
    <x v="0"/>
    <m/>
    <m/>
    <s v="USA - Corp - Legal"/>
    <m/>
    <m/>
    <m/>
    <m/>
    <s v="Acrobat Pro (VIPMP - 99C0A3088A102BD9CB4A)"/>
    <m/>
    <m/>
    <x v="45"/>
    <x v="45"/>
    <n v="14.333333333333334"/>
    <n v="0"/>
    <n v="0"/>
    <n v="14.333333333333334"/>
    <n v="1"/>
  </r>
  <r>
    <s v="Federated ID"/>
    <s v="shahadi@montrose-env.com"/>
    <s v="montrose-env.com"/>
    <s v="shahadi@montrose-env.com"/>
    <s v="Shilie"/>
    <s v="Ahadi"/>
    <s v="US"/>
    <s v="0AA61EBA648103300A495E9A@038d2aa263c9deeb495fea.e"/>
    <x v="1"/>
    <x v="0"/>
    <x v="0"/>
    <m/>
    <m/>
    <s v="USA - LDAR - OH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nategilliland@montrose-env.com"/>
    <s v="montrose-env.com"/>
    <s v="nategilliland@montrose-env.com"/>
    <s v="Nate"/>
    <s v="Gilliland"/>
    <s v="US"/>
    <s v="29C71EDA648247970A495CC9@038d2aa263c9deeb495fea.e"/>
    <x v="1"/>
    <x v="0"/>
    <x v="0"/>
    <m/>
    <m/>
    <s v="USA - Corp - Financial Systems"/>
    <m/>
    <m/>
    <m/>
    <m/>
    <s v="Acrobat Pro (VIPMP - 99C0A3088A102BD9CB4A)"/>
    <m/>
    <m/>
    <x v="46"/>
    <x v="46"/>
    <n v="14.333333333333334"/>
    <n v="0"/>
    <n v="0"/>
    <n v="14.333333333333334"/>
    <n v="1"/>
  </r>
  <r>
    <s v="Federated ID"/>
    <s v="joehrmannadmin@montrose-env.com"/>
    <s v="montrose-env.com"/>
    <s v="joehrmannadmin@montrose-env.com"/>
    <s v="Johann"/>
    <s v="Ehrmann Admin"/>
    <s v="US"/>
    <s v="40691DC7648340450A495E3E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dkliethermes@montrose-env.com"/>
    <s v="montrose-env.com"/>
    <s v="dkliethermes@montrose-env.com"/>
    <s v="Derek"/>
    <s v="Kliethermes"/>
    <s v="US"/>
    <s v="A2A31ED964874C490A495C8A@038d2aa263c9deeb495fea.e"/>
    <x v="1"/>
    <x v="0"/>
    <x v="0"/>
    <m/>
    <m/>
    <s v="USA - CTEH - Emergency Response - Operations"/>
    <m/>
    <m/>
    <m/>
    <m/>
    <s v="Acrobat Pro (VIPMP - 99C0A3088A102BD9CB4A)"/>
    <m/>
    <m/>
    <x v="47"/>
    <x v="47"/>
    <n v="14.333333333333334"/>
    <n v="0"/>
    <n v="0"/>
    <n v="14.333333333333334"/>
    <n v="1"/>
  </r>
  <r>
    <s v="Federated ID"/>
    <s v="bericson@montrose-env.com"/>
    <s v="montrose-env.com"/>
    <s v="bericson@montrose-env.com"/>
    <s v="Blake"/>
    <s v="Ericson"/>
    <s v="US"/>
    <s v="AD451ED564874C490A495E1A@038d2aa263c9deeb495fea.e"/>
    <x v="2"/>
    <x v="0"/>
    <x v="0"/>
    <m/>
    <m/>
    <s v="USA - Stack - OH - Sales"/>
    <m/>
    <m/>
    <m/>
    <m/>
    <s v="Acrobat Standard DC (VIPMP - 99C0A3088A102BD9CB4A)"/>
    <m/>
    <m/>
    <x v="48"/>
    <x v="48"/>
    <n v="8.6983333333333324"/>
    <n v="0"/>
    <n v="0"/>
    <n v="8.6983333333333324"/>
    <n v="1"/>
  </r>
  <r>
    <s v="Federated ID"/>
    <s v="dduncan@montrose-env.com"/>
    <s v="montrose-env.com"/>
    <s v="dduncan@montrose-env.com"/>
    <s v="Dan"/>
    <s v="Duncan"/>
    <s v="US"/>
    <s v="9CC01EDA64874C4A0A495CC9@038d2aa263c9deeb495fea.e"/>
    <x v="0"/>
    <x v="0"/>
    <x v="0"/>
    <m/>
    <m/>
    <s v="USA - Stack - Antioch - Operations"/>
    <m/>
    <m/>
    <m/>
    <m/>
    <m/>
    <m/>
    <m/>
    <x v="0"/>
    <x v="0"/>
    <n v="0"/>
    <n v="0"/>
    <n v="0"/>
    <n v="0"/>
    <m/>
  </r>
  <r>
    <s v="Federated ID"/>
    <s v="mikupper@montrose-env.com"/>
    <s v="montrose-env.com"/>
    <s v="mikupper@montrose-env.com"/>
    <s v="Michael"/>
    <s v="Kupper"/>
    <s v="US"/>
    <s v="9FA41EDE64874C4A0A495CA8@038d2aa263c9deeb495fea.e"/>
    <x v="1"/>
    <x v="0"/>
    <x v="0"/>
    <m/>
    <m/>
    <s v="USA - LDAR - OH - G&amp;A,USA - OGI - G&amp;A"/>
    <m/>
    <m/>
    <m/>
    <m/>
    <s v="Acrobat Pro (VIPMP - 99C0A3088A102BD9CB4A)"/>
    <m/>
    <m/>
    <x v="49"/>
    <x v="49"/>
    <n v="14.333333333333334"/>
    <n v="0"/>
    <n v="0"/>
    <n v="14.333333333333334"/>
    <n v="1"/>
  </r>
  <r>
    <s v="Federated ID"/>
    <s v="sacummins@montrose-env.com"/>
    <s v="montrose-env.com"/>
    <s v="sacummins@montrose-env.com"/>
    <s v="Sally"/>
    <s v="Cummins"/>
    <s v="US"/>
    <s v="9E3D1EB764874C4A0A495CC5@038d2aa263c9deeb495fea.e"/>
    <x v="0"/>
    <x v="0"/>
    <x v="0"/>
    <m/>
    <m/>
    <s v="USA - Stack - OH - Sales"/>
    <m/>
    <m/>
    <m/>
    <m/>
    <m/>
    <m/>
    <m/>
    <x v="0"/>
    <x v="0"/>
    <n v="0"/>
    <n v="0"/>
    <n v="0"/>
    <n v="0"/>
    <m/>
  </r>
  <r>
    <s v="Federated ID"/>
    <s v="cdmauk@montrose-env.com"/>
    <s v="montrose-env.com"/>
    <s v="cdmauk@montrose-env.com"/>
    <s v="Derrick"/>
    <s v="Mauk"/>
    <s v="US"/>
    <s v="A2871EBD64874C4A0A495F85@038d2aa263c9deeb495fea.e"/>
    <x v="2"/>
    <x v="2"/>
    <x v="0"/>
    <m/>
    <m/>
    <s v="USA - LDAR - OH - G&amp;A"/>
    <m/>
    <m/>
    <m/>
    <m/>
    <s v="Acrobat Standard DC (VIPMP - 99C0A3088A102BD9CB4A),Adobe Captivate (VIPMP - 99C0A3088A102BD9CB4A)"/>
    <m/>
    <m/>
    <x v="49"/>
    <x v="49"/>
    <n v="8.6983333333333324"/>
    <n v="27.895833333333332"/>
    <n v="0"/>
    <n v="36.594166666666666"/>
    <n v="1"/>
  </r>
  <r>
    <s v="Federated ID"/>
    <s v="srosso@montrose-env.com"/>
    <s v="montrose-env.com"/>
    <s v="srosso@montrose-env.com"/>
    <s v="Sara"/>
    <s v="Rosso"/>
    <s v="US"/>
    <s v="99A71EBE64874C4A0A495EA7@038d2aa263c9deeb495fea.e"/>
    <x v="1"/>
    <x v="0"/>
    <x v="0"/>
    <m/>
    <m/>
    <s v="USA - LDAR - California - G&amp;A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kcrosby@montrose-env.com"/>
    <s v="montrose-env.com"/>
    <s v="kcrosby@montrose-env.com"/>
    <s v="Kevin"/>
    <s v="Crosby"/>
    <s v="US"/>
    <s v="A67F1EAE64874C4B0A495C15@038d2aa263c9deeb495fea.e"/>
    <x v="1"/>
    <x v="0"/>
    <x v="0"/>
    <m/>
    <m/>
    <s v="USA - Stack - Antioch - G&amp;A"/>
    <m/>
    <m/>
    <m/>
    <m/>
    <s v="Acrobat Pro (VIPMP - 99C0A3088A102BD9CB4A)"/>
    <m/>
    <m/>
    <x v="51"/>
    <x v="51"/>
    <n v="14.333333333333334"/>
    <n v="0"/>
    <n v="0"/>
    <n v="14.333333333333334"/>
    <n v="1"/>
  </r>
  <r>
    <s v="Federated ID"/>
    <s v="mibrennan@montrose-env.com"/>
    <s v="montrose-env.com"/>
    <s v="mibrennan@montrose-env.com"/>
    <s v="Michelle"/>
    <s v="Brennan"/>
    <s v="US"/>
    <s v="9E9D1EE464874C4C0A495C41@038d2aa263c9deeb495fea.e"/>
    <x v="0"/>
    <x v="0"/>
    <x v="0"/>
    <m/>
    <m/>
    <s v="USA - Environmental Consulting - Orlando - Operations"/>
    <m/>
    <m/>
    <m/>
    <m/>
    <m/>
    <m/>
    <m/>
    <x v="0"/>
    <x v="0"/>
    <n v="0"/>
    <n v="0"/>
    <n v="0"/>
    <n v="0"/>
    <m/>
  </r>
  <r>
    <s v="Federated ID"/>
    <s v="michelle.hill@enthalpy.com"/>
    <s v="enthalpy.com"/>
    <s v="michelle.hill@enthalpy.com"/>
    <s v="Michelle"/>
    <s v="Hill"/>
    <s v="US"/>
    <s v="9FE61FDA648756B50A495FA9@038d2aa263c9deeb495fea.e"/>
    <x v="2"/>
    <x v="0"/>
    <x v="0"/>
    <m/>
    <m/>
    <s v="USA - Labs - OH - Sales"/>
    <m/>
    <m/>
    <m/>
    <m/>
    <s v="Acrobat Standard DC (VIPMP - 99C0A3088A102BD9CB4A)"/>
    <m/>
    <m/>
    <x v="23"/>
    <x v="23"/>
    <n v="8.6983333333333324"/>
    <n v="0"/>
    <n v="0"/>
    <n v="8.6983333333333324"/>
    <n v="1"/>
  </r>
  <r>
    <s v="Federated ID"/>
    <s v="pkauppi@montrose-env.com"/>
    <s v="montrose-env.com"/>
    <s v="pkauppi@montrose-env.com"/>
    <s v="Phillip"/>
    <s v="Kauppi"/>
    <s v="US"/>
    <s v="C7281EDC6488491A0A495EAE@038d2aa263c9deeb495fea.e"/>
    <x v="0"/>
    <x v="0"/>
    <x v="0"/>
    <m/>
    <m/>
    <s v="USA - Stack - OH - G&amp;A"/>
    <m/>
    <m/>
    <m/>
    <m/>
    <m/>
    <m/>
    <m/>
    <x v="0"/>
    <x v="0"/>
    <n v="0"/>
    <n v="0"/>
    <n v="0"/>
    <n v="0"/>
    <m/>
  </r>
  <r>
    <s v="Federated ID"/>
    <s v="kaitlinjudy@montrose-env.com"/>
    <s v="montrose-env.com"/>
    <s v="kaitlinjudy@montrose-env.com"/>
    <s v="Kaitlin"/>
    <s v="Judy"/>
    <s v="US"/>
    <s v="D2301EE26488B20B0A495C85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diroberts@montrose-env.com"/>
    <s v="montrose-env.com"/>
    <s v="diroberts@montrose-env.com"/>
    <s v="Diana"/>
    <s v="Roberts"/>
    <s v="US"/>
    <s v="28271E80648B459F0A495CF3@038d2aa263c9deeb495fea.e"/>
    <x v="1"/>
    <x v="0"/>
    <x v="0"/>
    <m/>
    <m/>
    <s v="USA - Environmental Consulting - Oakland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lebutler@montrose-env.com"/>
    <s v="montrose-env.com"/>
    <s v="lebutler@montrose-env.com"/>
    <s v="Levi"/>
    <s v="Butler"/>
    <s v="US"/>
    <s v="29CE1DD3648B6DEE0A495FA4@038d2aa263c9deeb495fea.e"/>
    <x v="1"/>
    <x v="0"/>
    <x v="0"/>
    <m/>
    <m/>
    <s v="USA - Stack - Chicago - Operations"/>
    <m/>
    <m/>
    <m/>
    <m/>
    <s v="Acrobat Pro (VIPMP - 99C0A3088A102BD9CB4A)"/>
    <m/>
    <m/>
    <x v="12"/>
    <x v="12"/>
    <n v="14.333333333333334"/>
    <n v="0"/>
    <n v="0"/>
    <n v="14.333333333333334"/>
    <n v="1"/>
  </r>
  <r>
    <s v="Federated ID"/>
    <s v="andrea.mena@enthalpy.com"/>
    <s v="enthalpy.com"/>
    <s v="andrea.mena@enthalpy.com"/>
    <s v="Andrea"/>
    <s v="Mena"/>
    <s v="US"/>
    <s v="C9551ED9649060360A495E5D@038d2aa263c9deeb495fea.e"/>
    <x v="1"/>
    <x v="0"/>
    <x v="0"/>
    <m/>
    <m/>
    <s v="USA - Env Lab - Deer Park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amawilliams@montrose-env.com"/>
    <s v="montrose-env.com"/>
    <s v="amawilliams@montrose-env.com"/>
    <s v="Amanda"/>
    <s v="Williams"/>
    <s v="US"/>
    <s v="D4851DE764906CB70A495C40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padonaldson@montrose-env.com"/>
    <s v="montrose-env.com"/>
    <s v="padonaldson@montrose-env.com"/>
    <s v="Patrick"/>
    <s v="Donaldson"/>
    <s v="US"/>
    <s v="F76B1DE76491E5840A495FF1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jperrini@montrose-env.com"/>
    <s v="montrose-env.com"/>
    <s v="jperrini@montrose-env.com"/>
    <s v="Jessica"/>
    <s v="Perrini"/>
    <s v="US"/>
    <s v="FBC01DE7649203D10A495FF1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53"/>
    <x v="53"/>
    <n v="14.333333333333334"/>
    <n v="0"/>
    <n v="0"/>
    <n v="14.333333333333334"/>
    <n v="1"/>
  </r>
  <r>
    <s v="Federated ID"/>
    <s v="cfielden@montrose-env.com"/>
    <s v="montrose-env.com"/>
    <s v="cfielden@montrose-env.com"/>
    <s v="Cheryl"/>
    <s v="Fielden"/>
    <s v="US"/>
    <s v="18D21DE96492DE660A495E4A@038d2aa263c9deeb495fea.e"/>
    <x v="1"/>
    <x v="0"/>
    <x v="0"/>
    <m/>
    <m/>
    <s v="USA - LDAR - California - G&amp;A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erboelkens@montrose-env.com"/>
    <s v="montrose-env.com"/>
    <s v="erboelkens@montrose-env.com"/>
    <s v="Erin"/>
    <s v="Boelkens"/>
    <s v="US"/>
    <s v="398C1DF164936BF20A495FC8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dmutuc@montrose-env.com"/>
    <s v="montrose-env.com"/>
    <s v="dmutuc@montrose-env.com"/>
    <s v="Denniese"/>
    <s v="Mutuc"/>
    <s v="US"/>
    <s v="3EFC1DE76493710B0A495C40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tristan.burnette@enthalpy.com"/>
    <s v="enthalpy.com"/>
    <s v="tristan.burnette@enthalpy.com"/>
    <s v="Tristan"/>
    <s v="Burnette"/>
    <s v="US"/>
    <s v="56A71E1464945EAD0A495E04@038d2aa263c9deeb495fea.e"/>
    <x v="1"/>
    <x v="0"/>
    <x v="0"/>
    <s v="System"/>
    <m/>
    <s v="USA - Labs - OH - IT"/>
    <m/>
    <m/>
    <m/>
    <m/>
    <s v="Acrobat Pro (VIPMP - 99C0A3088A102BD9CB4A)"/>
    <m/>
    <m/>
    <x v="55"/>
    <x v="55"/>
    <n v="14.333333333333334"/>
    <n v="0"/>
    <n v="0"/>
    <n v="14.333333333333334"/>
    <n v="1"/>
  </r>
  <r>
    <s v="Federated ID"/>
    <s v="brenda.hamilton@enthalpy.com"/>
    <s v="enthalpy.com"/>
    <s v="brenda.hamilton@enthalpy.com"/>
    <s v="Brenda"/>
    <s v="Hamilton"/>
    <s v="US"/>
    <s v="56571E4C64946CC70A495E75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laura.boivin@enthalpy.com"/>
    <s v="enthalpy.com"/>
    <s v="laura.boivin@enthalpy.com"/>
    <s v="Laura"/>
    <s v="Boivin"/>
    <s v="US"/>
    <s v="5ADE1DE964946CFF0A495C47@038d2aa263c9deeb495fea.e"/>
    <x v="1"/>
    <x v="0"/>
    <x v="0"/>
    <m/>
    <m/>
    <s v="USA - Env Lab - Wilmington - G&amp;A"/>
    <m/>
    <m/>
    <m/>
    <m/>
    <s v="Acrobat Pro (VIPMP - 99C0A3088A102BD9CB4A)"/>
    <m/>
    <m/>
    <x v="56"/>
    <x v="56"/>
    <n v="14.333333333333334"/>
    <n v="0"/>
    <n v="0"/>
    <n v="14.333333333333334"/>
    <n v="1"/>
  </r>
  <r>
    <s v="Federated ID"/>
    <s v="urleos@montrose-env.com"/>
    <s v="montrose-env.com"/>
    <s v="urleos@montrose-env.com"/>
    <s v="Urbano"/>
    <s v="Leos"/>
    <s v="US"/>
    <s v="626F1DD164948F8C0A495C1A@038d2aa263c9deeb495fea.e"/>
    <x v="0"/>
    <x v="0"/>
    <x v="0"/>
    <m/>
    <m/>
    <s v="USA - Real Time Air - Specialized Monitoring Systems - Operations"/>
    <m/>
    <m/>
    <m/>
    <m/>
    <m/>
    <m/>
    <m/>
    <x v="0"/>
    <x v="0"/>
    <n v="0"/>
    <n v="0"/>
    <n v="0"/>
    <n v="0"/>
    <m/>
  </r>
  <r>
    <s v="Federated ID"/>
    <s v="stargabright@montrose-env.com"/>
    <s v="montrose-env.com"/>
    <s v="stargabright@montrose-env.com"/>
    <s v="Steven"/>
    <s v="Argabright"/>
    <s v="US"/>
    <s v="5CD91DF264948F8D0A495E68@038d2aa263c9deeb495fea.e"/>
    <x v="0"/>
    <x v="0"/>
    <x v="0"/>
    <m/>
    <m/>
    <s v="USA - Real Time Air - Austin - Operations"/>
    <m/>
    <m/>
    <m/>
    <m/>
    <m/>
    <m/>
    <m/>
    <x v="0"/>
    <x v="0"/>
    <n v="0"/>
    <n v="0"/>
    <n v="0"/>
    <n v="0"/>
    <m/>
  </r>
  <r>
    <s v="Federated ID"/>
    <s v="frgreene@montrose-env.com"/>
    <s v="montrose-env.com"/>
    <s v="frgreene@montrose-env.com"/>
    <s v="Fran"/>
    <s v="Greene"/>
    <s v="US"/>
    <s v="5FAD1E196494AB400A495C42@038d2aa263c9deeb495fea.e"/>
    <x v="2"/>
    <x v="0"/>
    <x v="0"/>
    <m/>
    <m/>
    <s v="USA - Environmental Consulting - Valley Forge - Operations"/>
    <m/>
    <m/>
    <m/>
    <m/>
    <s v="Acrobat Standard DC (VIPMP - 99C0A3088A102BD9CB4A)"/>
    <m/>
    <m/>
    <x v="2"/>
    <x v="2"/>
    <n v="8.6983333333333324"/>
    <n v="0"/>
    <n v="0"/>
    <n v="8.6983333333333324"/>
    <n v="1"/>
  </r>
  <r>
    <s v="Federated ID"/>
    <s v="dagratson@montrose-env.com"/>
    <s v="montrose-env.com"/>
    <s v="dagratson@montrose-env.com"/>
    <s v="David"/>
    <s v="Gratson"/>
    <s v="US"/>
    <s v="44564AEC649C474F0A495FA1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breannasenate@montrose-env.com"/>
    <s v="montrose-env.com"/>
    <s v="breannasenate@montrose-env.com"/>
    <s v="Breanna"/>
    <s v="Senate"/>
    <s v="US"/>
    <s v="68E81DED649D911A0A495FFA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ashleytuggle@montrose-env.com"/>
    <s v="montrose-env.com"/>
    <s v="ashleytuggle@montrose-env.com"/>
    <s v="Ashley"/>
    <s v="Tuggle"/>
    <s v="US"/>
    <s v="72735AD9649DE8600A495EA9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chfeicht@montrose-env.com"/>
    <s v="montrose-env.com"/>
    <s v="chfeicht@montrose-env.com"/>
    <s v="Christian"/>
    <s v="Feicht"/>
    <s v="US"/>
    <s v="451F62C064A549220A495FA2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alambroseo@montrose-env.com"/>
    <s v="montrose-env.com"/>
    <s v="alambroseo@montrose-env.com"/>
    <s v="Alexa"/>
    <s v="Ambroseo"/>
    <s v="US"/>
    <s v="49C1491F64A5930D0A495FED@038d2aa263c9deeb495fea.e"/>
    <x v="0"/>
    <x v="0"/>
    <x v="0"/>
    <m/>
    <m/>
    <s v="USA - Advisory Services - Sustainability - Operations"/>
    <m/>
    <m/>
    <m/>
    <m/>
    <m/>
    <m/>
    <m/>
    <x v="0"/>
    <x v="0"/>
    <n v="0"/>
    <n v="0"/>
    <n v="0"/>
    <n v="0"/>
    <m/>
  </r>
  <r>
    <s v="Federated ID"/>
    <s v="michael.levine@enthalpy.com"/>
    <s v="enthalpy.com"/>
    <s v="michael.levine@enthalpy.com"/>
    <s v="Michael"/>
    <s v="Levine"/>
    <s v="US"/>
    <s v="5E0E0E4F64A5EA580A495ECA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anpedersen@montrose-env.com"/>
    <s v="montrose-env.com"/>
    <s v="anpedersen@montrose-env.com"/>
    <s v="Andrea"/>
    <s v="Pederson"/>
    <s v="US"/>
    <s v="583E1DF564A5EB3F0A495C69@038d2aa263c9deeb495fea.e"/>
    <x v="3"/>
    <x v="0"/>
    <x v="0"/>
    <m/>
    <m/>
    <s v="USA - Environmental Consulting - Sacramento - G&amp;A"/>
    <m/>
    <m/>
    <m/>
    <m/>
    <s v="All Apps plan (VIPMP - 99C0A3088A102BD9CB4A)"/>
    <m/>
    <m/>
    <x v="17"/>
    <x v="17"/>
    <n v="82.24"/>
    <n v="0"/>
    <n v="0"/>
    <n v="82.24"/>
    <n v="1"/>
  </r>
  <r>
    <s v="Federated ID"/>
    <s v="kanelson@montrose-env.com"/>
    <s v="montrose-env.com"/>
    <s v="kanelson@montrose-env.com"/>
    <s v="Katherine"/>
    <s v="Nelson"/>
    <s v="US"/>
    <s v="692074E864A6C3420A495E70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jwatson@montrose-env.com"/>
    <s v="montrose-env.com"/>
    <s v="jwatson@montrose-env.com"/>
    <s v="Justin"/>
    <s v="Watson"/>
    <s v="US"/>
    <s v="7217617164A6CE960A495C80@038d2aa263c9deeb495fea.e"/>
    <x v="1"/>
    <x v="0"/>
    <x v="0"/>
    <m/>
    <m/>
    <s v="USA - Stack - Southeast - G&amp;A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dekelley@montrose-env.com"/>
    <s v="montrose-env.com"/>
    <s v="dekelley@montrose-env.com"/>
    <s v="DeAnna"/>
    <s v="Kelley"/>
    <s v="US"/>
    <s v="73FC1B6C64A6E3150A495C34@038d2aa263c9deeb495fea.e"/>
    <x v="2"/>
    <x v="0"/>
    <x v="0"/>
    <m/>
    <m/>
    <s v="USA - Advisory Services - Chemistry - G&amp;A"/>
    <m/>
    <m/>
    <m/>
    <m/>
    <s v="Acrobat Standard DC (VIPMP - 99C0A3088A102BD9CB4A)"/>
    <m/>
    <m/>
    <x v="58"/>
    <x v="58"/>
    <n v="8.6983333333333324"/>
    <n v="0"/>
    <n v="0"/>
    <n v="8.6983333333333324"/>
    <n v="1"/>
  </r>
  <r>
    <s v="Federated ID"/>
    <s v="sacoppola@montrose-env.com"/>
    <s v="montrose-env.com"/>
    <s v="sacoppola@montrose-env.com"/>
    <s v="Sarah"/>
    <s v="Coppola"/>
    <s v="US"/>
    <s v="79261DEC64A6F5AD0A495C18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cuholshouser@montrose-env.com"/>
    <s v="montrose-env.com"/>
    <s v="cuholshouser@montrose-env.com"/>
    <s v="Curtis"/>
    <s v="Holshouser"/>
    <s v="US"/>
    <s v="A8E1646464A877240A495CF3@038d2aa263c9deeb495fea.e"/>
    <x v="0"/>
    <x v="0"/>
    <x v="0"/>
    <m/>
    <m/>
    <s v="USA - Environmental Consulting - Atlanta - Operations"/>
    <m/>
    <m/>
    <m/>
    <m/>
    <m/>
    <m/>
    <m/>
    <x v="0"/>
    <x v="0"/>
    <n v="0"/>
    <n v="0"/>
    <n v="0"/>
    <n v="0"/>
    <m/>
  </r>
  <r>
    <s v="Federated ID"/>
    <s v="pzimmermann@ect2.com"/>
    <s v="ect2.com"/>
    <s v="pzimmermann@ect2.com"/>
    <s v="Paul"/>
    <s v="Zimmerman"/>
    <s v="US"/>
    <s v="E27B679D64AC0CF60A495C86@038d2aa263c9deeb495fea.e"/>
    <x v="1"/>
    <x v="0"/>
    <x v="0"/>
    <m/>
    <m/>
    <s v="USA - ECT2 O&amp;M - Operations"/>
    <m/>
    <m/>
    <m/>
    <m/>
    <s v="Acrobat Pro (VIPMP - 99C0A3088A102BD9CB4A)"/>
    <m/>
    <m/>
    <x v="10"/>
    <x v="10"/>
    <n v="14.333333333333334"/>
    <n v="0"/>
    <n v="0"/>
    <n v="14.333333333333334"/>
    <n v="1"/>
  </r>
  <r>
    <s v="Federated ID"/>
    <s v="mamiller@montrose-env.com"/>
    <s v="montrose-env.com"/>
    <s v="mamiller@montrose-env.com"/>
    <s v="Matt"/>
    <s v="Miller"/>
    <s v="US"/>
    <s v="E4E44DB264AC150B0A495E12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ranarez@montrose-env.com"/>
    <s v="montrose-env.com"/>
    <s v="ranarez@montrose-env.com"/>
    <s v="Raul"/>
    <s v="Narez"/>
    <s v="US"/>
    <s v="E8DF783864AC24560A495CC3@038d2aa263c9deeb495fea.e"/>
    <x v="0"/>
    <x v="0"/>
    <x v="0"/>
    <m/>
    <m/>
    <s v="USA - LDAR - OH - G&amp;A"/>
    <m/>
    <m/>
    <m/>
    <m/>
    <m/>
    <m/>
    <m/>
    <x v="0"/>
    <x v="0"/>
    <n v="0"/>
    <n v="0"/>
    <n v="0"/>
    <n v="0"/>
    <m/>
  </r>
  <r>
    <s v="Federated ID"/>
    <s v="jowickeradmin@montrose-env.com"/>
    <s v="montrose-env.com"/>
    <s v="jowickeradmin@montrose-env.com"/>
    <s v="Jordan"/>
    <s v="Wicker Admin"/>
    <s v="US"/>
    <s v="F32C0C5764AC62180A495CB1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bryan.vining@enthalpy.com"/>
    <s v="enthalpy.com"/>
    <s v="bryan.vining@enthalpy.com"/>
    <s v="Bryan"/>
    <s v="Vining"/>
    <s v="US"/>
    <s v="0E456B7764AD49F80A495FC1@038d2aa263c9deeb495fea.e"/>
    <x v="1"/>
    <x v="0"/>
    <x v="0"/>
    <m/>
    <m/>
    <s v="USA - Env Lab - Wilmington - G&amp;A"/>
    <m/>
    <m/>
    <m/>
    <m/>
    <s v="Acrobat Pro (VIPMP - 99C0A3088A102BD9CB4A)"/>
    <m/>
    <m/>
    <x v="56"/>
    <x v="56"/>
    <n v="14.333333333333334"/>
    <n v="0"/>
    <n v="0"/>
    <n v="14.333333333333334"/>
    <n v="1"/>
  </r>
  <r>
    <s v="Federated ID"/>
    <s v="jcarling@montrose-env.com"/>
    <s v="montrose-env.com"/>
    <s v="jcarling@montrose-env.com"/>
    <s v="Jennifer"/>
    <s v="Carling"/>
    <s v="US"/>
    <s v="3C7C5EDE64AEC22A0A495FD0@038d2aa263c9deeb495fea.e"/>
    <x v="1"/>
    <x v="0"/>
    <x v="0"/>
    <m/>
    <m/>
    <s v="USA - Corp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breck@montrose-env.com"/>
    <s v="montrose-env.com"/>
    <s v="breck@montrose-env.com"/>
    <s v="Bryan"/>
    <s v="Eck"/>
    <s v="US"/>
    <s v="4A87251964AEFDFB0A495E58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sedyra@montrose-env.com"/>
    <s v="montrose-env.com"/>
    <s v="sedyra@montrose-env.com"/>
    <s v="Sean"/>
    <s v="Dyra"/>
    <s v="US"/>
    <s v="63D9491F64AFF0930A495FED@038d2aa263c9deeb495fea.e"/>
    <x v="1"/>
    <x v="0"/>
    <x v="0"/>
    <m/>
    <m/>
    <s v="USA - Stack - Chicago - G&amp;A"/>
    <m/>
    <m/>
    <m/>
    <m/>
    <s v="Acrobat Pro (VIPMP - 99C0A3088A102BD9CB4A)"/>
    <m/>
    <m/>
    <x v="12"/>
    <x v="12"/>
    <n v="14.333333333333334"/>
    <n v="0"/>
    <n v="0"/>
    <n v="14.333333333333334"/>
    <n v="1"/>
  </r>
  <r>
    <s v="Federated ID"/>
    <s v="jufinnigan@montrose-env.com"/>
    <s v="montrose-env.com"/>
    <s v="jufinnigan@montrose-env.com"/>
    <s v="Julia"/>
    <s v="Finnigan"/>
    <s v="US"/>
    <s v="682763AB64AFF2660A495E8D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ktstickel@montrose-env.com"/>
    <s v="montrose-env.com"/>
    <s v="ktstickel@montrose-env.com"/>
    <s v="K.T."/>
    <s v="Stickel"/>
    <s v="US"/>
    <s v="68C11DF564AFF3890A495C69@038d2aa263c9deeb495fea.e"/>
    <x v="0"/>
    <x v="0"/>
    <x v="0"/>
    <m/>
    <m/>
    <s v="USA - Corp - Finance"/>
    <m/>
    <m/>
    <m/>
    <m/>
    <m/>
    <m/>
    <m/>
    <x v="0"/>
    <x v="0"/>
    <n v="0"/>
    <n v="0"/>
    <n v="0"/>
    <n v="0"/>
    <m/>
  </r>
  <r>
    <s v="Federated ID"/>
    <s v="aljennings@montrose-env.com"/>
    <s v="montrose-env.com"/>
    <s v="aljennings@montrose-env.com"/>
    <s v="Alex"/>
    <s v="Jennings"/>
    <s v="US"/>
    <s v="63A9643564AFF9420A495E75@038d2aa263c9deeb495fea.e"/>
    <x v="0"/>
    <x v="0"/>
    <x v="0"/>
    <m/>
    <m/>
    <s v="USA - Environmental Consulting - Valley Forge - G&amp;A"/>
    <m/>
    <m/>
    <m/>
    <m/>
    <m/>
    <m/>
    <m/>
    <x v="0"/>
    <x v="0"/>
    <n v="0"/>
    <n v="0"/>
    <n v="0"/>
    <n v="0"/>
    <m/>
  </r>
  <r>
    <s v="Federated ID"/>
    <s v="swynkoop@ect2.com"/>
    <s v="ect2.com"/>
    <s v="swynkoop@ect2.com"/>
    <s v="Sandra"/>
    <s v="Wynkoop"/>
    <s v="US"/>
    <s v="717D082C64B049900A495FE1@038d2aa263c9deeb495fea.e"/>
    <x v="1"/>
    <x v="0"/>
    <x v="0"/>
    <m/>
    <m/>
    <s v="USA - RNG - OH - G&amp;A"/>
    <m/>
    <m/>
    <m/>
    <m/>
    <s v="Acrobat Pro (VIPMP - 99C0A3088A102BD9CB4A)"/>
    <m/>
    <m/>
    <x v="10"/>
    <x v="10"/>
    <n v="14.333333333333334"/>
    <n v="0"/>
    <n v="0"/>
    <n v="14.333333333333334"/>
    <n v="1"/>
  </r>
  <r>
    <s v="Federated ID"/>
    <s v="jpeterson@montrose-env.com"/>
    <s v="montrose-env.com"/>
    <s v="jpeterson@montrose-env.com"/>
    <s v="John"/>
    <s v="Peterson"/>
    <s v="US"/>
    <s v="7F151F3164B57C800A495E97@038d2aa263c9deeb495fea.e"/>
    <x v="2"/>
    <x v="0"/>
    <x v="0"/>
    <m/>
    <m/>
    <s v="USA - Stack - Santa Ana - G&amp;A"/>
    <m/>
    <m/>
    <m/>
    <m/>
    <s v="Acrobat Standard DC (VIPMP - 99C0A3088A102BD9CB4A)"/>
    <m/>
    <m/>
    <x v="59"/>
    <x v="59"/>
    <n v="8.6983333333333324"/>
    <n v="0"/>
    <n v="0"/>
    <n v="8.6983333333333324"/>
    <n v="1"/>
  </r>
  <r>
    <s v="Federated ID"/>
    <s v="rymount@montrose-env.com"/>
    <s v="montrose-env.com"/>
    <s v="rymount@montrose-env.com"/>
    <s v="Ryan"/>
    <s v="Mount"/>
    <s v="US"/>
    <s v="ADC81F3164B6E8330A495E97@038d2aa263c9deeb495fea.e"/>
    <x v="1"/>
    <x v="0"/>
    <x v="0"/>
    <m/>
    <m/>
    <s v="USA - Stack - Chicago - G&amp;A"/>
    <m/>
    <m/>
    <m/>
    <m/>
    <s v="Acrobat Pro (VIPMP - 99C0A3088A102BD9CB4A)"/>
    <m/>
    <m/>
    <x v="12"/>
    <x v="12"/>
    <n v="14.333333333333334"/>
    <n v="0"/>
    <n v="0"/>
    <n v="14.333333333333334"/>
    <n v="1"/>
  </r>
  <r>
    <s v="Federated ID"/>
    <s v="ercromer@montrose-env.com"/>
    <s v="montrose-env.com"/>
    <s v="ercromer@montrose-env.com"/>
    <s v="Ericka"/>
    <s v="Cromer"/>
    <s v="US"/>
    <s v="B3461F3064B70A300A495E64@038d2aa263c9deeb495fea.e"/>
    <x v="1"/>
    <x v="0"/>
    <x v="0"/>
    <m/>
    <m/>
    <s v="USA - Stack - Great Plains - Operations"/>
    <m/>
    <m/>
    <m/>
    <m/>
    <s v="Acrobat Pro (VIPMP - 99C0A3088A102BD9CB4A)"/>
    <m/>
    <m/>
    <x v="60"/>
    <x v="60"/>
    <n v="14.333333333333334"/>
    <n v="0"/>
    <n v="0"/>
    <n v="14.333333333333334"/>
    <n v="1"/>
  </r>
  <r>
    <s v="Federated ID"/>
    <s v="macongdon@montrose-env.com"/>
    <s v="montrose-env.com"/>
    <s v="macongdon@montrose-env.com"/>
    <s v="Marcus"/>
    <s v="Congdon"/>
    <s v="US"/>
    <s v="D30F1F3764B810230A495E32@038d2aa263c9deeb495fea.e"/>
    <x v="1"/>
    <x v="0"/>
    <x v="0"/>
    <s v="System"/>
    <m/>
    <s v="USA - Corp - IT"/>
    <m/>
    <m/>
    <m/>
    <m/>
    <s v="Acrobat Pro (VIPMP - 99C0A3088A102BD9CB4A)"/>
    <m/>
    <m/>
    <x v="55"/>
    <x v="55"/>
    <n v="14.333333333333334"/>
    <n v="0"/>
    <n v="0"/>
    <n v="14.333333333333334"/>
    <n v="1"/>
  </r>
  <r>
    <s v="Federated ID"/>
    <s v="nimusser@montrose-env.com"/>
    <s v="montrose-env.com"/>
    <s v="nimusser@montrose-env.com"/>
    <s v="Nikki"/>
    <s v="Musser"/>
    <s v="US"/>
    <s v="F1D71DE664B93B9D0A495FD8@038d2aa263c9deeb495fea.e"/>
    <x v="0"/>
    <x v="0"/>
    <x v="0"/>
    <m/>
    <m/>
    <s v="USA - Corp - HR"/>
    <m/>
    <m/>
    <m/>
    <m/>
    <m/>
    <m/>
    <m/>
    <x v="0"/>
    <x v="0"/>
    <n v="0"/>
    <n v="0"/>
    <n v="0"/>
    <n v="0"/>
    <m/>
  </r>
  <r>
    <s v="Federated ID"/>
    <s v="mnixon@montrose-env.com"/>
    <s v="montrose-env.com"/>
    <s v="mnixon@montrose-env.com"/>
    <s v="Michael"/>
    <s v="Nixon"/>
    <s v="US"/>
    <s v="74741DE164BEA23E0A495CF4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dzweig@avdmanagement.com"/>
    <s v="montrose-env.com"/>
    <s v="dzweig@montrose-env.com"/>
    <s v="David"/>
    <s v="Zweig"/>
    <s v="US"/>
    <s v="7B071F3664BEB5790A495EFC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acgondran@montrose-env.com"/>
    <s v="montrose-env.com"/>
    <s v="acgondran@montrose-env.com"/>
    <s v="Amy"/>
    <s v="Gondran"/>
    <s v="US"/>
    <s v="79161F5764BEB9F60A495C28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brclark@montrose-env.com"/>
    <s v="montrose-env.com"/>
    <s v="brclark@montrose-env.com"/>
    <s v="Bryana"/>
    <s v="Clark"/>
    <s v="US"/>
    <s v="80981F5E64BEB9F60A495E0D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ext-jamclaughlin@montrose-env.com"/>
    <s v="montrose-env.com"/>
    <s v="ext-jamclaughlin@montrose-env.com"/>
    <s v="James"/>
    <s v="McLaughlin"/>
    <s v="US"/>
    <s v="81341F6364BEB9F90A495C79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jestucker@montrose-env.com"/>
    <s v="montrose-env.com"/>
    <s v="jestucker@montrose-env.com"/>
    <s v="Jennifer"/>
    <s v="Stucker"/>
    <s v="US"/>
    <s v="80471DE764BEB9F90A495CDD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mashekell@montrose-env.com"/>
    <s v="montrose-env.com"/>
    <s v="mashekell@montrose-env.com"/>
    <s v="Margaret"/>
    <s v="Shekell"/>
    <s v="US"/>
    <s v="7B5F1F3764BEBA980A495C06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Adobe ID"/>
    <s v="abraun@envstd.com"/>
    <s v="envstd.com"/>
    <s v="abraun@envstd.com"/>
    <s v="Andrew"/>
    <s v="Braun"/>
    <s v="US"/>
    <s v="797B1E0364BEBC500A495FBA@038d2aa263c9deeb495fea.e"/>
    <x v="0"/>
    <x v="0"/>
    <x v="0"/>
    <m/>
    <m/>
    <s v="USA - Environmental Consulting - Charlottesville - Operations"/>
    <m/>
    <m/>
    <m/>
    <m/>
    <m/>
    <m/>
    <m/>
    <x v="0"/>
    <x v="0"/>
    <n v="0"/>
    <n v="0"/>
    <n v="0"/>
    <n v="0"/>
    <m/>
  </r>
  <r>
    <s v="Federated ID"/>
    <s v="rirodriguez@montrose-env.com"/>
    <s v="montrose-env.com"/>
    <s v="rirodriguez@montrose-env.com"/>
    <s v="Ricky"/>
    <s v="Rodriguez"/>
    <s v="US"/>
    <s v="87331F3A64BEDD040A495C64@038d2aa263c9deeb495fea.e"/>
    <x v="1"/>
    <x v="0"/>
    <x v="0"/>
    <m/>
    <m/>
    <s v="USA - Real Time Air - Albuquerque - Operations"/>
    <m/>
    <m/>
    <m/>
    <m/>
    <s v="Acrobat Pro (VIPMP - 99C0A3088A102BD9CB4A)"/>
    <m/>
    <m/>
    <x v="61"/>
    <x v="61"/>
    <n v="14.333333333333334"/>
    <n v="0"/>
    <n v="0"/>
    <n v="14.333333333333334"/>
    <n v="1"/>
  </r>
  <r>
    <s v="Federated ID"/>
    <s v="daniel.chavez@enthalpy.com"/>
    <s v="enthalpy.com"/>
    <s v="daniel.chavez@enthalpy.com"/>
    <s v="Daniel"/>
    <s v="Chavez"/>
    <s v="US"/>
    <s v="AFB01E6D64C020A10A495E46@038d2aa263c9deeb495fea.e"/>
    <x v="1"/>
    <x v="0"/>
    <x v="0"/>
    <m/>
    <m/>
    <s v="USA - Labs - OH - Sales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bbeck@montrose-env.com"/>
    <s v="montrose-env.com"/>
    <s v="bbeck@montrose-env.com"/>
    <s v="Britney"/>
    <s v="Beck"/>
    <s v="US"/>
    <s v="D1221DE764C12C1A0A495CDD@038d2aa263c9deeb495fea.e"/>
    <x v="1"/>
    <x v="0"/>
    <x v="0"/>
    <m/>
    <m/>
    <s v="USA - Stack - Gulf Coast - Operations"/>
    <m/>
    <m/>
    <m/>
    <m/>
    <s v="Acrobat Pro (VIPMP - 99C0A3088A102BD9CB4A)"/>
    <m/>
    <m/>
    <x v="41"/>
    <x v="41"/>
    <n v="14.333333333333334"/>
    <n v="0"/>
    <n v="0"/>
    <n v="14.333333333333334"/>
    <n v="1"/>
  </r>
  <r>
    <s v="Federated ID"/>
    <s v="deangle@montrose-env.com"/>
    <s v="montrose-env.com"/>
    <s v="deangle@montrose-env.com"/>
    <s v="Dexter"/>
    <s v="Angle"/>
    <s v="US"/>
    <s v="D3911F7B64C14BF00A495FBD@038d2aa263c9deeb495fea.e"/>
    <x v="1"/>
    <x v="0"/>
    <x v="0"/>
    <m/>
    <m/>
    <s v="USA - Corp - Internal Audit"/>
    <m/>
    <m/>
    <m/>
    <m/>
    <s v="Acrobat Pro (VIPMP - 99C0A3088A102BD9CB4A)"/>
    <m/>
    <m/>
    <x v="62"/>
    <x v="62"/>
    <n v="14.333333333333334"/>
    <n v="0"/>
    <n v="0"/>
    <n v="14.333333333333334"/>
    <n v="1"/>
  </r>
  <r>
    <s v="Federated ID"/>
    <s v="togregg@montrose-env.com"/>
    <s v="montrose-env.com"/>
    <s v="togregg@montrose-env.com"/>
    <s v="Todd"/>
    <s v="Gregg"/>
    <s v="US"/>
    <s v="F62F1F5764C272460A495C28@038d2aa263c9deeb495fea.e"/>
    <x v="0"/>
    <x v="0"/>
    <x v="0"/>
    <m/>
    <m/>
    <s v="USA - Stack - Southeast - Operations"/>
    <m/>
    <m/>
    <m/>
    <m/>
    <m/>
    <m/>
    <m/>
    <x v="0"/>
    <x v="0"/>
    <n v="0"/>
    <n v="0"/>
    <n v="0"/>
    <n v="0"/>
    <m/>
  </r>
  <r>
    <s v="Federated ID"/>
    <s v="jritchey@montrose-env.com"/>
    <s v="montrose-env.com"/>
    <s v="jritchey@montrose-env.com"/>
    <s v="Jim"/>
    <s v="Ritchey"/>
    <s v="US"/>
    <s v="FBC11F3164C28DA70A495E97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anbury@montrose-env.com"/>
    <s v="montrose-env.com"/>
    <s v="anbury@montrose-env.com"/>
    <s v="Andy"/>
    <s v="Bury"/>
    <s v="US"/>
    <s v="0D721F6364C2B4880A495C79@038d2aa263c9deeb495fea.e"/>
    <x v="1"/>
    <x v="0"/>
    <x v="0"/>
    <m/>
    <m/>
    <s v="USA - Environmental Consulting - Environmental Intelligence - G&amp;A"/>
    <m/>
    <m/>
    <m/>
    <m/>
    <s v="Acrobat Pro (VIPMP - 99C0A3088A102BD9CB4A)"/>
    <m/>
    <m/>
    <x v="63"/>
    <x v="63"/>
    <n v="14.333333333333334"/>
    <n v="0"/>
    <n v="0"/>
    <n v="14.333333333333334"/>
    <n v="1"/>
  </r>
  <r>
    <s v="Federated ID"/>
    <s v="kmjones@montrose-env.com"/>
    <s v="montrose-env.com"/>
    <s v="kmjones@montrose-env.com"/>
    <s v="Kelli"/>
    <s v="Jones"/>
    <s v="US"/>
    <s v="1B731E2864C3B6830A495F9C@038d2aa263c9deeb495fea.e"/>
    <x v="2"/>
    <x v="0"/>
    <x v="0"/>
    <m/>
    <m/>
    <s v="USA - Stack - OH - HR"/>
    <m/>
    <m/>
    <m/>
    <m/>
    <s v="Acrobat Standard DC (VIPMP - 99C0A3088A102BD9CB4A)"/>
    <m/>
    <m/>
    <x v="64"/>
    <x v="64"/>
    <n v="8.6983333333333324"/>
    <n v="0"/>
    <n v="0"/>
    <n v="8.6983333333333324"/>
    <n v="1"/>
  </r>
  <r>
    <s v="Federated ID"/>
    <s v="jemyers@montrose-env.com"/>
    <s v="montrose-env.com"/>
    <s v="jemyers@montrose-env.com"/>
    <s v="Jessica"/>
    <s v="Myers"/>
    <s v="US"/>
    <s v="1ABE1DFA64C3C4730A495ED2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lauren.parker@enthalpy.com"/>
    <s v="enthalpy.com"/>
    <s v="lauren.parker@enthalpy.com"/>
    <s v="Lauren"/>
    <s v="Parker"/>
    <s v="US"/>
    <s v="25E41F6864C40D150A495E7A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ryangerstner@montrose-env.com"/>
    <s v="montrose-env.com"/>
    <s v="ryangerstner@montrose-env.com"/>
    <s v="Ryan"/>
    <s v="Gerstner"/>
    <s v="US"/>
    <s v="2CFD1E2964C427AE0A495E86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jalotfi@montrose-env.com"/>
    <s v="montrose-env.com"/>
    <s v="jalotfi@montrose-env.com"/>
    <s v="Jared"/>
    <s v="Lotfi"/>
    <s v="US"/>
    <s v="8A121DF764C7AEE40A495E63@038d2aa263c9deeb495fea.e"/>
    <x v="0"/>
    <x v="0"/>
    <x v="0"/>
    <m/>
    <m/>
    <s v="USA - Environmental Consulting - Valley Forge - Operations"/>
    <m/>
    <m/>
    <m/>
    <m/>
    <m/>
    <m/>
    <m/>
    <x v="0"/>
    <x v="0"/>
    <n v="0"/>
    <n v="0"/>
    <n v="0"/>
    <n v="0"/>
    <m/>
  </r>
  <r>
    <s v="Federated ID"/>
    <s v="lycarbajal@montrose-env.com"/>
    <s v="montrose-env.com"/>
    <s v="lycarbajal@montrose-env.com"/>
    <s v="Lynnette"/>
    <s v="Carbajal"/>
    <s v="US"/>
    <s v="93A41E1064C7E2410A495C22@038d2aa263c9deeb495fea.e"/>
    <x v="2"/>
    <x v="0"/>
    <x v="0"/>
    <m/>
    <m/>
    <s v="USA - Environmental Consulting - Santa Ana (Rem) - Operations"/>
    <m/>
    <m/>
    <m/>
    <m/>
    <s v="Acrobat Standard DC (VIPMP - 99C0A3088A102BD9CB4A)"/>
    <m/>
    <m/>
    <x v="1"/>
    <x v="1"/>
    <n v="8.6983333333333324"/>
    <n v="0"/>
    <n v="0"/>
    <n v="8.6983333333333324"/>
    <n v="1"/>
  </r>
  <r>
    <s v="Federated ID"/>
    <s v="jordan.wicker@enthalpy.com"/>
    <s v="enthalpy.com"/>
    <s v="jordan.wicker@enthalpy.com"/>
    <s v="Jordan"/>
    <s v="Wicker"/>
    <s v="US"/>
    <s v="BAB71E2564C8FF8D0A495C04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viliu@montrose-env.com"/>
    <s v="montrose-env.com"/>
    <s v="viliu@montrose-env.com"/>
    <s v="Vincent"/>
    <s v="Liu"/>
    <s v="US"/>
    <s v="B7DF1DFE64C9046B0A495E77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nhendricks@montrose-env.com"/>
    <s v="montrose-env.com"/>
    <s v="nhendricks@montrose-env.com"/>
    <s v="Neal"/>
    <s v="Hendricks"/>
    <s v="US"/>
    <s v="BE0B1F1A64C90BAE0A495CE9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lstewart@montrose-env.com"/>
    <s v="montrose-env.com"/>
    <s v="lstewart@montrose-env.com"/>
    <s v="Luz"/>
    <s v="Stewart"/>
    <s v="US"/>
    <s v="BBF21E2564C917710A495FEF@038d2aa263c9deeb495fea.e"/>
    <x v="2"/>
    <x v="0"/>
    <x v="0"/>
    <m/>
    <m/>
    <s v="USA - Corp - Shared Services"/>
    <m/>
    <m/>
    <m/>
    <m/>
    <s v="Acrobat Standard DC (VIPMP - 99C0A3088A102BD9CB4A)"/>
    <m/>
    <m/>
    <x v="65"/>
    <x v="65"/>
    <n v="8.6983333333333324"/>
    <n v="0"/>
    <n v="0"/>
    <n v="8.6983333333333324"/>
    <n v="1"/>
  </r>
  <r>
    <s v="Federated ID"/>
    <s v="malcolm.jeffries@enthalpy.com"/>
    <s v="enthalpy.com"/>
    <s v="malcolm.jeffries@enthalpy.com"/>
    <s v="Malcolm"/>
    <s v="Jeffries"/>
    <s v="US"/>
    <s v="BFA51E4C64C93A8F0A495EDD@038d2aa263c9deeb495fea.e"/>
    <x v="0"/>
    <x v="0"/>
    <x v="0"/>
    <m/>
    <m/>
    <s v="USA - Env Lab - Wilmington - Operations"/>
    <m/>
    <m/>
    <m/>
    <m/>
    <m/>
    <m/>
    <m/>
    <x v="0"/>
    <x v="0"/>
    <n v="0"/>
    <n v="0"/>
    <n v="0"/>
    <n v="0"/>
    <m/>
  </r>
  <r>
    <s v="Federated ID"/>
    <s v="AnVorick@montrose-env.com"/>
    <s v="montrose-env.com"/>
    <s v="anvorick@montrose-env.com"/>
    <s v="Ana"/>
    <s v="Vorick"/>
    <s v="US"/>
    <s v="BC7D1E4D64C940C90A495FA7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kaosagie@montrose-env.com"/>
    <s v="montrose-env.com"/>
    <s v="kaosagie@montrose-env.com"/>
    <s v="Kathlyn"/>
    <s v="Osagie"/>
    <s v="US"/>
    <s v="F66C1F1D64CA82FB0A495C5F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adlucas@montrose-env.com"/>
    <s v="montrose-env.com"/>
    <s v="adlucas@montrose-env.com"/>
    <s v="Adam"/>
    <s v="Lucas"/>
    <s v="US"/>
    <s v="1AE91E2064CBA66F0A495FCA@038d2aa263c9deeb495fea.e"/>
    <x v="0"/>
    <x v="0"/>
    <x v="0"/>
    <m/>
    <m/>
    <s v="USA - Env Lab - Wilmington - Operations"/>
    <m/>
    <m/>
    <m/>
    <m/>
    <m/>
    <m/>
    <m/>
    <x v="0"/>
    <x v="0"/>
    <n v="0"/>
    <n v="0"/>
    <n v="0"/>
    <n v="0"/>
    <m/>
  </r>
  <r>
    <s v="Federated ID"/>
    <s v="Lacotton@montrose-env.com"/>
    <s v="montrose-env.com"/>
    <s v="lacotton@montrose-env.com"/>
    <s v="Lawrence"/>
    <s v="Cotton"/>
    <s v="US"/>
    <s v="AE831E2564D110860A495E42@038d2aa263c9deeb495fea.e"/>
    <x v="0"/>
    <x v="0"/>
    <x v="0"/>
    <m/>
    <m/>
    <s v="USA - Environmental Consulting - Nashville - Operations"/>
    <m/>
    <m/>
    <m/>
    <m/>
    <m/>
    <m/>
    <m/>
    <x v="0"/>
    <x v="0"/>
    <n v="0"/>
    <n v="0"/>
    <n v="0"/>
    <n v="0"/>
    <m/>
  </r>
  <r>
    <s v="Federated ID"/>
    <s v="sakaiser@montrose-env.com"/>
    <s v="montrose-env.com"/>
    <s v="sakaiser@montrose-env.com"/>
    <s v="Sarah"/>
    <s v="Kaiser"/>
    <s v="US"/>
    <s v="B5841E0464D132460A495FA3@038d2aa263c9deeb495fea.e"/>
    <x v="4"/>
    <x v="0"/>
    <x v="0"/>
    <m/>
    <m/>
    <s v="USA - CTEH OH - HR"/>
    <m/>
    <m/>
    <m/>
    <m/>
    <s v="InDesign (VIPMP - 99C0A3088A102BD9CB4A)"/>
    <m/>
    <m/>
    <x v="66"/>
    <x v="66"/>
    <n v="35.979166666666664"/>
    <n v="0"/>
    <n v="0"/>
    <n v="35.979166666666664"/>
    <n v="1"/>
  </r>
  <r>
    <s v="Federated ID"/>
    <s v="vimacedonio@montrose-env.com"/>
    <s v="montrose-env.com"/>
    <s v="vimacedonio@montrose-env.com"/>
    <s v="Victor"/>
    <s v="Macedonio"/>
    <s v="US"/>
    <s v="E70D1DF764D26B860A495ED5@038d2aa263c9deeb495fea.e"/>
    <x v="2"/>
    <x v="0"/>
    <x v="0"/>
    <m/>
    <m/>
    <s v="USA - Stack - Santa Ana - Operations"/>
    <m/>
    <m/>
    <m/>
    <m/>
    <s v="Acrobat Standard DC (VIPMP - 99C0A3088A102BD9CB4A)"/>
    <m/>
    <m/>
    <x v="21"/>
    <x v="21"/>
    <n v="8.6983333333333324"/>
    <n v="0"/>
    <n v="0"/>
    <n v="8.6983333333333324"/>
    <n v="1"/>
  </r>
  <r>
    <s v="Federated ID"/>
    <s v="whuang@montrose-env.com"/>
    <s v="montrose-env.com"/>
    <s v="whuang@montrose-env.com"/>
    <s v="Wendy"/>
    <s v="Huang"/>
    <s v="US"/>
    <s v="EABD1E2F64D2742E0A495C19@038d2aa263c9deeb495fea.e"/>
    <x v="1"/>
    <x v="0"/>
    <x v="0"/>
    <m/>
    <m/>
    <s v="USA - Corp - Legal"/>
    <m/>
    <m/>
    <m/>
    <m/>
    <s v="Acrobat Pro (VIPMP - 99C0A3088A102BD9CB4A)"/>
    <m/>
    <m/>
    <x v="45"/>
    <x v="45"/>
    <n v="14.333333333333334"/>
    <n v="0"/>
    <n v="0"/>
    <n v="14.333333333333334"/>
    <n v="1"/>
  </r>
  <r>
    <s v="Federated ID"/>
    <s v="maengel@montrose-env.com"/>
    <s v="montrose-env.com"/>
    <s v="maengel@montrose-env.com"/>
    <s v="Matthew"/>
    <s v="Engel"/>
    <s v="US"/>
    <s v="F1081E0464D2917C0A495FCD@038d2aa263c9deeb495fea.e"/>
    <x v="0"/>
    <x v="0"/>
    <x v="0"/>
    <m/>
    <m/>
    <s v="USA - Environmental Consulting - Santa Ana (Rem) - Operations"/>
    <m/>
    <m/>
    <m/>
    <m/>
    <m/>
    <m/>
    <m/>
    <x v="0"/>
    <x v="0"/>
    <n v="0"/>
    <n v="0"/>
    <n v="0"/>
    <n v="0"/>
    <m/>
  </r>
  <r>
    <s v="Adobe ID"/>
    <s v="jklewis@ect2.se"/>
    <s v="ect2.se"/>
    <s v="jklewis@ect2.se"/>
    <s v="Jeffrey"/>
    <s v="Lewis"/>
    <s v="SE"/>
    <s v="1BE11F2D64D3C4170A495F8D@038d2aa263c9deeb495fea.e"/>
    <x v="0"/>
    <x v="0"/>
    <x v="0"/>
    <m/>
    <m/>
    <s v="EUR - ECT2 - Operations"/>
    <m/>
    <m/>
    <m/>
    <m/>
    <m/>
    <m/>
    <m/>
    <x v="0"/>
    <x v="0"/>
    <n v="0"/>
    <n v="0"/>
    <n v="0"/>
    <n v="0"/>
    <m/>
  </r>
  <r>
    <s v="Federated ID"/>
    <s v="cdeaner@montrose-env.com"/>
    <s v="montrose-env.com"/>
    <s v="cdeaner@montrose-env.com"/>
    <s v="Claire"/>
    <s v="Deaner"/>
    <s v="US"/>
    <s v="1D7A1E0064D3DE570A495CFA@038d2aa263c9deeb495fea.e"/>
    <x v="2"/>
    <x v="0"/>
    <x v="0"/>
    <m/>
    <m/>
    <s v="USA - Stack - OH - G&amp;A"/>
    <m/>
    <m/>
    <m/>
    <m/>
    <s v="Acrobat Standard DC (VIPMP - 99C0A3088A102BD9CB4A)"/>
    <m/>
    <m/>
    <x v="36"/>
    <x v="36"/>
    <n v="8.6983333333333324"/>
    <n v="0"/>
    <n v="0"/>
    <n v="8.6983333333333324"/>
    <n v="1"/>
  </r>
  <r>
    <s v="Federated ID"/>
    <s v="adbrooks@montrose-env.com"/>
    <s v="montrose-env.com"/>
    <s v="adbrooks@montrose-env.com"/>
    <s v="Adrienne"/>
    <s v="Brooks"/>
    <s v="US"/>
    <s v="2BE71E2464D4067A0A495CF6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ladelaney@montrose-env.com"/>
    <s v="montrose-env.com"/>
    <s v="ladelaney@montrose-env.com"/>
    <s v="Laken"/>
    <s v="Delaney"/>
    <s v="US"/>
    <s v="27571E9564D52A310A495FEC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ddaniels@montrose-env.com"/>
    <s v="enthalpy.com"/>
    <s v="denese.daniels@enthalpy.com"/>
    <s v="Denese"/>
    <s v="Daniels"/>
    <s v="US"/>
    <s v="2C6E1EDD64D533490A495EEA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rugreenwood@montrose-env.com"/>
    <s v="montrose-env.com"/>
    <s v="rugreenwood@montrose-env.com"/>
    <s v="Ruthy"/>
    <s v="Greenwood"/>
    <s v="US"/>
    <s v="C8EC1E9564DA7BF20A495FEC@038d2aa263c9deeb495fea.e"/>
    <x v="1"/>
    <x v="0"/>
    <x v="0"/>
    <m/>
    <m/>
    <s v="USA - Advisory Services - Transactional Diligence - Operations"/>
    <m/>
    <m/>
    <m/>
    <m/>
    <s v="Acrobat Pro (VIPMP - 99C0A3088A102BD9CB4A)"/>
    <m/>
    <m/>
    <x v="66"/>
    <x v="66"/>
    <n v="14.333333333333334"/>
    <n v="0"/>
    <n v="0"/>
    <n v="14.333333333333334"/>
    <n v="1"/>
  </r>
  <r>
    <s v="Federated ID"/>
    <s v="yevilovchik@montrose-env.com"/>
    <s v="montrose-env.com"/>
    <s v="yevilovchik@montrose-env.com"/>
    <s v="Yelena"/>
    <s v="Vilovchik"/>
    <s v="US"/>
    <s v="CE211E7764DA88C60A495C98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jose.castillo@enthalpy.com"/>
    <s v="enthalpy.com"/>
    <s v="jose.castillo@enthalpy.com"/>
    <s v="Jose"/>
    <s v="Aparicio-Castillo"/>
    <s v="US"/>
    <s v="D5491EAB64DAA9380A495FB7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apedicone@montrose-env.com"/>
    <s v="montrose-env.com"/>
    <s v="apedicone@montrose-env.com"/>
    <s v="Annmarie"/>
    <s v="Pedicone"/>
    <s v="US"/>
    <s v="F9601E9D64DB966A0A495C0B@038d2aa263c9deeb495fea.e"/>
    <x v="1"/>
    <x v="0"/>
    <x v="0"/>
    <m/>
    <m/>
    <s v="USA - Environmental Consulting OH - Finance"/>
    <m/>
    <m/>
    <m/>
    <m/>
    <s v="Acrobat Pro (VIPMP - 99C0A3088A102BD9CB4A)"/>
    <m/>
    <m/>
    <x v="16"/>
    <x v="16"/>
    <n v="14.333333333333334"/>
    <n v="0"/>
    <n v="0"/>
    <n v="14.333333333333334"/>
    <n v="1"/>
  </r>
  <r>
    <s v="Federated ID"/>
    <s v="vigraham@montrose-env.com"/>
    <s v="montrose-env.com"/>
    <s v="vigraham@montrose-env.com"/>
    <s v="Viktor"/>
    <s v="Graham"/>
    <s v="US"/>
    <s v="33851E8864DCE76E0A495CCE@038d2aa263c9deeb495fea.e"/>
    <x v="0"/>
    <x v="0"/>
    <x v="0"/>
    <m/>
    <m/>
    <s v="USA - Corp - Marketing"/>
    <m/>
    <m/>
    <m/>
    <m/>
    <m/>
    <m/>
    <m/>
    <x v="0"/>
    <x v="0"/>
    <n v="0"/>
    <n v="0"/>
    <n v="0"/>
    <n v="0"/>
    <m/>
  </r>
  <r>
    <s v="Federated ID"/>
    <s v="amartinez@montrose-env.com"/>
    <s v="montrose-env.com"/>
    <s v="amartinez@montrose-env.com"/>
    <s v="Amadeo"/>
    <s v="Martinez"/>
    <s v="US"/>
    <s v="34401EB164DCE8660A495CEA@038d2aa263c9deeb495fea.e"/>
    <x v="0"/>
    <x v="0"/>
    <x v="0"/>
    <m/>
    <m/>
    <s v="USA - Real Time Air - Albuquerque - Operations"/>
    <m/>
    <m/>
    <m/>
    <m/>
    <m/>
    <m/>
    <m/>
    <x v="0"/>
    <x v="0"/>
    <n v="0"/>
    <n v="0"/>
    <n v="0"/>
    <n v="0"/>
    <m/>
  </r>
  <r>
    <s v="Federated ID"/>
    <s v="JamNavarrete@montrose-env.com"/>
    <s v="montrose-env.com"/>
    <s v="jamnavarrete@montrose-env.com"/>
    <s v="James"/>
    <s v="Navarrete"/>
    <s v="US"/>
    <s v="42A41E9664DD23850A495CCB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mischimkus@montrose-env.com"/>
    <s v="montrose-env.com"/>
    <s v="mischimkus@montrose-env.com"/>
    <s v="Michael"/>
    <s v="Schimkus"/>
    <s v="US"/>
    <s v="55351E8064DD5C280A495EEB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antasoglou@montrose-env.com"/>
    <s v="montrose-env.com"/>
    <s v="antasoglou@montrose-env.com"/>
    <s v="Antonios"/>
    <s v="Tasoglou"/>
    <s v="US"/>
    <s v="0105378164DE83CF0A495E68@038d2aa263c9deeb495fea.e"/>
    <x v="1"/>
    <x v="0"/>
    <x v="0"/>
    <m/>
    <m/>
    <s v="USA - Real Time Air - Denver - Operations"/>
    <m/>
    <m/>
    <m/>
    <m/>
    <s v="Acrobat Pro (VIPMP - 99C0A3088A102BD9CB4A)"/>
    <m/>
    <m/>
    <x v="67"/>
    <x v="67"/>
    <n v="14.333333333333334"/>
    <n v="0"/>
    <n v="0"/>
    <n v="14.333333333333334"/>
    <n v="1"/>
  </r>
  <r>
    <s v="Federated ID"/>
    <s v="arbirk@montrose-env.com"/>
    <s v="montrose-env.com"/>
    <s v="arbirk@montrose-env.com"/>
    <s v="Aaron"/>
    <s v="Birk"/>
    <s v="US"/>
    <s v="37C406D064DFAD570A495FDF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tpetryszyn@montrose-env.com"/>
    <s v="montrose-env.com"/>
    <s v="tpetryszyn@montrose-env.com"/>
    <s v="Ted"/>
    <s v="Petryszyn"/>
    <s v="US"/>
    <s v="36E508C664DFADD70A495FF7@038d2aa263c9deeb495fea.e"/>
    <x v="0"/>
    <x v="0"/>
    <x v="0"/>
    <m/>
    <m/>
    <s v="USA - Stack - Cleveland - Operations"/>
    <m/>
    <m/>
    <m/>
    <m/>
    <m/>
    <m/>
    <m/>
    <x v="0"/>
    <x v="0"/>
    <n v="0"/>
    <n v="0"/>
    <n v="0"/>
    <n v="0"/>
    <m/>
  </r>
  <r>
    <s v="Federated ID"/>
    <s v="kschafer@montrose-env.com"/>
    <s v="montrose-env.com"/>
    <s v="kschafer@montrose-env.com"/>
    <s v="Kristina"/>
    <s v="Schafer"/>
    <s v="US"/>
    <s v="439B2B3264DFECD80A495C35@038d2aa263c9deeb495fea.e"/>
    <x v="2"/>
    <x v="0"/>
    <x v="0"/>
    <m/>
    <m/>
    <s v="USA - Stack - Seattle - G&amp;A"/>
    <m/>
    <m/>
    <m/>
    <m/>
    <s v="Acrobat Standard DC (VIPMP - 99C0A3088A102BD9CB4A)"/>
    <m/>
    <m/>
    <x v="21"/>
    <x v="21"/>
    <n v="8.6983333333333324"/>
    <n v="0"/>
    <n v="0"/>
    <n v="8.6983333333333324"/>
    <n v="1"/>
  </r>
  <r>
    <s v="Federated ID"/>
    <s v="symaddux@montrose-env.com"/>
    <s v="montrose-env.com"/>
    <s v="symaddux@montrose-env.com"/>
    <s v="Sydney"/>
    <s v="Maddux"/>
    <s v="US"/>
    <s v="9D212B3264E37A570A495C35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jigu@montrose-env.com"/>
    <s v="montrose-env.com"/>
    <s v="jigu@montrose-env.com"/>
    <s v="Jingyi"/>
    <s v="Gu"/>
    <s v="US"/>
    <s v="A52B2CFC64E390F60A495C34@038d2aa263c9deeb495fea.e"/>
    <x v="1"/>
    <x v="0"/>
    <x v="0"/>
    <m/>
    <m/>
    <s v="USA - CTEH - Disaster Recovery &amp; Innovative Services - Operations"/>
    <m/>
    <m/>
    <m/>
    <m/>
    <s v="Acrobat Pro (VIPMP - 99C0A3088A102BD9CB4A)"/>
    <m/>
    <m/>
    <x v="68"/>
    <x v="68"/>
    <n v="14.333333333333334"/>
    <n v="0"/>
    <n v="0"/>
    <n v="14.333333333333334"/>
    <n v="1"/>
  </r>
  <r>
    <s v="Federated ID"/>
    <s v="wwgesner@montrose-env.com"/>
    <s v="montrose-env.com"/>
    <s v="wwgesner@montrose-env.com"/>
    <s v="William"/>
    <s v="Gesner"/>
    <s v="US"/>
    <s v="28CD43D064E65DD30A495FCA@038d2aa263c9deeb495fea.e"/>
    <x v="0"/>
    <x v="0"/>
    <x v="0"/>
    <m/>
    <m/>
    <s v="USA - Environmental Consulting OH - Finance"/>
    <m/>
    <m/>
    <m/>
    <m/>
    <m/>
    <m/>
    <m/>
    <x v="0"/>
    <x v="0"/>
    <n v="0"/>
    <n v="0"/>
    <n v="0"/>
    <n v="0"/>
    <m/>
  </r>
  <r>
    <s v="Federated ID"/>
    <s v="denjohnson@montrose-env.com"/>
    <s v="montrose-env.com"/>
    <s v="denjohnson@montrose-env.com"/>
    <s v="Denise"/>
    <s v="Johnson"/>
    <s v="US"/>
    <s v="1D921DAA64E757C40A495FBA@038d2aa263c9deeb495fea.e"/>
    <x v="0"/>
    <x v="0"/>
    <x v="0"/>
    <m/>
    <m/>
    <s v="USA - Stack - OH - Finance"/>
    <m/>
    <m/>
    <m/>
    <m/>
    <m/>
    <m/>
    <m/>
    <x v="0"/>
    <x v="0"/>
    <n v="0"/>
    <n v="0"/>
    <n v="0"/>
    <n v="0"/>
    <m/>
  </r>
  <r>
    <s v="Federated ID"/>
    <s v="grprowse@montrose-env.com"/>
    <s v="montrose-env.com"/>
    <s v="grprowse@montrose-env.com"/>
    <s v="Graham"/>
    <s v="Prowse"/>
    <s v="US"/>
    <s v="27E81E9364E776920A495CFE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bevanderloo@montrose-env.com"/>
    <s v="montrose-env.com"/>
    <s v="bevanderloo@montrose-env.com"/>
    <s v="Bethany"/>
    <s v="Vanderloo"/>
    <s v="US"/>
    <s v="28AF1E9064E776940A495C2B@038d2aa263c9deeb495fea.e"/>
    <x v="0"/>
    <x v="0"/>
    <x v="0"/>
    <m/>
    <m/>
    <s v="USA - Environmental Consulting - Wilmington DE - Operations"/>
    <m/>
    <m/>
    <m/>
    <m/>
    <m/>
    <m/>
    <m/>
    <x v="0"/>
    <x v="0"/>
    <n v="0"/>
    <n v="0"/>
    <n v="0"/>
    <n v="0"/>
    <m/>
  </r>
  <r>
    <s v="Federated ID"/>
    <s v="scbrown@montrose-env.com"/>
    <s v="montrose-env.com"/>
    <s v="scbrown@montrose-env.com"/>
    <s v="Scott"/>
    <s v="Brown"/>
    <s v="US"/>
    <s v="2C611ED764E78FAA0A495C8E@038d2aa263c9deeb495fea.e"/>
    <x v="1"/>
    <x v="0"/>
    <x v="0"/>
    <m/>
    <m/>
    <s v="USA - Stack - Chicago - Operations"/>
    <m/>
    <m/>
    <m/>
    <m/>
    <s v="Acrobat Pro (VIPMP - 99C0A3088A102BD9CB4A)"/>
    <m/>
    <m/>
    <x v="5"/>
    <x v="5"/>
    <n v="14.333333333333334"/>
    <n v="0"/>
    <n v="0"/>
    <n v="14.333333333333334"/>
    <n v="1"/>
  </r>
  <r>
    <s v="Federated ID"/>
    <s v="jeclements@montrose-env.com"/>
    <s v="montrose-env.com"/>
    <s v="jeclements@montrose-env.com"/>
    <s v="Jennifer"/>
    <s v="Clements"/>
    <s v="US"/>
    <s v="2D841F9964E798B30A495C9C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zaboerchers@montrose-env.com"/>
    <s v="montrose-env.com"/>
    <s v="zaboerchers@montrose-env.com"/>
    <s v="Zachary"/>
    <s v="Boerchers"/>
    <s v="US"/>
    <s v="61E21DA364E8C1290A495FF0@038d2aa263c9deeb495fea.e"/>
    <x v="0"/>
    <x v="0"/>
    <x v="0"/>
    <m/>
    <m/>
    <s v="USA - Stack - Northeast - Operations"/>
    <m/>
    <m/>
    <m/>
    <m/>
    <m/>
    <m/>
    <m/>
    <x v="0"/>
    <x v="0"/>
    <n v="0"/>
    <n v="0"/>
    <n v="0"/>
    <n v="0"/>
    <m/>
  </r>
  <r>
    <s v="Federated ID"/>
    <s v="restanton@montrose-env.com"/>
    <s v="montrose-env.com"/>
    <s v="restanton@montrose-env.com"/>
    <s v="Rebecca"/>
    <s v="Stanton"/>
    <s v="US"/>
    <s v="5CA61EB664E8DB620A495E18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ercooper@montrose-env.com"/>
    <s v="montrose-env.com"/>
    <s v="ercooper@montrose-env.com"/>
    <s v="Eric"/>
    <s v="Cooper"/>
    <s v="US"/>
    <s v="643B1EDA64E8F1390A495E82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grant.wicker@enthalpy.com"/>
    <s v="enthalpy.com"/>
    <s v="grant.wicker@enthalpy.com"/>
    <s v="Grant"/>
    <s v="Wicker"/>
    <s v="US"/>
    <s v="E4211E8164ED15B10A495FD2@c67c263163d83b8d0a495c06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grwickeradmin@montrose-env.com"/>
    <s v="montrose-env.com"/>
    <s v="grwickeradmin@montrose-env.com"/>
    <s v="Grant"/>
    <s v="Wicker Admin"/>
    <s v="US"/>
    <s v="DF781DAD64ED165E0A495FC7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jobetz@montrose-env.com"/>
    <s v="montrose-env.com"/>
    <s v="jobetz@montrose-env.com"/>
    <s v="John"/>
    <s v="Betz"/>
    <s v="US"/>
    <s v="05C61DA364EE00490A495FF0@038d2aa263c9deeb495fea.e"/>
    <x v="1"/>
    <x v="0"/>
    <x v="0"/>
    <m/>
    <m/>
    <s v="USA - Environmental Consulting - Santa Ana (P&amp;C) - Operations"/>
    <m/>
    <m/>
    <m/>
    <m/>
    <s v="Acrobat Pro (VIPMP - 99C0A3088A102BD9CB4A)"/>
    <m/>
    <m/>
    <x v="25"/>
    <x v="25"/>
    <n v="14.333333333333334"/>
    <n v="0"/>
    <n v="0"/>
    <n v="14.333333333333334"/>
    <n v="1"/>
  </r>
  <r>
    <s v="Federated ID"/>
    <s v="jaoffermann@montrose-env.com"/>
    <s v="montrose-env.com"/>
    <s v="jaoffermann@montrose-env.com"/>
    <s v="Janis"/>
    <s v="Offermann"/>
    <s v="US"/>
    <s v="04921DA864EE09BD0A495EB0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aurandall@montrose-env.com"/>
    <s v="montrose-env.com"/>
    <s v="aurandall@montrose-env.com"/>
    <s v="Audrey"/>
    <s v="Randall"/>
    <s v="US"/>
    <s v="0C431FB664EE1DDC0A495E7C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jmpratt@montrose-env.com"/>
    <s v="montrose-env.com"/>
    <s v="jmpratt@montrose-env.com"/>
    <s v="John"/>
    <s v="Pratt"/>
    <s v="US"/>
    <s v="2EAB1DD664EF3E410A495C31@038d2aa263c9deeb495fea.e"/>
    <x v="1"/>
    <x v="0"/>
    <x v="0"/>
    <s v="System"/>
    <m/>
    <s v="USA - Corp - IT"/>
    <m/>
    <m/>
    <m/>
    <m/>
    <s v="Acrobat Pro (VIPMP - 99C0A3088A102BD9CB4A)"/>
    <m/>
    <m/>
    <x v="11"/>
    <x v="11"/>
    <n v="14.333333333333334"/>
    <n v="0"/>
    <n v="0"/>
    <n v="14.333333333333334"/>
    <n v="1"/>
  </r>
  <r>
    <s v="Federated ID"/>
    <s v="juvanharen@montrose-env.com"/>
    <s v="montrose-env.com"/>
    <s v="juvanharen@montrose-env.com"/>
    <s v="Jules"/>
    <s v="Van Haren"/>
    <s v="US"/>
    <s v="39A01DA364EF3EC60A495FF0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echetty@montrose-env.com"/>
    <s v="montrose-env.com"/>
    <s v="echetty@montrose-env.com"/>
    <s v="Esha"/>
    <s v="Chetty"/>
    <s v="US"/>
    <s v="4F8B1EB164EFB01D0A495C63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tounderwood@montrose-env.com"/>
    <s v="montrose-env.com"/>
    <s v="tounderwood@montrose-env.com"/>
    <s v="Tony"/>
    <s v="Underwood"/>
    <s v="US"/>
    <s v="76391EB164F0A2C70A495C63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alfraser@montrose-env.com"/>
    <s v="montrose-env.com"/>
    <s v="alfraser@montrose-env.com"/>
    <s v="Alexandria"/>
    <s v="Fraser"/>
    <s v="US"/>
    <s v="685A1FB764F76C420A495FF4@038d2aa263c9deeb495fea.e"/>
    <x v="1"/>
    <x v="3"/>
    <x v="0"/>
    <m/>
    <m/>
    <s v="USA - Environmental Consulting - Sacramento - Operations"/>
    <m/>
    <m/>
    <m/>
    <m/>
    <s v="Acrobat Pro (VIPMP - 99C0A3088A102BD9CB4A),Illustrator (VIPMP - 99C0A3088A102BD9CB4A)"/>
    <m/>
    <m/>
    <x v="34"/>
    <x v="34"/>
    <n v="14.333333333333334"/>
    <n v="36.357500000000002"/>
    <n v="0"/>
    <n v="50.690833333333337"/>
    <n v="1"/>
  </r>
  <r>
    <s v="Federated ID"/>
    <s v="tosiegmund-roberts@montrose-env.com"/>
    <s v="montrose-env.com"/>
    <s v="tosiegmund-roberts@montrose-env.com"/>
    <s v="Tori"/>
    <s v="Siegmund-Roberts"/>
    <s v="US"/>
    <s v="5FC31DB164F76F370A495EB3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beboling@montrose-env.com"/>
    <s v="montrose-env.com"/>
    <s v="beboling@montrose-env.com"/>
    <s v="Benjamin"/>
    <s v="Boling"/>
    <s v="US"/>
    <s v="6C9A1DD664F76F670A495C68@038d2aa263c9deeb495fea.e"/>
    <x v="2"/>
    <x v="0"/>
    <x v="0"/>
    <m/>
    <m/>
    <s v="USA - Corp - Finance"/>
    <m/>
    <m/>
    <m/>
    <m/>
    <s v="Acrobat Standard DC (VIPMP - 99C0A3088A102BD9CB4A)"/>
    <m/>
    <m/>
    <x v="70"/>
    <x v="70"/>
    <n v="8.6983333333333324"/>
    <n v="0"/>
    <n v="0"/>
    <n v="8.6983333333333324"/>
    <n v="1"/>
  </r>
  <r>
    <s v="Federated ID"/>
    <s v="hallen@montrose-env.com"/>
    <s v="enthalpy.com"/>
    <s v="hunter.allen@enthalpy.com"/>
    <s v="Hunter"/>
    <s v="Allen"/>
    <s v="US"/>
    <s v="AA801DB164F8E7AE0A495CC7@038d2aa263c9deeb495fea.e"/>
    <x v="1"/>
    <x v="0"/>
    <x v="0"/>
    <m/>
    <m/>
    <s v="USA - Env Lab - Wilmington - Operations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brfields@montrose-env.com"/>
    <s v="montrose-env.com"/>
    <s v="brfields@montrose-env.com"/>
    <s v="Bryce"/>
    <s v="Fields"/>
    <s v="US"/>
    <s v="07277CF464FB64E60A495E9A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cawiesner@montrose-env.com"/>
    <s v="montrose-env.com"/>
    <s v="cawiesner@montrose-env.com"/>
    <s v="Cathy"/>
    <s v="Wiesner"/>
    <s v="US"/>
    <s v="838F3B8064FF1D6D0A495C80@038d2aa263c9deeb495fea.e"/>
    <x v="2"/>
    <x v="0"/>
    <x v="0"/>
    <m/>
    <m/>
    <s v="USA - Corp - IT"/>
    <m/>
    <m/>
    <m/>
    <m/>
    <s v="Acrobat Standard DC (VIPMP - 99C0A3088A102BD9CB4A)"/>
    <m/>
    <m/>
    <x v="55"/>
    <x v="55"/>
    <n v="8.6983333333333324"/>
    <n v="0"/>
    <n v="0"/>
    <n v="8.6983333333333324"/>
    <n v="1"/>
  </r>
  <r>
    <s v="Federated ID"/>
    <s v="vrespass@montrose-env.com"/>
    <s v="montrose-env.com"/>
    <s v="vrespass@montrose-env.com"/>
    <s v="Valgena"/>
    <s v="Respass"/>
    <s v="US"/>
    <s v="8D0B19B664FF5C660A495C81@038d2aa263c9deeb495fea.e"/>
    <x v="2"/>
    <x v="0"/>
    <x v="0"/>
    <m/>
    <m/>
    <s v="USA - Labs - OH - G&amp;A"/>
    <m/>
    <m/>
    <m/>
    <m/>
    <s v="Acrobat Standard DC (VIPMP - 99C0A3088A102BD9CB4A)"/>
    <m/>
    <m/>
    <x v="43"/>
    <x v="43"/>
    <n v="8.6983333333333324"/>
    <n v="0"/>
    <n v="0"/>
    <n v="8.6983333333333324"/>
    <n v="1"/>
  </r>
  <r>
    <s v="Federated ID"/>
    <s v="dathal@montrose-env.com"/>
    <s v="montrose-env.com"/>
    <s v="dathal@montrose-env.com"/>
    <s v="David"/>
    <s v="Thal"/>
    <s v="US"/>
    <s v="91342EA064FF62E10A495CEF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karoy@montrose-env.com"/>
    <s v="montrose-env.com"/>
    <s v="karoy@montrose-env.com"/>
    <s v="Katie"/>
    <s v="Roy"/>
    <s v="US"/>
    <s v="B3196861650062510A495E86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stromero@montrose-env.com"/>
    <s v="montrose-env.com"/>
    <s v="stromero@montrose-env.com"/>
    <s v="Steven"/>
    <s v="Romero"/>
    <s v="US"/>
    <s v="BD7D37C265007EF60A495CDC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ansanchez@montrose-env.com"/>
    <s v="montrose-env.com"/>
    <s v="ansanchez@montrose-env.com"/>
    <s v="Andres"/>
    <s v="Sanchez"/>
    <s v="US"/>
    <s v="BDEF590965008DA70A495F90@038d2aa263c9deeb495fea.e"/>
    <x v="0"/>
    <x v="0"/>
    <x v="0"/>
    <m/>
    <m/>
    <s v="USA - Environmental Consulting - Tampa - Operations"/>
    <m/>
    <m/>
    <m/>
    <m/>
    <m/>
    <m/>
    <m/>
    <x v="0"/>
    <x v="0"/>
    <n v="0"/>
    <n v="0"/>
    <n v="0"/>
    <n v="0"/>
    <m/>
  </r>
  <r>
    <s v="Federated ID"/>
    <s v="krgorman@montrose-env.com"/>
    <s v="montrose-env.com"/>
    <s v="krgorman@montrose-env.com"/>
    <s v="Kristen"/>
    <s v="Gorman"/>
    <s v="US"/>
    <s v="BE681B0965008FDF0A495FDC@038d2aa263c9deeb495fea.e"/>
    <x v="1"/>
    <x v="0"/>
    <x v="0"/>
    <m/>
    <m/>
    <s v="USA - Stack - OH - Finance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llittleton@montrose-env.com"/>
    <s v="montrose-env.com"/>
    <s v="llittleton@montrose-env.com"/>
    <s v="Linda"/>
    <s v="Littleton"/>
    <s v="US"/>
    <s v="26D41DA46501F3640A495FC9@038d2aa263c9deeb495fea.e"/>
    <x v="3"/>
    <x v="0"/>
    <x v="0"/>
    <m/>
    <m/>
    <s v="USA - Environmental Consulting - Oakland - Operations"/>
    <m/>
    <m/>
    <m/>
    <m/>
    <s v="All Apps plan (VIPMP - 99C0A3088A102BD9CB4A)"/>
    <m/>
    <m/>
    <x v="34"/>
    <x v="34"/>
    <n v="82.24"/>
    <n v="0"/>
    <n v="0"/>
    <n v="82.24"/>
    <n v="1"/>
  </r>
  <r>
    <s v="Federated ID"/>
    <s v="arossetti@montrose-env.com"/>
    <s v="montrose-env.com"/>
    <s v="arossetti@montrose-env.com"/>
    <s v="Anitra"/>
    <s v="Rossetti"/>
    <s v="US"/>
    <s v="60F21DE165033E840A495E33@038d2aa263c9deeb495fea.e"/>
    <x v="1"/>
    <x v="0"/>
    <x v="0"/>
    <m/>
    <m/>
    <s v="USA - Stack - OH - Finance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kawildermuth@montrose-env.com"/>
    <s v="montrose-env.com"/>
    <s v="kawildermuth@montrose-env.com"/>
    <s v="Katarina"/>
    <s v="Wildermuth"/>
    <s v="US"/>
    <s v="95F91DA665047CD90A495FB6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tosebenick@ect2.com"/>
    <s v="ect2.com"/>
    <s v="tosebenick@ect2.com"/>
    <s v="Toni"/>
    <s v="Sebenick"/>
    <s v="US"/>
    <s v="694E7E056508936A0A495E42@038d2aa263c9deeb495fea.e"/>
    <x v="1"/>
    <x v="0"/>
    <x v="0"/>
    <m/>
    <m/>
    <s v="USA - ECT2 - OH - Finance"/>
    <m/>
    <m/>
    <m/>
    <m/>
    <s v="Acrobat Pro (VIPMP - 99C0A3088A102BD9CB4A)"/>
    <m/>
    <m/>
    <x v="72"/>
    <x v="72"/>
    <n v="14.333333333333334"/>
    <n v="0"/>
    <n v="0"/>
    <n v="14.333333333333334"/>
    <n v="1"/>
  </r>
  <r>
    <s v="Federated ID"/>
    <s v="alittle@montrose-env.com"/>
    <s v="montrose-env.com"/>
    <s v="alittle@montrose-env.com"/>
    <s v="Amber"/>
    <s v="Little"/>
    <s v="US"/>
    <s v="9CEE10646509FA2C0A495CE8@038d2aa263c9deeb495fea.e"/>
    <x v="1"/>
    <x v="0"/>
    <x v="0"/>
    <m/>
    <m/>
    <s v="USA - ECT2 - OH - Finance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maridgely@montrose-env.com"/>
    <s v="montrose-env.com"/>
    <s v="maridgely@montrose-env.com"/>
    <s v="Mallory"/>
    <s v="Ridgely"/>
    <s v="US"/>
    <s v="9D1410646509FB930A495CE8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erhoutz@ect2.com"/>
    <s v="ect2.com"/>
    <s v="erhoutz@ect2.com"/>
    <s v="Erika"/>
    <s v="Houtz"/>
    <s v="US"/>
    <s v="A1397E05650A2A730A495E42@038d2aa263c9deeb495fea.e"/>
    <x v="1"/>
    <x v="0"/>
    <x v="0"/>
    <m/>
    <m/>
    <s v="USA - Advisory Services - Transactional Diligence – Operations"/>
    <m/>
    <m/>
    <m/>
    <m/>
    <s v="Acrobat Pro (VIPMP - 99C0A3088A102BD9CB4A)"/>
    <m/>
    <m/>
    <x v="15"/>
    <x v="15"/>
    <n v="14.333333333333334"/>
    <n v="0"/>
    <n v="0"/>
    <n v="14.333333333333334"/>
    <n v="1"/>
  </r>
  <r>
    <s v="Federated ID"/>
    <s v="tfguidry@montrose-env.com"/>
    <s v="montrose-env.com"/>
    <s v="tfguidry@montrose-env.com"/>
    <s v="Thomas"/>
    <s v="Guidry III"/>
    <s v="US"/>
    <s v="C59926B3650B640A0A495C69@038d2aa263c9deeb495fea.e"/>
    <x v="1"/>
    <x v="0"/>
    <x v="0"/>
    <m/>
    <m/>
    <s v="USA - Environmental Consulting - Central - G&amp;A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beclarke@montrose-env.com"/>
    <s v="montrose-env.com"/>
    <s v="beclarke@montrose-env.com"/>
    <s v="Benjamin"/>
    <s v="Clarke"/>
    <s v="US"/>
    <s v="1D581DDB650C39B20A495CE4@038d2aa263c9deeb495fea.e"/>
    <x v="0"/>
    <x v="0"/>
    <x v="0"/>
    <m/>
    <m/>
    <s v="USA - Environmental Consulting - Southeast - Operations"/>
    <m/>
    <m/>
    <m/>
    <m/>
    <m/>
    <m/>
    <m/>
    <x v="0"/>
    <x v="0"/>
    <n v="0"/>
    <n v="0"/>
    <n v="0"/>
    <n v="0"/>
    <m/>
  </r>
  <r>
    <s v="Federated ID"/>
    <s v="gaperacca@montrose-env.com"/>
    <s v="montrose-env.com"/>
    <s v="gaperacca@montrose-env.com"/>
    <s v="Galen"/>
    <s v="Peracca"/>
    <s v="US"/>
    <s v="1E571EB7650C39B20A495C4E@038d2aa263c9deeb495fea.e"/>
    <x v="1"/>
    <x v="0"/>
    <x v="0"/>
    <m/>
    <m/>
    <s v="USA - CTEH - Disaster Recovery &amp; Innovative Services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Vakhy@montrose-env.com"/>
    <s v="montrose-env.com"/>
    <s v="vkhy@montrose-env.com"/>
    <s v="Vannak"/>
    <s v="Khy"/>
    <s v="US"/>
    <s v="41D20BB0650D9EF80A495EB9@038d2aa263c9deeb495fea.e"/>
    <x v="2"/>
    <x v="0"/>
    <x v="0"/>
    <m/>
    <m/>
    <s v="USA - Real Time Air - Specialized Monitoring Systems - Operations"/>
    <m/>
    <m/>
    <m/>
    <m/>
    <s v="Acrobat Standard DC (VIPMP - 99C0A3088A102BD9CB4A)"/>
    <m/>
    <m/>
    <x v="12"/>
    <x v="12"/>
    <n v="8.6983333333333324"/>
    <n v="0"/>
    <n v="0"/>
    <n v="8.6983333333333324"/>
    <n v="1"/>
  </r>
  <r>
    <s v="Federated ID"/>
    <s v="rmay@montrose-env.com"/>
    <s v="montrose-env.com"/>
    <s v="rmay@montrose-env.com"/>
    <s v="Robert"/>
    <s v="May"/>
    <s v="US"/>
    <s v="4A4C1DAC650DB33D0A495E41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rkepp@montrose-env.com"/>
    <s v="montrose-env.com"/>
    <s v="rkepp@montrose-env.com"/>
    <s v="Richard"/>
    <s v="Kepp"/>
    <s v="US"/>
    <s v="509C1EB4650DF8740A495C38@038d2aa263c9deeb495fea.e"/>
    <x v="1"/>
    <x v="0"/>
    <x v="0"/>
    <m/>
    <m/>
    <s v="USA - Corp - Safety"/>
    <m/>
    <m/>
    <m/>
    <m/>
    <s v="Acrobat Pro (VIPMP - 99C0A3088A102BD9CB4A)"/>
    <m/>
    <m/>
    <x v="74"/>
    <x v="74"/>
    <n v="14.333333333333334"/>
    <n v="0"/>
    <n v="0"/>
    <n v="14.333333333333334"/>
    <n v="1"/>
  </r>
  <r>
    <s v="Federated ID"/>
    <s v="lnava@montrose-env.com"/>
    <s v="montrose-env.com"/>
    <s v="lnava@montrose-env.com"/>
    <s v="Leonel"/>
    <s v="Nava"/>
    <s v="US"/>
    <s v="A4241DAC6511919F0A495E4C@038d2aa263c9deeb495fea.e"/>
    <x v="0"/>
    <x v="0"/>
    <x v="0"/>
    <m/>
    <m/>
    <s v="USA - Environmental Consulting - Charlottesville - Operations"/>
    <m/>
    <m/>
    <m/>
    <m/>
    <m/>
    <m/>
    <m/>
    <x v="0"/>
    <x v="0"/>
    <n v="0"/>
    <n v="0"/>
    <n v="0"/>
    <n v="0"/>
    <m/>
  </r>
  <r>
    <s v="Federated ID"/>
    <s v="rgeehr@montrose-env.com"/>
    <s v="montrose-env.com"/>
    <s v="rgeehr@montrose-env.com"/>
    <s v="Randy"/>
    <s v="Geehr"/>
    <s v="US"/>
    <s v="D4951E806512EA340A495CC4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mvalentin@montrose-env.com"/>
    <s v="montrose-env.com"/>
    <s v="mvalentin@montrose-env.com"/>
    <s v="Missy"/>
    <s v="Valentin"/>
    <s v="US"/>
    <s v="E5D11EA5651328A70A495FF3@038d2aa263c9deeb495fea.e"/>
    <x v="0"/>
    <x v="0"/>
    <x v="0"/>
    <m/>
    <m/>
    <s v="USA - Environmental Consulting OH - Finance"/>
    <m/>
    <m/>
    <m/>
    <m/>
    <m/>
    <m/>
    <m/>
    <x v="0"/>
    <x v="0"/>
    <n v="0"/>
    <n v="0"/>
    <n v="0"/>
    <n v="0"/>
    <m/>
  </r>
  <r>
    <s v="Federated ID"/>
    <s v="hfmohamed@montrose-env.com"/>
    <s v="montrose-env.com"/>
    <s v="hfmohamed@montrose-env.com"/>
    <s v="Hemed"/>
    <s v="Mohamed"/>
    <s v="US"/>
    <s v="DE8E1EAE65133B700A495C0D@038d2aa263c9deeb495fea.e"/>
    <x v="0"/>
    <x v="0"/>
    <x v="0"/>
    <m/>
    <m/>
    <s v="USA - Corp - Marketing"/>
    <m/>
    <m/>
    <m/>
    <m/>
    <m/>
    <m/>
    <m/>
    <x v="0"/>
    <x v="0"/>
    <n v="0"/>
    <n v="0"/>
    <n v="0"/>
    <n v="0"/>
    <m/>
  </r>
  <r>
    <s v="Federated ID"/>
    <s v="dacraft@montrose-env.com"/>
    <s v="montrose-env.com"/>
    <s v="dacraft@montrose-env.com"/>
    <s v="David"/>
    <s v="Craft"/>
    <s v="US"/>
    <s v="E13B188C65133B9A0A495E2D@038d2aa263c9deeb495fea.e"/>
    <x v="0"/>
    <x v="0"/>
    <x v="0"/>
    <m/>
    <m/>
    <s v="USA - Environmental Consulting - Santa Ana (P&amp;C) - Operations"/>
    <m/>
    <m/>
    <m/>
    <m/>
    <m/>
    <m/>
    <m/>
    <x v="0"/>
    <x v="0"/>
    <n v="0"/>
    <n v="0"/>
    <n v="0"/>
    <n v="0"/>
    <m/>
  </r>
  <r>
    <s v="Federated ID"/>
    <s v="chfarmer@montrose-env.com"/>
    <s v="montrose-env.com"/>
    <s v="chfarmer@montrose-env.com"/>
    <s v="Christie"/>
    <s v="Farmer"/>
    <s v="US"/>
    <s v="E1CD1DCD65134D800A495C73@038d2aa263c9deeb495fea.e"/>
    <x v="1"/>
    <x v="0"/>
    <x v="0"/>
    <m/>
    <m/>
    <s v="USA - Real Time Air - Denver - Operations"/>
    <m/>
    <m/>
    <m/>
    <m/>
    <s v="Acrobat Pro (VIPMP - 99C0A3088A102BD9CB4A)"/>
    <m/>
    <m/>
    <x v="61"/>
    <x v="61"/>
    <n v="14.333333333333334"/>
    <n v="0"/>
    <n v="0"/>
    <n v="14.333333333333334"/>
    <n v="1"/>
  </r>
  <r>
    <s v="Federated ID"/>
    <s v="kilauderdale@montrose-env.com"/>
    <s v="montrose-env.com"/>
    <s v="kilauderdale@montrose-env.com"/>
    <s v="Kimberly"/>
    <s v="Lauderdale"/>
    <s v="US"/>
    <s v="08B71EAF651494000A495FAE@038d2aa263c9deeb495fea.e"/>
    <x v="0"/>
    <x v="0"/>
    <x v="0"/>
    <m/>
    <m/>
    <s v="USA - Sensible EDP - Albuquerque - Operations"/>
    <m/>
    <m/>
    <m/>
    <m/>
    <m/>
    <m/>
    <m/>
    <x v="0"/>
    <x v="0"/>
    <n v="0"/>
    <n v="0"/>
    <n v="0"/>
    <n v="0"/>
    <m/>
  </r>
  <r>
    <s v="Federated ID"/>
    <s v="magouveia@montrose-env.com"/>
    <s v="montrose-env.com"/>
    <s v="magouveia@montrose-env.com"/>
    <s v="Max"/>
    <s v="Gouveia"/>
    <s v="US"/>
    <s v="33A41E866515C7D90A495C45@038d2aa263c9deeb495fea.e"/>
    <x v="0"/>
    <x v="0"/>
    <x v="0"/>
    <m/>
    <m/>
    <s v="USA - Stack - Power Start-Ups - Operations"/>
    <m/>
    <m/>
    <m/>
    <m/>
    <m/>
    <m/>
    <m/>
    <x v="0"/>
    <x v="0"/>
    <n v="0"/>
    <n v="0"/>
    <n v="0"/>
    <n v="0"/>
    <m/>
  </r>
  <r>
    <s v="Federated ID"/>
    <s v="jrubio@montrose-env.com"/>
    <s v="montrose-env.com"/>
    <s v="jrubio@montrose-env.com"/>
    <s v="Joseph"/>
    <s v="Rubio"/>
    <s v="US"/>
    <s v="34E81BF16515E0380A495E40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agoracke@montrose-env.com"/>
    <s v="montrose-env.com"/>
    <s v="agoracke@montrose-env.com"/>
    <s v="Austin"/>
    <s v="Goracke"/>
    <s v="US"/>
    <s v="600D1E8A6516D7260A495C66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aunickles-teichmann@montrose-env.com"/>
    <s v="montrose-env.com"/>
    <s v="aunickles-teichmann@montrose-env.com"/>
    <s v="Audrey"/>
    <s v="Nickles-Teichmann"/>
    <s v="US"/>
    <s v="63E91EE36516D9A60A495FEF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sakilmer@montrose-env.com"/>
    <s v="montrose-env.com"/>
    <s v="sakilmer@montrose-env.com"/>
    <s v="Steven"/>
    <s v="Kilmer"/>
    <s v="US"/>
    <s v="6BEE1EE365170D0C0A495FEF@038d2aa263c9deeb495fea.e"/>
    <x v="1"/>
    <x v="0"/>
    <x v="0"/>
    <m/>
    <m/>
    <s v="USA - Stack - Cleveland - Operations"/>
    <m/>
    <m/>
    <m/>
    <m/>
    <s v="Acrobat Pro (VIPMP - 99C0A3088A102BD9CB4A)"/>
    <m/>
    <m/>
    <x v="8"/>
    <x v="8"/>
    <n v="14.333333333333334"/>
    <n v="0"/>
    <n v="0"/>
    <n v="14.333333333333334"/>
    <n v="1"/>
  </r>
  <r>
    <s v="Federated ID"/>
    <s v="amvalois@montrose-env.com"/>
    <s v="enthalpy.com"/>
    <s v="amanda.valois@enthalpy.com"/>
    <s v="Amanda"/>
    <s v="Valois"/>
    <s v="US"/>
    <s v="E0000EB0651AF1720A495E0A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rrauls@montrose-env.com"/>
    <s v="montrose-env.com"/>
    <s v="RRauls@montrose-env.com"/>
    <s v="Roddy"/>
    <s v="Rauls"/>
    <s v="US"/>
    <s v="0D1A1EAE651C269F0A495FD4@038d2aa263c9deeb495fea.e"/>
    <x v="1"/>
    <x v="0"/>
    <x v="0"/>
    <m/>
    <m/>
    <s v="USA - Stack - Santa Ana - G&amp;A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blairaxley@montrose-env.com"/>
    <s v="montrose-env.com"/>
    <s v="blairaxley@montrose-env.com"/>
    <s v="Blair"/>
    <s v="Axley"/>
    <s v="US"/>
    <s v="3C171DA6651D9B7A0A495C37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jrfarwell@montrose-env.com"/>
    <s v="montrose-env.com"/>
    <s v="jrfarwell@montrose-env.com"/>
    <s v="Junior"/>
    <s v="Farwell"/>
    <s v="US"/>
    <s v="477F0EB0651DF3480A495E0A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damozley@montrose-env.com"/>
    <s v="montrose-env.com"/>
    <s v="damozley@montrose-env.com"/>
    <s v="Danese"/>
    <s v="Mozley"/>
    <s v="US"/>
    <s v="689F1DF2651EA22F0A495C04@038d2aa263c9deeb495fea.e"/>
    <x v="1"/>
    <x v="0"/>
    <x v="0"/>
    <m/>
    <m/>
    <s v="USA - Stack - Chicago - Operations"/>
    <m/>
    <m/>
    <m/>
    <m/>
    <s v="Acrobat Pro (VIPMP - 99C0A3088A102BD9CB4A)"/>
    <m/>
    <m/>
    <x v="12"/>
    <x v="12"/>
    <n v="14.333333333333334"/>
    <n v="0"/>
    <n v="0"/>
    <n v="14.333333333333334"/>
    <n v="1"/>
  </r>
  <r>
    <s v="Federated ID"/>
    <s v="tyronfitzgerald@montrose-env.com"/>
    <s v="montrose-env.com"/>
    <s v="tyronfitzgerald@montrose-env.com"/>
    <s v="Tyron"/>
    <s v="Fitzgerald"/>
    <s v="US"/>
    <s v="67F4188C651EAC920A495E2D@038d2aa263c9deeb495fea.e"/>
    <x v="1"/>
    <x v="0"/>
    <x v="0"/>
    <m/>
    <m/>
    <s v="USA - Corp - Information Security"/>
    <m/>
    <m/>
    <m/>
    <m/>
    <s v="Acrobat Pro (VIPMP - 99C0A3088A102BD9CB4A)"/>
    <m/>
    <m/>
    <x v="76"/>
    <x v="76"/>
    <n v="14.333333333333334"/>
    <n v="0"/>
    <n v="0"/>
    <n v="14.333333333333334"/>
    <n v="1"/>
  </r>
  <r>
    <s v="Federated ID"/>
    <s v="mekuhlman@montrose-env.com"/>
    <s v="montrose-env.com"/>
    <s v="mekuhlman@montrose-env.com"/>
    <s v="Megan"/>
    <s v="Kuhlman"/>
    <s v="US"/>
    <s v="6C6B1E86651EB7F10A495C45@038d2aa263c9deeb495fea.e"/>
    <x v="1"/>
    <x v="1"/>
    <x v="2"/>
    <m/>
    <m/>
    <s v="USA - Corp - Marketing"/>
    <m/>
    <m/>
    <m/>
    <m/>
    <s v="Acrobat Pro (VIPMP - 99C0A3088A102BD9CB4A),InDesign (VIPMP - 99C0A3088A102BD9CB4A),Illustrator (VIPMP - 99C0A3088A102BD9CB4A)"/>
    <m/>
    <m/>
    <x v="44"/>
    <x v="44"/>
    <n v="14.333333333333334"/>
    <n v="35.979166666666664"/>
    <n v="36.357500000000002"/>
    <n v="86.67"/>
    <n v="1"/>
  </r>
  <r>
    <s v="Federated ID"/>
    <s v="gburch@montrose-env.com"/>
    <s v="montrose-env.com"/>
    <s v="gburch@montrose-env.com"/>
    <s v="Greg"/>
    <s v="Burch"/>
    <s v="US"/>
    <s v="78261EB3651EE50A0A495FB1@038d2aa263c9deeb495fea.e"/>
    <x v="1"/>
    <x v="0"/>
    <x v="0"/>
    <m/>
    <m/>
    <s v="USA - Stack - Gulf Coast - G&amp;A"/>
    <m/>
    <m/>
    <m/>
    <m/>
    <s v="Acrobat Pro (VIPMP - 99C0A3088A102BD9CB4A)"/>
    <m/>
    <m/>
    <x v="41"/>
    <x v="41"/>
    <n v="14.333333333333334"/>
    <n v="0"/>
    <n v="0"/>
    <n v="14.333333333333334"/>
    <n v="1"/>
  </r>
  <r>
    <s v="Federated ID"/>
    <s v="GaMata@montrose-env.com"/>
    <s v="montrose-env.com"/>
    <s v="gamata@montrose-env.com"/>
    <s v="Gary"/>
    <s v="Mata"/>
    <s v="US"/>
    <s v="70E41DCF651EFC5A0A495FE2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kaschuler@montrose-env.com"/>
    <s v="montrose-env.com"/>
    <s v="kaschuler@montrose-env.com"/>
    <s v="Renee"/>
    <s v="Schuler"/>
    <s v="US"/>
    <s v="195B1D6C652029220A495EBF@038d2aa263c9deeb495fea.e"/>
    <x v="1"/>
    <x v="0"/>
    <x v="0"/>
    <m/>
    <m/>
    <s v="USA - Stack - OH - Finance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anamora@montrose-env.com"/>
    <s v="montrose-env.com"/>
    <s v="anamora@montrose-env.com"/>
    <s v="Ana"/>
    <s v="Mora"/>
    <s v="US"/>
    <s v="6771570765241A340A495E97@038d2aa263c9deeb495fea.e"/>
    <x v="1"/>
    <x v="0"/>
    <x v="0"/>
    <m/>
    <m/>
    <s v="USA - Environmental Consulting OH - Safety"/>
    <m/>
    <m/>
    <m/>
    <m/>
    <s v="Acrobat Pro (VIPMP - 99C0A3088A102BD9CB4A)"/>
    <m/>
    <m/>
    <x v="77"/>
    <x v="77"/>
    <n v="14.333333333333334"/>
    <n v="0"/>
    <n v="0"/>
    <n v="14.333333333333334"/>
    <n v="1"/>
  </r>
  <r>
    <s v="Federated ID"/>
    <s v="mvavra@montrose-env.com"/>
    <s v="montrose-env.com"/>
    <s v="mvavra@montrose-env.com"/>
    <s v="Monica"/>
    <s v="Vavra"/>
    <s v="US"/>
    <s v="6B2823F2652428C10A495FCD@038d2aa263c9deeb495fea.e"/>
    <x v="1"/>
    <x v="0"/>
    <x v="0"/>
    <m/>
    <m/>
    <s v="USA - Stack - OH - G&amp;A"/>
    <m/>
    <m/>
    <m/>
    <m/>
    <s v="Acrobat Pro (VIPMP - 99C0A3088A102BD9CB4A)"/>
    <m/>
    <m/>
    <x v="36"/>
    <x v="36"/>
    <n v="14.333333333333334"/>
    <n v="0"/>
    <n v="0"/>
    <n v="14.333333333333334"/>
    <n v="1"/>
  </r>
  <r>
    <s v="Federated ID"/>
    <s v="skirby@montrose-env.com"/>
    <s v="montrose-env.com"/>
    <s v="skirby@montrose-env.com"/>
    <s v="Steven"/>
    <s v="Kirby"/>
    <s v="US"/>
    <s v="6A22642C65243B760A495C62@038d2aa263c9deeb495fea.e"/>
    <x v="1"/>
    <x v="0"/>
    <x v="0"/>
    <m/>
    <m/>
    <s v="USA - Environmental Consulting - Santa Ana (Rem)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ajpuskas@montrose-env.com"/>
    <s v="montrose-env.com"/>
    <s v="ajpuskas@montrose-env.com"/>
    <s v="Andrew"/>
    <s v="Puskas"/>
    <s v="US"/>
    <s v="6AF94853652445460A495CDC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reparsons@montrose-env.com"/>
    <s v="montrose-env.com"/>
    <s v="resanfratello@montrose-env.com"/>
    <s v="Rebecca"/>
    <s v="Parsons"/>
    <s v="US"/>
    <s v="B7465A696526B02E0A495C3E@038d2aa263c9deeb495fea.e"/>
    <x v="0"/>
    <x v="0"/>
    <x v="0"/>
    <m/>
    <m/>
    <s v="USA - CTEH - Disaster Recovery &amp; Innovative Services - Operations"/>
    <m/>
    <m/>
    <m/>
    <m/>
    <m/>
    <m/>
    <m/>
    <x v="0"/>
    <x v="0"/>
    <n v="0"/>
    <n v="0"/>
    <n v="0"/>
    <n v="0"/>
    <m/>
  </r>
  <r>
    <s v="Federated ID"/>
    <s v="kylecummings@montrose-env.com"/>
    <s v="montrose-env.com"/>
    <s v="kylecummings@montrose-env.com"/>
    <s v="Kyle"/>
    <s v="Cummings"/>
    <s v="US"/>
    <s v="C09761F4652701E70A495FC4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ranounou@montrose-env.com"/>
    <s v="montrose-env.com"/>
    <s v="ranounou@montrose-env.com"/>
    <s v="Roger"/>
    <s v="Nounou"/>
    <s v="US"/>
    <s v="C51551EE652712ED0A495E39@038d2aa263c9deeb495fea.e"/>
    <x v="0"/>
    <x v="0"/>
    <x v="0"/>
    <m/>
    <m/>
    <s v="USA - Real Time Air - OH - Sales"/>
    <m/>
    <m/>
    <m/>
    <m/>
    <m/>
    <m/>
    <m/>
    <x v="0"/>
    <x v="0"/>
    <n v="0"/>
    <n v="0"/>
    <n v="0"/>
    <n v="0"/>
    <m/>
  </r>
  <r>
    <s v="Federated ID"/>
    <s v="ctsentas@montrose-env.com"/>
    <s v="montrose-env.com"/>
    <s v="ctsentas@montrose-env.com"/>
    <s v="Constantine"/>
    <s v="Tsentas"/>
    <s v="US"/>
    <s v="8CDF4557652973B30A495FAD@038d2aa263c9deeb495fea.e"/>
    <x v="0"/>
    <x v="0"/>
    <x v="0"/>
    <m/>
    <m/>
    <s v="USA - Environmental Consulting - Robbinsville - G&amp;A"/>
    <m/>
    <m/>
    <m/>
    <m/>
    <m/>
    <m/>
    <m/>
    <x v="0"/>
    <x v="0"/>
    <n v="0"/>
    <n v="0"/>
    <n v="0"/>
    <n v="0"/>
    <m/>
  </r>
  <r>
    <s v="Federated ID"/>
    <s v="skirschner@montrose-env.com"/>
    <s v="montrose-env.com"/>
    <s v="skirschner@montrose-env.com"/>
    <s v="Steve"/>
    <s v="Kirschner"/>
    <s v="US"/>
    <s v="0D4048A86529D0D80A495CC1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dacrawford@montrose-env.com"/>
    <s v="montrose-env.com"/>
    <s v="dacrawford@montrose-env.com"/>
    <s v="Daniel"/>
    <s v="Crawford"/>
    <s v="US"/>
    <s v="602962F6652D3ADB0A495FA5@038d2aa263c9deeb495fea.e"/>
    <x v="2"/>
    <x v="0"/>
    <x v="0"/>
    <m/>
    <m/>
    <s v="USA - Environmental Consulting - Southeast - Operations"/>
    <m/>
    <m/>
    <m/>
    <m/>
    <s v="Acrobat Standard DC (VIPMP - 99C0A3088A102BD9CB4A)"/>
    <m/>
    <m/>
    <x v="78"/>
    <x v="78"/>
    <n v="8.6983333333333324"/>
    <n v="0"/>
    <n v="0"/>
    <n v="8.6983333333333324"/>
    <n v="1"/>
  </r>
  <r>
    <s v="Federated ID"/>
    <s v="alzuniga@montrose-env.com"/>
    <s v="montrose-env.com"/>
    <s v="alzuniga@montrose-env.com"/>
    <s v="Alexis"/>
    <s v="Zuniga"/>
    <s v="US"/>
    <s v="5E39451B652D64610A495E32@038d2aa263c9deeb495fea.e"/>
    <x v="1"/>
    <x v="0"/>
    <x v="0"/>
    <m/>
    <m/>
    <s v="USA - LDAR - West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sjaworski@montrose-env.com"/>
    <s v="montrose-env.com"/>
    <s v="sjaworski@montrose-env.com"/>
    <s v="Shawn"/>
    <s v="Jaworski"/>
    <s v="US"/>
    <s v="68064E29652D87150A495E37@038d2aa263c9deeb495fea.e"/>
    <x v="1"/>
    <x v="0"/>
    <x v="0"/>
    <m/>
    <m/>
    <s v="USA - Stack - Midwest - Operations"/>
    <m/>
    <m/>
    <m/>
    <m/>
    <s v="Acrobat Pro (VIPMP - 99C0A3088A102BD9CB4A)"/>
    <m/>
    <m/>
    <x v="79"/>
    <x v="79"/>
    <n v="14.333333333333334"/>
    <n v="0"/>
    <n v="0"/>
    <n v="14.333333333333334"/>
    <n v="1"/>
  </r>
  <r>
    <s v="Federated ID"/>
    <s v="dhirschberg@montrose-env.com"/>
    <s v="montrose-env.com"/>
    <s v="dhirschberg@montrose-env.com"/>
    <s v="Dana"/>
    <s v="Hirschberg"/>
    <s v="US"/>
    <s v="682A2B7A652D88840A495F9C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jgroenenboom@montrose-env.com"/>
    <s v="montrose-env.com"/>
    <s v="jgroenenboom@montrose-env.com"/>
    <s v="John"/>
    <s v="Groenenboom"/>
    <s v="US"/>
    <s v="98BD3D34652ED6CD0A495C7C@038d2aa263c9deeb495fea.e"/>
    <x v="0"/>
    <x v="0"/>
    <x v="0"/>
    <m/>
    <m/>
    <s v="USA - Stack - Santa Ana - Operations"/>
    <m/>
    <m/>
    <m/>
    <m/>
    <m/>
    <m/>
    <m/>
    <x v="0"/>
    <x v="0"/>
    <n v="0"/>
    <n v="0"/>
    <n v="0"/>
    <n v="0"/>
    <m/>
  </r>
  <r>
    <s v="Federated ID"/>
    <s v="kapalm@montrose-env.com"/>
    <s v="montrose-env.com"/>
    <s v="kapalm@montrose-env.com"/>
    <s v="Kara"/>
    <s v="Palm"/>
    <s v="US"/>
    <s v="96FE4EB2652EDB190A495E73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ariciaboyd@montrose-env.com"/>
    <s v="montrose-env.com"/>
    <s v="ariciaboyd@montrose-env.com"/>
    <s v="Aricia"/>
    <s v="Boyd"/>
    <s v="US"/>
    <s v="BF7E4968652FC9060A495CF2@038d2aa263c9deeb495fea.e"/>
    <x v="1"/>
    <x v="0"/>
    <x v="0"/>
    <m/>
    <m/>
    <s v="USA - Real Time Air - Denver - Operations"/>
    <m/>
    <m/>
    <m/>
    <m/>
    <s v="Acrobat Pro (VIPMP - 99C0A3088A102BD9CB4A)"/>
    <m/>
    <m/>
    <x v="67"/>
    <x v="67"/>
    <n v="14.333333333333334"/>
    <n v="0"/>
    <n v="0"/>
    <n v="14.333333333333334"/>
    <n v="1"/>
  </r>
  <r>
    <s v="Federated ID"/>
    <s v="kelly.kuhlmann@enthalpy.com"/>
    <s v="enthalpy.com"/>
    <s v="kelly.kuhlmann@enthalpy.com"/>
    <s v="Kelly"/>
    <s v="Kuhlmann"/>
    <s v="US"/>
    <s v="C7FE509B653009F90A495C69@038d2aa263c9deeb495fea.e"/>
    <x v="1"/>
    <x v="0"/>
    <x v="0"/>
    <m/>
    <m/>
    <s v="USA - Labs - OH - Finance"/>
    <m/>
    <m/>
    <m/>
    <m/>
    <s v="Acrobat Pro (VIPMP - 99C0A3088A102BD9CB4A)"/>
    <m/>
    <m/>
    <x v="42"/>
    <x v="42"/>
    <n v="14.333333333333334"/>
    <n v="0"/>
    <n v="0"/>
    <n v="14.333333333333334"/>
    <n v="1"/>
  </r>
  <r>
    <s v="Federated ID"/>
    <s v="jsmith@montrose-env.com"/>
    <s v="montrose-env.com"/>
    <s v="jsmith@montrose-env.com"/>
    <s v="Jai"/>
    <s v="Smith"/>
    <s v="US"/>
    <s v="26951E4565313F7C0A495EEE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hunortman@montrose-env.com"/>
    <s v="montrose-env.com"/>
    <s v="hunortman@montrose-env.com"/>
    <s v="Hunter"/>
    <s v="Nortman"/>
    <s v="US"/>
    <s v="2B811E20653151110A495E96@038d2aa263c9deeb495fea.e"/>
    <x v="2"/>
    <x v="0"/>
    <x v="0"/>
    <m/>
    <m/>
    <s v="USA - Environmental Consulting - Santa Ana (Rem) - Operations"/>
    <m/>
    <m/>
    <m/>
    <m/>
    <s v="Acrobat Standard DC (VIPMP - 99C0A3088A102BD9CB4A)"/>
    <m/>
    <m/>
    <x v="1"/>
    <x v="1"/>
    <n v="8.6983333333333324"/>
    <n v="0"/>
    <n v="0"/>
    <n v="8.6983333333333324"/>
    <n v="1"/>
  </r>
  <r>
    <s v="Federated ID"/>
    <s v="gabrienna.huerta@enthalpy.com"/>
    <s v="enthalpy.com"/>
    <s v="gabrienna.huerta@enthalpy.com"/>
    <s v="Gabrienna"/>
    <s v="Huerta"/>
    <s v="US"/>
    <s v="31311E20653190AB0A495EFE@038d2aa263c9deeb495fea.e"/>
    <x v="1"/>
    <x v="0"/>
    <x v="0"/>
    <m/>
    <m/>
    <s v="USA - Env Lab - Deer Park - Operations"/>
    <m/>
    <m/>
    <m/>
    <m/>
    <s v="Acrobat Pro (VIPMP - 99C0A3088A102BD9CB4A)"/>
    <m/>
    <m/>
    <x v="80"/>
    <x v="80"/>
    <n v="14.333333333333334"/>
    <n v="0"/>
    <n v="0"/>
    <n v="14.333333333333334"/>
    <n v="1"/>
  </r>
  <r>
    <s v="Federated ID"/>
    <s v="sydney.jump@enthalpy.com"/>
    <s v="enthalpy.com"/>
    <s v="sydney.jump@enthalpy.com"/>
    <s v="Sydney"/>
    <s v="Jump"/>
    <s v="US"/>
    <s v="62701E3F6532AB6E0A495C4D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linda.le@enthalpy.com"/>
    <s v="enthalpy.com"/>
    <s v="linda.le@enthalpy.com"/>
    <s v="Linda"/>
    <s v="Le"/>
    <s v="US"/>
    <s v="68B41E4A6532C5B40A495E98@038d2aa263c9deeb495fea.e"/>
    <x v="0"/>
    <x v="0"/>
    <x v="0"/>
    <m/>
    <m/>
    <s v="USA - Env Lab - Orange - Operations"/>
    <m/>
    <m/>
    <m/>
    <m/>
    <m/>
    <m/>
    <m/>
    <x v="0"/>
    <x v="0"/>
    <n v="0"/>
    <n v="0"/>
    <n v="0"/>
    <n v="0"/>
    <m/>
  </r>
  <r>
    <s v="Federated ID"/>
    <s v="dablye@montrose-env.com"/>
    <s v="montrose-env.com"/>
    <s v="dablye@montrose-env.com"/>
    <s v="David"/>
    <s v="Blye"/>
    <s v="US"/>
    <s v="177D1BD9653695250A495EBA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saziemer@montrose-env.com"/>
    <s v="montrose-env.com"/>
    <s v="saziemer@montrose-env.com"/>
    <s v="Sarah"/>
    <s v="Ziemer"/>
    <s v="US"/>
    <s v="18FD2C35653699270A495CDF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MarkPoole@montrose-env.com"/>
    <s v="montrose-env.com"/>
    <s v="markpoole@montrose-env.com"/>
    <s v="Mark"/>
    <s v="Poole"/>
    <s v="US"/>
    <s v="3EF807D26537D74E0A495FBA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srkrieger@montrose-env.com"/>
    <s v="montrose-env.com"/>
    <s v="srkrieger@montrose-env.com"/>
    <s v="Shaun"/>
    <s v="Krieger"/>
    <s v="US"/>
    <s v="011F1D5A65384ACF0A495F98@038d2aa263c9deeb495fea.e"/>
    <x v="0"/>
    <x v="0"/>
    <x v="0"/>
    <m/>
    <m/>
    <s v="CAN - OGI - Operations"/>
    <m/>
    <m/>
    <m/>
    <m/>
    <m/>
    <m/>
    <m/>
    <x v="0"/>
    <x v="0"/>
    <n v="0"/>
    <n v="0"/>
    <n v="0"/>
    <n v="0"/>
    <m/>
  </r>
  <r>
    <s v="Federated ID"/>
    <s v="CrFry@montrose-env.com"/>
    <s v="montrose-env.com"/>
    <s v="crfry@montrose-env.com"/>
    <s v="Craig"/>
    <s v="Fry"/>
    <s v="US"/>
    <s v="1CCF5E1A6539657D0A495FDA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shmurphy@montrose-env.com"/>
    <s v="montrose-env.com"/>
    <s v="shmurphy@montrose-env.com"/>
    <s v="Sheldon"/>
    <s v="Murphy"/>
    <s v="US"/>
    <s v="390C73AF653A62A10A495EE4@038d2aa263c9deeb495fea.e"/>
    <x v="1"/>
    <x v="0"/>
    <x v="0"/>
    <m/>
    <m/>
    <s v="USA - Environmental Consulting - Charlottesville - Operations"/>
    <m/>
    <m/>
    <m/>
    <m/>
    <s v="Acrobat Pro (VIPMP - 99C0A3088A102BD9CB4A)"/>
    <m/>
    <m/>
    <x v="81"/>
    <x v="81"/>
    <n v="14.333333333333334"/>
    <n v="0"/>
    <n v="0"/>
    <n v="14.333333333333334"/>
    <n v="1"/>
  </r>
  <r>
    <s v="Federated ID"/>
    <s v="tanoel@montrose-env.com"/>
    <s v="montrose-env.com"/>
    <s v="tanoel@montrose-env.com"/>
    <s v="Tammy"/>
    <s v="Noel"/>
    <s v="US"/>
    <s v="3B433EFB653A6B100A495F88@038d2aa263c9deeb495fea.e"/>
    <x v="1"/>
    <x v="0"/>
    <x v="0"/>
    <m/>
    <m/>
    <s v="USA - Environmental Consulting - Charlottesville - Operations"/>
    <m/>
    <m/>
    <m/>
    <m/>
    <s v="Acrobat Pro (VIPMP - 99C0A3088A102BD9CB4A)"/>
    <m/>
    <m/>
    <x v="81"/>
    <x v="81"/>
    <n v="14.333333333333334"/>
    <n v="0"/>
    <n v="0"/>
    <n v="14.333333333333334"/>
    <n v="1"/>
  </r>
  <r>
    <s v="Federated ID"/>
    <s v="LiOgata@montrose-env.com"/>
    <s v="montrose-env.com"/>
    <s v="liogata@montrose-env.com"/>
    <s v="Liana"/>
    <s v="Ogata"/>
    <s v="US"/>
    <s v="428173B8653A89A20A495FDE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MaNurimba@montrose-env.com"/>
    <s v="montrose-env.com"/>
    <s v="manurimba@montrose-env.com"/>
    <s v="Matthew"/>
    <s v="Nurimba"/>
    <s v="US"/>
    <s v="419164D2653A89A20A495F8B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ToWong@montrose-env.com"/>
    <s v="montrose-env.com"/>
    <s v="towong@montrose-env.com"/>
    <s v="Tony"/>
    <s v="Wong"/>
    <s v="US"/>
    <s v="3E522BE9653A89A30A495C84@038d2aa263c9deeb495fea.e"/>
    <x v="0"/>
    <x v="0"/>
    <x v="0"/>
    <m/>
    <m/>
    <s v="USA - Stack - Santa Ana - Operations"/>
    <m/>
    <m/>
    <m/>
    <m/>
    <m/>
    <m/>
    <m/>
    <x v="0"/>
    <x v="0"/>
    <n v="0"/>
    <n v="0"/>
    <n v="0"/>
    <n v="0"/>
    <m/>
  </r>
  <r>
    <s v="Federated ID"/>
    <s v="GeMunoz@montrose-env.com"/>
    <s v="montrose-env.com"/>
    <s v="gemunoz@montrose-env.com"/>
    <s v="George"/>
    <s v="Munoz"/>
    <s v="US"/>
    <s v="40EC0A1B653A8B240A495C2A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laurengauthier@montrose-env.com"/>
    <s v="montrose-env.com"/>
    <s v="laurengauthier@montrose-env.com"/>
    <s v="Lauren"/>
    <s v="Gauthier"/>
    <s v="US"/>
    <s v="15A81E5F653BB4690A495ED9@038d2aa263c9deeb495fea.e"/>
    <x v="3"/>
    <x v="0"/>
    <x v="0"/>
    <m/>
    <m/>
    <s v="USA - Environmental Consulting - Valley Forge - Sales &amp; Marketing"/>
    <m/>
    <m/>
    <m/>
    <m/>
    <s v="All Apps plan (VIPMP - 99C0A3088A102BD9CB4A)"/>
    <m/>
    <m/>
    <x v="35"/>
    <x v="35"/>
    <n v="82.24"/>
    <n v="0"/>
    <n v="0"/>
    <n v="82.24"/>
    <n v="1"/>
  </r>
  <r>
    <s v="Federated ID"/>
    <s v="summerjeschke-dean@montrose-env.com"/>
    <s v="montrose-env.com"/>
    <s v="summerjeschke-dean@montrose-env.com"/>
    <s v="Summer"/>
    <s v="Jeschke-Dean"/>
    <s v="US"/>
    <s v="1AD41E57653BD8D10A495E9F@038d2aa263c9deeb495fea.e"/>
    <x v="1"/>
    <x v="0"/>
    <x v="0"/>
    <m/>
    <m/>
    <s v="USA - Env Lab - Deer Park - Operations"/>
    <m/>
    <m/>
    <m/>
    <m/>
    <s v="Acrobat Pro (VIPMP - 99C0A3088A102BD9CB4A)"/>
    <m/>
    <m/>
    <x v="80"/>
    <x v="80"/>
    <n v="14.333333333333334"/>
    <n v="0"/>
    <n v="0"/>
    <n v="14.333333333333334"/>
    <n v="1"/>
  </r>
  <r>
    <s v="Federated ID"/>
    <s v="stacey.larson@enthalpy.com"/>
    <s v="enthalpy.com"/>
    <s v="stacey.larson@enthalpy.com"/>
    <s v="Stacey"/>
    <s v="Larson"/>
    <s v="US"/>
    <s v="75471E68653FCAB60A495E27@038d2aa263c9deeb495fea.e"/>
    <x v="1"/>
    <x v="0"/>
    <x v="0"/>
    <m/>
    <m/>
    <s v="USA - Env Lab - Mt Pleasant - Operations"/>
    <m/>
    <m/>
    <m/>
    <m/>
    <s v="Acrobat Pro (VIPMP - 99C0A3088A102BD9CB4A)"/>
    <m/>
    <m/>
    <x v="82"/>
    <x v="82"/>
    <n v="14.333333333333334"/>
    <n v="0"/>
    <n v="0"/>
    <n v="14.333333333333334"/>
    <n v="1"/>
  </r>
  <r>
    <s v="Federated ID"/>
    <s v="paking@montrose-env.com"/>
    <s v="montrose-env.com"/>
    <s v="paking@montrose-env.com"/>
    <s v="Patrick"/>
    <s v="King"/>
    <s v="US"/>
    <s v="74E41E33653FD48D0A495E3F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jlewis@montrose-env.com"/>
    <s v="montrose-env.com"/>
    <s v="jlewis@montrose-env.com"/>
    <s v="Jonathan"/>
    <s v="Lewis"/>
    <s v="US"/>
    <s v="75861E82653FDF8E0A495FF8@038d2aa263c9deeb495fea.e"/>
    <x v="1"/>
    <x v="0"/>
    <x v="0"/>
    <m/>
    <m/>
    <s v="USA - Stack - Gulf Coast - Operations"/>
    <m/>
    <m/>
    <m/>
    <m/>
    <s v="Acrobat Pro (VIPMP - 99C0A3088A102BD9CB4A)"/>
    <m/>
    <m/>
    <x v="60"/>
    <x v="60"/>
    <n v="14.333333333333334"/>
    <n v="0"/>
    <n v="0"/>
    <n v="14.333333333333334"/>
    <n v="1"/>
  </r>
  <r>
    <s v="Federated ID"/>
    <s v="stwansley@montrose-env.com"/>
    <s v="montrose-env.com"/>
    <s v="stephaniewansley@montrose-env.com"/>
    <s v="Stephanie"/>
    <s v="Wansley"/>
    <s v="US"/>
    <s v="7A9B1E34654004120A495FD2@038d2aa263c9deeb495fea.e"/>
    <x v="2"/>
    <x v="0"/>
    <x v="0"/>
    <m/>
    <m/>
    <s v="USA - Advisory Services - Risk Management Solutions - Operations"/>
    <m/>
    <m/>
    <m/>
    <m/>
    <s v="Acrobat Standard DC (VIPMP - 99C0A3088A102BD9CB4A)"/>
    <m/>
    <m/>
    <x v="73"/>
    <x v="73"/>
    <n v="8.6983333333333324"/>
    <n v="0"/>
    <n v="0"/>
    <n v="8.6983333333333324"/>
    <n v="1"/>
  </r>
  <r>
    <s v="Federated ID"/>
    <s v="michaelnash@montrose-env.com"/>
    <s v="montrose-env.com"/>
    <s v="michaelnash@montrose-env.com"/>
    <s v="Michael"/>
    <s v="Nash"/>
    <s v="US"/>
    <s v="79371E77654004260A495ECC@038d2aa263c9deeb495fea.e"/>
    <x v="0"/>
    <x v="0"/>
    <x v="0"/>
    <m/>
    <m/>
    <s v="USA - RNG - Operations"/>
    <m/>
    <m/>
    <m/>
    <m/>
    <m/>
    <m/>
    <m/>
    <x v="0"/>
    <x v="0"/>
    <n v="0"/>
    <n v="0"/>
    <n v="0"/>
    <n v="0"/>
    <m/>
  </r>
  <r>
    <s v="Federated ID"/>
    <s v="magehle@montrose-env.com"/>
    <s v="montrose-env.com"/>
    <s v="magehle@montrose-env.com"/>
    <s v="Mariah"/>
    <s v="Gehle"/>
    <s v="US"/>
    <s v="7B281EC26540046C0A495EEA@038d2aa263c9deeb495fea.e"/>
    <x v="0"/>
    <x v="0"/>
    <x v="0"/>
    <m/>
    <m/>
    <s v="USA - Advisory Services - Sustainability - Operations"/>
    <m/>
    <m/>
    <m/>
    <m/>
    <m/>
    <m/>
    <m/>
    <x v="0"/>
    <x v="0"/>
    <n v="0"/>
    <n v="0"/>
    <n v="0"/>
    <n v="0"/>
    <m/>
  </r>
  <r>
    <s v="Federated ID"/>
    <s v="vkashuba@montrose-env.com"/>
    <s v="montrose-env.com"/>
    <s v="vkashuba@montrose-env.com"/>
    <s v="Vaughn"/>
    <s v="Kashuba"/>
    <s v="US"/>
    <s v="7B9F1E39654006350A495FA1@038d2aa263c9deeb495fea.e"/>
    <x v="1"/>
    <x v="0"/>
    <x v="0"/>
    <m/>
    <m/>
    <s v="USA - Corp - Safety"/>
    <m/>
    <m/>
    <m/>
    <m/>
    <s v="Acrobat Pro (VIPMP - 99C0A3088A102BD9CB4A)"/>
    <m/>
    <m/>
    <x v="74"/>
    <x v="74"/>
    <n v="14.333333333333334"/>
    <n v="0"/>
    <n v="0"/>
    <n v="14.333333333333334"/>
    <n v="1"/>
  </r>
  <r>
    <s v="Federated ID"/>
    <s v="agustinbaccega@montrose-env.com"/>
    <s v="montrose-env.com"/>
    <s v="agustinbaccega@montrose-env.com"/>
    <s v="Agustin"/>
    <s v="Baccega"/>
    <s v="US"/>
    <s v="A1131E3265414A160A495CAC@038d2aa263c9deeb495fea.e"/>
    <x v="0"/>
    <x v="0"/>
    <x v="0"/>
    <m/>
    <m/>
    <s v="USA - Environmental Consulting - Orlando - G&amp;A"/>
    <m/>
    <m/>
    <m/>
    <m/>
    <m/>
    <m/>
    <m/>
    <x v="0"/>
    <x v="0"/>
    <n v="0"/>
    <n v="0"/>
    <n v="0"/>
    <n v="0"/>
    <m/>
  </r>
  <r>
    <s v="Federated ID"/>
    <s v="tbullman@montrose-env.com"/>
    <s v="montrose-env.com"/>
    <s v="tbullman@montrose-env.com"/>
    <s v="Timmerly"/>
    <s v="Bullman"/>
    <s v="US"/>
    <s v="CA061E4B65427B010A495FD5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Federated ID"/>
    <s v="sdonovan@montrose-env.com"/>
    <s v="montrose-env.com"/>
    <s v="sdonovan@montrose-env.com"/>
    <s v="Sean"/>
    <s v="Donovan"/>
    <s v="US"/>
    <s v="CC641E5D654294CA0A495FC7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samuelallen@montrose-env.com"/>
    <s v="montrose-env.com"/>
    <s v="samuelallen@montrose-env.com"/>
    <s v="Samuel"/>
    <s v="Allen"/>
    <s v="US"/>
    <s v="D19F1E566542B0220A495FA8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daniel.forrest@enthalpy.com"/>
    <s v="enthalpy.com"/>
    <s v="daniel.forrest@enthalpy.com"/>
    <s v="Daniel"/>
    <s v="Forrest"/>
    <s v="US"/>
    <s v="1C7E1E8D6543C6C30A495FFC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heatherbell@montrose-env.com"/>
    <s v="montrose-env.com"/>
    <s v="heatherbell@montrose-env.com"/>
    <s v="Heather"/>
    <s v="Bell"/>
    <s v="US"/>
    <s v="1D091E3E6543C6C40A495E72@038d2aa263c9deeb495fea.e"/>
    <x v="0"/>
    <x v="0"/>
    <x v="0"/>
    <m/>
    <m/>
    <s v="USA - Eco Services - Environmental Intelligence - Operations"/>
    <m/>
    <m/>
    <m/>
    <m/>
    <m/>
    <m/>
    <m/>
    <x v="0"/>
    <x v="0"/>
    <n v="0"/>
    <n v="0"/>
    <n v="0"/>
    <n v="0"/>
    <m/>
  </r>
  <r>
    <s v="Federated ID"/>
    <s v="kagill@montrose-env.com"/>
    <s v="montrose-env.com"/>
    <s v="kagill@montrose-env.com"/>
    <s v="Kevin"/>
    <s v="Gill"/>
    <s v="US"/>
    <s v="85761E44654820440A495FA6@038d2aa263c9deeb495fea.e"/>
    <x v="2"/>
    <x v="0"/>
    <x v="0"/>
    <m/>
    <m/>
    <s v="USA - Corp - Executive"/>
    <m/>
    <m/>
    <m/>
    <m/>
    <s v="Acrobat Standard DC (VIPMP - 99C0A3088A102BD9CB4A)"/>
    <m/>
    <m/>
    <x v="37"/>
    <x v="37"/>
    <n v="8.6983333333333324"/>
    <n v="0"/>
    <n v="0"/>
    <n v="8.6983333333333324"/>
    <n v="1"/>
  </r>
  <r>
    <s v="Federated ID"/>
    <s v="jinachung@montrose-env.com"/>
    <s v="montrose-env.com"/>
    <s v="jinachung@montrose-env.com"/>
    <s v="Jina"/>
    <s v="Chung"/>
    <s v="US"/>
    <s v="97C31E496548DEDB0A495E6E@038d2aa263c9deeb495fea.e"/>
    <x v="2"/>
    <x v="0"/>
    <x v="0"/>
    <m/>
    <m/>
    <s v="USA - ECT2 - OH - HR"/>
    <m/>
    <m/>
    <m/>
    <m/>
    <s v="Acrobat Standard DC (VIPMP - 99C0A3088A102BD9CB4A)"/>
    <m/>
    <m/>
    <x v="83"/>
    <x v="83"/>
    <n v="8.6983333333333324"/>
    <n v="0"/>
    <n v="0"/>
    <n v="8.6983333333333324"/>
    <n v="1"/>
  </r>
  <r>
    <s v="Federated ID"/>
    <s v="jalee@montrose-env.com"/>
    <s v="montrose-env.com"/>
    <s v="jalee@montrose-env.com"/>
    <s v="Jane"/>
    <s v="Lee"/>
    <s v="US"/>
    <s v="A25C1E3E654933590A495E72@038d2aa263c9deeb495fea.e"/>
    <x v="0"/>
    <x v="0"/>
    <x v="0"/>
    <m/>
    <m/>
    <s v="USA - Environmental Consulting - Santa Ana (P&amp;C) - Operations"/>
    <m/>
    <m/>
    <m/>
    <m/>
    <m/>
    <m/>
    <m/>
    <x v="0"/>
    <x v="0"/>
    <n v="0"/>
    <n v="0"/>
    <n v="0"/>
    <n v="0"/>
    <m/>
  </r>
  <r>
    <s v="Federated ID"/>
    <s v="dagerard@montrose-env.com"/>
    <s v="montrose-env.com"/>
    <s v="dagerard@montrose-env.com"/>
    <s v="Daniel"/>
    <s v="Gerard"/>
    <s v="US"/>
    <s v="ACA51E3865494F9C0A495C2D@038d2aa263c9deeb495fea.e"/>
    <x v="2"/>
    <x v="0"/>
    <x v="0"/>
    <m/>
    <m/>
    <s v="USA - Corp - Shared Services"/>
    <m/>
    <m/>
    <m/>
    <m/>
    <s v="Acrobat Standard DC (VIPMP - 99C0A3088A102BD9CB4A)"/>
    <m/>
    <m/>
    <x v="65"/>
    <x v="65"/>
    <n v="8.6983333333333324"/>
    <n v="0"/>
    <n v="0"/>
    <n v="8.6983333333333324"/>
    <n v="1"/>
  </r>
  <r>
    <s v="Federated ID"/>
    <s v="adicks@montrose-env.com"/>
    <s v="montrose-env.com"/>
    <s v="adicks@montrose-env.com"/>
    <s v="Allan"/>
    <s v="Dicks"/>
    <s v="US"/>
    <s v="DB921E43654A77030A495E98@038d2aa263c9deeb495fea.e"/>
    <x v="2"/>
    <x v="0"/>
    <x v="0"/>
    <m/>
    <m/>
    <s v="USA - Corp - Executive"/>
    <m/>
    <m/>
    <m/>
    <m/>
    <s v="Acrobat Standard DC (VIPMP - 99C0A3088A102BD9CB4A)"/>
    <m/>
    <m/>
    <x v="37"/>
    <x v="37"/>
    <n v="8.6983333333333324"/>
    <n v="0"/>
    <n v="0"/>
    <n v="8.6983333333333324"/>
    <n v="1"/>
  </r>
  <r>
    <s v="Federated ID"/>
    <s v="apsoni@montrose-env.com"/>
    <s v="montrose-env.com"/>
    <s v="apsoni@montrose-env.com"/>
    <s v="Aparana"/>
    <s v="Soni"/>
    <s v="US"/>
    <s v="27151E2A654BC3E80A495FE9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castelling@montrose-env.com"/>
    <s v="montrose-env.com"/>
    <s v="castelling@montrose-env.com"/>
    <s v="Caroline"/>
    <s v="Stelling"/>
    <s v="US"/>
    <s v="2B741E3C654BCA950A495FD3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pcmiller@montrose-env.com"/>
    <s v="montrose-env.com"/>
    <s v="pcmiller@montrose-env.com"/>
    <s v="Paul"/>
    <s v="Miller"/>
    <s v="US"/>
    <s v="82B21E34654E3C9E0A495C77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markbanner@montrose-env.com"/>
    <s v="montrose-env.com"/>
    <s v="markbanner@montrose-env.com"/>
    <s v="Mark"/>
    <s v="Banner"/>
    <s v="US"/>
    <s v="FBEF1E4F65521BC80A495E77@038d2aa263c9deeb495fea.e"/>
    <x v="1"/>
    <x v="0"/>
    <x v="0"/>
    <m/>
    <m/>
    <s v="USA - Stack - Northeast - Operations"/>
    <m/>
    <m/>
    <m/>
    <m/>
    <s v="Acrobat Pro (VIPMP - 99C0A3088A102BD9CB4A)"/>
    <m/>
    <m/>
    <x v="84"/>
    <x v="84"/>
    <n v="14.333333333333334"/>
    <n v="0"/>
    <n v="0"/>
    <n v="14.333333333333334"/>
    <n v="1"/>
  </r>
  <r>
    <s v="Federated ID"/>
    <s v="changheesong@montrose-env.com"/>
    <s v="montrose-env.com"/>
    <s v="changheesong@montrose-env.com"/>
    <s v="Changhee"/>
    <s v="Song"/>
    <s v="US"/>
    <s v="FCA01E19655253710A495FE6@038d2aa263c9deeb495fea.e"/>
    <x v="0"/>
    <x v="0"/>
    <x v="0"/>
    <m/>
    <m/>
    <s v="USA - Environmental Consulting - Santa Ana (P&amp;C) - Operations"/>
    <m/>
    <m/>
    <m/>
    <m/>
    <m/>
    <m/>
    <m/>
    <x v="0"/>
    <x v="0"/>
    <n v="0"/>
    <n v="0"/>
    <n v="0"/>
    <n v="0"/>
    <m/>
  </r>
  <r>
    <s v="Federated ID"/>
    <s v="crchristensen@montrose-env.com"/>
    <s v="montrose-env.com"/>
    <s v="crchristensen@montrose-env.com"/>
    <s v="Craig"/>
    <s v="Christensen"/>
    <s v="US"/>
    <s v="091C1E156552A0BB0A495FB0@038d2aa263c9deeb495fea.e"/>
    <x v="0"/>
    <x v="0"/>
    <x v="0"/>
    <m/>
    <m/>
    <s v="USA - Corp - Finance"/>
    <m/>
    <m/>
    <m/>
    <m/>
    <m/>
    <m/>
    <m/>
    <x v="0"/>
    <x v="0"/>
    <n v="0"/>
    <n v="0"/>
    <n v="0"/>
    <n v="0"/>
    <m/>
  </r>
  <r>
    <s v="Federated ID"/>
    <s v="dustinwarrington@montrose-env.com"/>
    <s v="montrose-env.com"/>
    <s v="dustinwarrington@montrose-env.com"/>
    <s v="Dustin"/>
    <s v="Warrington"/>
    <s v="US"/>
    <s v="10EC1968655405610A495E66@038d2aa263c9deeb495fea.e"/>
    <x v="0"/>
    <x v="0"/>
    <x v="0"/>
    <m/>
    <m/>
    <s v="USA - Stack - Southeast - Operations"/>
    <m/>
    <m/>
    <m/>
    <m/>
    <m/>
    <m/>
    <m/>
    <x v="0"/>
    <x v="0"/>
    <n v="0"/>
    <n v="0"/>
    <n v="0"/>
    <n v="0"/>
    <m/>
  </r>
  <r>
    <s v="Federated ID"/>
    <s v="echavez@montrose-env.com"/>
    <s v="montrose-env.com"/>
    <s v="echavez@montrose-env.com"/>
    <s v="Eva"/>
    <s v="Chavez"/>
    <s v="US"/>
    <s v="32733C606555267E0A495E09@038d2aa263c9deeb495fea.e"/>
    <x v="1"/>
    <x v="0"/>
    <x v="0"/>
    <m/>
    <m/>
    <s v="USA - Corp - Shared Services"/>
    <m/>
    <m/>
    <m/>
    <m/>
    <s v="Acrobat Pro (VIPMP - 99C0A3088A102BD9CB4A)"/>
    <m/>
    <m/>
    <x v="65"/>
    <x v="65"/>
    <n v="14.333333333333334"/>
    <n v="0"/>
    <n v="0"/>
    <n v="14.333333333333334"/>
    <n v="1"/>
  </r>
  <r>
    <s v="Federated ID"/>
    <s v="frportofe@montrose-env.com"/>
    <s v="montrose-env.com"/>
    <s v="frportofe@montrose-env.com"/>
    <s v="Fred"/>
    <s v="Portofe"/>
    <s v="US"/>
    <s v="374C3ED0655536080A495E8E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shannonspeir@montrose-env.com"/>
    <s v="montrose-env.com"/>
    <s v="shannonspeir@montrose-env.com"/>
    <s v="Shannon"/>
    <s v="Speir"/>
    <s v="US"/>
    <s v="5AEB54FF655660DE0A495FB0@038d2aa263c9deeb495fea.e"/>
    <x v="0"/>
    <x v="0"/>
    <x v="0"/>
    <m/>
    <m/>
    <s v="USA - RNG - Operations"/>
    <m/>
    <m/>
    <m/>
    <m/>
    <m/>
    <m/>
    <m/>
    <x v="0"/>
    <x v="0"/>
    <n v="0"/>
    <n v="0"/>
    <n v="0"/>
    <n v="0"/>
    <m/>
  </r>
  <r>
    <s v="Federated ID"/>
    <s v="brianfarmer@montrose-env.com"/>
    <s v="montrose-env.com"/>
    <s v="brianfarmer@montrose-env.com"/>
    <s v="Brian"/>
    <s v="Farmer"/>
    <s v="US"/>
    <s v="591B51196556666C0A495FE2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bllewis@montrose-env.com"/>
    <s v="montrose-env.com"/>
    <s v="bllewis@montrose-env.com"/>
    <s v="Blake"/>
    <s v="Lewis"/>
    <s v="US"/>
    <s v="7CE064A465578D0D0A495FCC@038d2aa263c9deeb495fea.e"/>
    <x v="0"/>
    <x v="0"/>
    <x v="0"/>
    <m/>
    <m/>
    <s v="USA - Corp - Legal"/>
    <m/>
    <m/>
    <m/>
    <m/>
    <m/>
    <m/>
    <m/>
    <x v="0"/>
    <x v="0"/>
    <n v="0"/>
    <n v="0"/>
    <n v="0"/>
    <n v="0"/>
    <m/>
  </r>
  <r>
    <s v="Federated ID"/>
    <s v="michaelhussey@montrose-env.com"/>
    <s v="montrose-env.com"/>
    <s v="michaelhussey@montrose-env.com"/>
    <s v="Michael"/>
    <s v="Hussey"/>
    <s v="US"/>
    <s v="87B41C4C6557C9C90A495F98@038d2aa263c9deeb495fea.e"/>
    <x v="1"/>
    <x v="0"/>
    <x v="0"/>
    <m/>
    <m/>
    <s v="USA - CTEH - Health Sciences - Operations"/>
    <m/>
    <m/>
    <m/>
    <m/>
    <s v="Acrobat Pro (VIPMP - 99C0A3088A102BD9CB4A)"/>
    <m/>
    <m/>
    <x v="85"/>
    <x v="85"/>
    <n v="14.333333333333334"/>
    <n v="0"/>
    <n v="0"/>
    <n v="14.333333333333334"/>
    <n v="1"/>
  </r>
  <r>
    <s v="Federated ID"/>
    <s v="stdavis@montrose-env.com"/>
    <s v="montrose-env.com"/>
    <s v="stdavis@montrose-env.com"/>
    <s v="Steven"/>
    <s v="Davis"/>
    <s v="US"/>
    <s v="D09A6E13655B986F0A495C16@038d2aa263c9deeb495fea.e"/>
    <x v="0"/>
    <x v="0"/>
    <x v="0"/>
    <m/>
    <m/>
    <s v="USA - Real Time Air - OH - Sales"/>
    <m/>
    <m/>
    <m/>
    <m/>
    <m/>
    <m/>
    <m/>
    <x v="0"/>
    <x v="0"/>
    <n v="0"/>
    <n v="0"/>
    <n v="0"/>
    <n v="0"/>
    <m/>
  </r>
  <r>
    <s v="Federated ID"/>
    <s v="anboxell@montrose-env.com"/>
    <s v="montrose-env.com"/>
    <s v="anboxell@montrose-env.com"/>
    <s v="Andrew"/>
    <s v="Boxell"/>
    <s v="US"/>
    <s v="D1382735655BB0280A495FEA@038d2aa263c9deeb495fea.e"/>
    <x v="1"/>
    <x v="0"/>
    <x v="0"/>
    <m/>
    <m/>
    <s v="USA - Real Time Air - Albuquerque - Operations"/>
    <m/>
    <m/>
    <m/>
    <m/>
    <s v="Acrobat Pro (VIPMP - 99C0A3088A102BD9CB4A)"/>
    <m/>
    <m/>
    <x v="86"/>
    <x v="86"/>
    <n v="14.333333333333334"/>
    <n v="0"/>
    <n v="0"/>
    <n v="14.333333333333334"/>
    <n v="1"/>
  </r>
  <r>
    <s v="Federated ID"/>
    <s v="john.goyette@enthalpy.com"/>
    <s v="enthalpy.com"/>
    <s v="john.goyette@enthalpy.com"/>
    <s v="John"/>
    <s v="Goyette"/>
    <s v="US"/>
    <s v="D1994655655BC3CB0A495CE8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jhamner@montrose-env.com"/>
    <s v="montrose-env.com"/>
    <s v="jhamner@montrose-env.com"/>
    <s v="John"/>
    <s v="Hamner"/>
    <s v="US"/>
    <s v="CE321973655BC8200A495C9A@038d2aa263c9deeb495fea.e"/>
    <x v="1"/>
    <x v="0"/>
    <x v="0"/>
    <m/>
    <m/>
    <s v="USA - Stack - Power Start-Ups - Operations"/>
    <m/>
    <m/>
    <m/>
    <m/>
    <s v="Acrobat Pro (VIPMP - 99C0A3088A102BD9CB4A)"/>
    <m/>
    <m/>
    <x v="24"/>
    <x v="24"/>
    <n v="14.333333333333334"/>
    <n v="0"/>
    <n v="0"/>
    <n v="14.333333333333334"/>
    <n v="1"/>
  </r>
  <r>
    <s v="Federated ID"/>
    <s v="eileenmildenberger@montrose-env.com"/>
    <s v="montrose-env.com"/>
    <s v="eileenmildenberger@montrose-env.com"/>
    <s v="Eileen"/>
    <s v="Mildenberger"/>
    <s v="US"/>
    <s v="EF9D2735655CE92D0A495FEA@038d2aa263c9deeb495fea.e"/>
    <x v="0"/>
    <x v="0"/>
    <x v="0"/>
    <m/>
    <m/>
    <s v="CAN - OGI - Operations"/>
    <m/>
    <m/>
    <m/>
    <m/>
    <m/>
    <m/>
    <m/>
    <x v="0"/>
    <x v="0"/>
    <n v="0"/>
    <n v="0"/>
    <n v="0"/>
    <n v="0"/>
    <m/>
  </r>
  <r>
    <s v="Federated ID"/>
    <s v="martinrosen@montrose-env.com"/>
    <s v="montrose-env.com"/>
    <s v="martinrosen@montrose-env.com"/>
    <s v="Martin"/>
    <s v="Rosen"/>
    <s v="US"/>
    <s v="F67C2462655D26610A495FD3@038d2aa263c9deeb495fea.e"/>
    <x v="0"/>
    <x v="0"/>
    <x v="0"/>
    <m/>
    <m/>
    <s v="USA - Real Time Air - OH - Sales"/>
    <m/>
    <m/>
    <m/>
    <m/>
    <m/>
    <m/>
    <m/>
    <x v="0"/>
    <x v="0"/>
    <n v="0"/>
    <n v="0"/>
    <n v="0"/>
    <n v="0"/>
    <m/>
  </r>
  <r>
    <s v="Federated ID"/>
    <s v="bricebasiliko@montrose-env.com"/>
    <s v="montrose-env.com"/>
    <s v="bricebasiliko@montrose-env.com"/>
    <s v="Brice"/>
    <s v="Basiliko"/>
    <s v="US"/>
    <s v="09E36B31655E08E40A495FFE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ricardorodriguez@montrose-env.com"/>
    <s v="montrose-env.com"/>
    <s v="ricardorodriguez@montrose-env.com"/>
    <s v="Ricardo"/>
    <s v="Rodriguez"/>
    <s v="US"/>
    <s v="ADBC4BD66564C8730A495E77@038d2aa263c9deeb495fea.e"/>
    <x v="0"/>
    <x v="0"/>
    <x v="0"/>
    <m/>
    <m/>
    <s v="USA - LDAR - California - Operations"/>
    <m/>
    <m/>
    <m/>
    <m/>
    <m/>
    <m/>
    <m/>
    <x v="0"/>
    <x v="0"/>
    <n v="0"/>
    <n v="0"/>
    <n v="0"/>
    <n v="0"/>
    <m/>
  </r>
  <r>
    <s v="Federated ID"/>
    <s v="lskow@montrose-env.com"/>
    <s v="montrose-env.com"/>
    <s v="lskow@montrose-env.com"/>
    <s v="Laura"/>
    <s v="Skow"/>
    <s v="US"/>
    <s v="D981477B656645E00A495ED7@038d2aa263c9deeb495fea.e"/>
    <x v="1"/>
    <x v="0"/>
    <x v="0"/>
    <m/>
    <m/>
    <s v="USA - Environmental Consulting - Santa Ana (Rem)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xgonzales@montrose-env.com"/>
    <s v="montrose-env.com"/>
    <s v="xgonzales@montrose-env.com"/>
    <s v="Xavier"/>
    <s v="Gonzales"/>
    <s v="US"/>
    <s v="E1316E13656651370A495C16@038d2aa263c9deeb495fea.e"/>
    <x v="1"/>
    <x v="0"/>
    <x v="0"/>
    <m/>
    <m/>
    <s v="USA - LDAR - California - Operations"/>
    <m/>
    <m/>
    <m/>
    <m/>
    <s v="Acrobat Pro (VIPMP - 99C0A3088A102BD9CB4A)"/>
    <m/>
    <m/>
    <x v="49"/>
    <x v="49"/>
    <n v="14.333333333333334"/>
    <n v="0"/>
    <n v="0"/>
    <n v="14.333333333333334"/>
    <n v="1"/>
  </r>
  <r>
    <s v="Federated ID"/>
    <s v="ssanchez@montrose-env.com"/>
    <s v="montrose-env.com"/>
    <s v="ssanchez@montrose-env.com"/>
    <s v="Sergio"/>
    <s v="Sanchez"/>
    <s v="US"/>
    <s v="E52B595165666F570A495FAB@038d2aa263c9deeb495fea.e"/>
    <x v="1"/>
    <x v="0"/>
    <x v="0"/>
    <m/>
    <m/>
    <s v="USA - Corp - Shared Services"/>
    <m/>
    <m/>
    <m/>
    <m/>
    <s v="Acrobat Pro (VIPMP - 99C0A3088A102BD9CB4A)"/>
    <m/>
    <m/>
    <x v="65"/>
    <x v="65"/>
    <n v="14.333333333333334"/>
    <n v="0"/>
    <n v="0"/>
    <n v="14.333333333333334"/>
    <n v="1"/>
  </r>
  <r>
    <s v="Federated ID"/>
    <s v="pagrimm@montrose-env.com"/>
    <s v="montrose-env.com"/>
    <s v="patrickgrimm@montrose-env.com"/>
    <s v="Patrick"/>
    <s v="Grimm"/>
    <s v="US"/>
    <s v="FFB20B92656775250A495C09@038d2aa263c9deeb495fea.e"/>
    <x v="2"/>
    <x v="0"/>
    <x v="0"/>
    <m/>
    <m/>
    <s v="USA - Advisory Services - Risk Management Solutions - Operations"/>
    <m/>
    <m/>
    <m/>
    <m/>
    <s v="Acrobat Standard DC (VIPMP - 99C0A3088A102BD9CB4A)"/>
    <m/>
    <m/>
    <x v="73"/>
    <x v="73"/>
    <n v="8.6983333333333324"/>
    <n v="0"/>
    <n v="0"/>
    <n v="8.6983333333333324"/>
    <n v="1"/>
  </r>
  <r>
    <s v="Federated ID"/>
    <s v="nawhite@ect2.com"/>
    <s v="ect2.com"/>
    <s v="nawhite@ect2.com"/>
    <s v="Nancy"/>
    <s v="White"/>
    <s v="US"/>
    <s v="087C141A6567A0650A495F9D@038d2aa263c9deeb495fea.e"/>
    <x v="1"/>
    <x v="0"/>
    <x v="0"/>
    <m/>
    <m/>
    <s v="USA - RNG - OH - Finance"/>
    <m/>
    <m/>
    <m/>
    <m/>
    <s v="Acrobat Pro (VIPMP - 99C0A3088A102BD9CB4A)"/>
    <m/>
    <m/>
    <x v="72"/>
    <x v="72"/>
    <n v="14.333333333333334"/>
    <n v="0"/>
    <n v="0"/>
    <n v="14.333333333333334"/>
    <n v="1"/>
  </r>
  <r>
    <s v="Federated ID"/>
    <s v="yvetteyoung@montrose-env.com"/>
    <s v="montrose-env.com"/>
    <s v="yvetteyoung@montrose-env.com"/>
    <s v="Yvette"/>
    <s v="Young"/>
    <s v="US"/>
    <s v="049B103B6567BDCC0A495FBC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fionabroomfield@montrose-env.com"/>
    <s v="montrose-env.com"/>
    <s v="fionabroomfield@montrose-env.com"/>
    <s v="Fiona"/>
    <s v="Broomfield"/>
    <s v="US"/>
    <s v="1D8A64A4656899460A495FCC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dylem@montrose-env.com"/>
    <s v="montrose-env.com"/>
    <s v="dylem@montrose-env.com"/>
    <s v="Dylan"/>
    <s v="Lem"/>
    <s v="US"/>
    <s v="266C0F2C6568BF5D0A495E64@038d2aa263c9deeb495fea.e"/>
    <x v="1"/>
    <x v="0"/>
    <x v="0"/>
    <m/>
    <m/>
    <s v="USA - LDAR - OH - IT"/>
    <m/>
    <m/>
    <m/>
    <m/>
    <s v="Acrobat Pro (VIPMP - 99C0A3088A102BD9CB4A)"/>
    <m/>
    <m/>
    <x v="87"/>
    <x v="87"/>
    <n v="14.333333333333334"/>
    <n v="0"/>
    <n v="0"/>
    <n v="14.333333333333334"/>
    <n v="1"/>
  </r>
  <r>
    <s v="Federated ID"/>
    <s v="rochellmiller@montrose-env.com"/>
    <s v="montrose-env.com"/>
    <s v="rochellmiller@montrose-env.com"/>
    <s v="Rochell"/>
    <s v="Miller"/>
    <s v="US"/>
    <s v="2FD44F636568FCFB0A495EB4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nathanmudry@montrose-env.com"/>
    <s v="montrose-env.com"/>
    <s v="nathanmudry@montrose-env.com"/>
    <s v="Nathan"/>
    <s v="Mudry"/>
    <s v="US"/>
    <s v="03211D786569157F0A495C3E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mitchfosteradmin@montrose-env.com"/>
    <s v="montrose-env.com"/>
    <s v="mitchfosteradmin@montrose-env.com"/>
    <s v="Mitch"/>
    <s v="Foster Admin"/>
    <s v="US"/>
    <s v="037A1D786569192A0A495C3E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dwright@montrose-env.com"/>
    <s v="montrose-env.com"/>
    <s v="dwright@montrose-env.com"/>
    <s v="Dan"/>
    <s v="Wright"/>
    <s v="US"/>
    <s v="1C6B1D7B656A07230A495FB5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marcmajorhaynes@montrose-env.com"/>
    <s v="montrose-env.com"/>
    <s v="marcmajorhaynes@montrose-env.com"/>
    <s v="Marc"/>
    <s v="Major Haynes"/>
    <s v="US"/>
    <s v="23671D51656A406B0A495EE1@038d2aa263c9deeb495fea.e"/>
    <x v="2"/>
    <x v="0"/>
    <x v="0"/>
    <m/>
    <m/>
    <s v="USA - CTEH OH - HR"/>
    <m/>
    <m/>
    <m/>
    <m/>
    <s v="Acrobat Standard DC (VIPMP - 99C0A3088A102BD9CB4A)"/>
    <m/>
    <m/>
    <x v="83"/>
    <x v="83"/>
    <n v="8.6983333333333324"/>
    <n v="0"/>
    <n v="0"/>
    <n v="8.6983333333333324"/>
    <n v="1"/>
  </r>
  <r>
    <s v="Federated ID"/>
    <s v="serome@montrose-env.com"/>
    <s v="montrose-env.com"/>
    <s v="serome@montrose-env.com"/>
    <s v="Sean"/>
    <s v="Rome"/>
    <s v="US"/>
    <s v="26F21D7B656A66700A495FB5@038d2aa263c9deeb495fea.e"/>
    <x v="1"/>
    <x v="0"/>
    <x v="0"/>
    <m/>
    <m/>
    <s v="USA - Environmental Consulting OH - G&amp;A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brianfrewerd@ect2.com"/>
    <s v="ect2.com"/>
    <s v="brianfrewerd@ect2.com"/>
    <s v="Brian"/>
    <s v="Frewerd"/>
    <s v="US"/>
    <s v="26E71D57656A67D00A495C9B@038d2aa263c9deeb495fea.e"/>
    <x v="1"/>
    <x v="0"/>
    <x v="0"/>
    <m/>
    <m/>
    <s v="USA - ECT2 - OH - Sales"/>
    <m/>
    <m/>
    <m/>
    <m/>
    <s v="Acrobat Pro (VIPMP - 99C0A3088A102BD9CB4A)"/>
    <m/>
    <m/>
    <x v="88"/>
    <x v="88"/>
    <n v="14.333333333333334"/>
    <n v="0"/>
    <n v="0"/>
    <n v="14.333333333333334"/>
    <n v="1"/>
  </r>
  <r>
    <s v="Federated ID"/>
    <s v="kfaddis@montrose-env.com"/>
    <s v="montrose-env.com"/>
    <s v="kfaddis@montrose-env.com"/>
    <s v="Keye"/>
    <s v="Faddis"/>
    <s v="US"/>
    <s v="27E61D91656A67D20A495FF3@038d2aa263c9deeb495fea.e"/>
    <x v="3"/>
    <x v="0"/>
    <x v="0"/>
    <m/>
    <m/>
    <s v="USA - Environmental Consulting - Valley Forge - Operations"/>
    <m/>
    <m/>
    <m/>
    <m/>
    <s v="All Apps plan (VIPMP - 99C0A3088A102BD9CB4A)"/>
    <m/>
    <m/>
    <x v="2"/>
    <x v="2"/>
    <n v="82.24"/>
    <n v="0"/>
    <n v="0"/>
    <n v="82.24"/>
    <n v="1"/>
  </r>
  <r>
    <s v="Federated ID"/>
    <s v="alice.delia@enthalpy.com"/>
    <s v="enthalpy.com"/>
    <s v="alice.delia@enthalpy.com"/>
    <s v="Alice"/>
    <s v="Delia"/>
    <s v="US"/>
    <s v="65D51D6E656DF6520A495FA0@038d2aa263c9deeb495fea.e"/>
    <x v="1"/>
    <x v="0"/>
    <x v="0"/>
    <m/>
    <m/>
    <s v="USA - Env Lab - Mt Pleasant - G&amp;A"/>
    <m/>
    <m/>
    <m/>
    <m/>
    <s v="Acrobat Pro (VIPMP - 99C0A3088A102BD9CB4A)"/>
    <m/>
    <m/>
    <x v="89"/>
    <x v="89"/>
    <n v="14.333333333333334"/>
    <n v="0"/>
    <n v="0"/>
    <n v="14.333333333333334"/>
    <n v="1"/>
  </r>
  <r>
    <s v="Federated ID"/>
    <s v="jegonzalez@montrose-env.com"/>
    <s v="montrose-env.com"/>
    <s v="jegonzalez@montrose-env.com"/>
    <s v="Jessica"/>
    <s v="Gonzalez"/>
    <s v="US"/>
    <s v="25E51E52656F75000A495C92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patriciacuomo@montrose-env.com"/>
    <s v="montrose-env.com"/>
    <s v="patriciacuomo@montrose-env.com"/>
    <s v="Patricia"/>
    <s v="Cuomo"/>
    <s v="US"/>
    <s v="45FE1E356570BA130A495FF5@038d2aa263c9deeb495fea.e"/>
    <x v="0"/>
    <x v="0"/>
    <x v="0"/>
    <m/>
    <m/>
    <s v="USA - Real Time Air - OH - Marketing"/>
    <m/>
    <m/>
    <m/>
    <m/>
    <m/>
    <m/>
    <m/>
    <x v="0"/>
    <x v="0"/>
    <n v="0"/>
    <n v="0"/>
    <n v="0"/>
    <n v="0"/>
    <m/>
  </r>
  <r>
    <s v="Federated ID"/>
    <s v="nicholassherwood@montrose-env.com"/>
    <s v="montrose-env.com"/>
    <s v="nicholassherwood@montrose-env.com"/>
    <s v="Nicholas"/>
    <s v="Sherwood"/>
    <s v="US"/>
    <s v="454E1E336570C0E20A495CE7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pamaliro@montrose-env.com"/>
    <s v="montrose-env.com"/>
    <s v="pamaliro@montrose-env.com"/>
    <s v="Patricia"/>
    <s v="Maliro"/>
    <s v="US"/>
    <s v="48231D816570E57F0A495C25@038d2aa263c9deeb495fea.e"/>
    <x v="1"/>
    <x v="0"/>
    <x v="0"/>
    <m/>
    <m/>
    <s v="USA - Real Time Air - Austin - Operations"/>
    <m/>
    <m/>
    <m/>
    <m/>
    <s v="Acrobat Pro (VIPMP - 99C0A3088A102BD9CB4A)"/>
    <m/>
    <m/>
    <x v="90"/>
    <x v="90"/>
    <n v="14.333333333333334"/>
    <n v="0"/>
    <n v="0"/>
    <n v="14.333333333333334"/>
    <n v="1"/>
  </r>
  <r>
    <s v="Federated ID"/>
    <s v="toddakin@montrose-env.com"/>
    <s v="montrose-env.com"/>
    <s v="toddakin@montrose-env.com"/>
    <s v="Todd"/>
    <s v="Akin"/>
    <s v="US"/>
    <s v="4AF91D4E6570F4620A495E27@038d2aa263c9deeb495fea.e"/>
    <x v="1"/>
    <x v="0"/>
    <x v="0"/>
    <m/>
    <m/>
    <s v="USA - Environmental Consulting - Orlando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rdstafford@montrose-env.com"/>
    <s v="montrose-env.com"/>
    <s v="rdstafford@montrose-env.com"/>
    <s v="Raymond"/>
    <s v="Stafford Jr."/>
    <s v="US"/>
    <s v="7A2D1D4B65731D080A495FD3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nwoltkamp@montrose-env.com"/>
    <s v="montrose-env.com"/>
    <s v="nwoltkamp@montrose-env.com"/>
    <s v="Nicholas"/>
    <s v="Woltkamp"/>
    <s v="US"/>
    <s v="84D11D57657379430A495EDF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datucker@ect2.com"/>
    <s v="ect2.com"/>
    <s v="datucker@ect2.com"/>
    <s v="David"/>
    <s v="Tucker"/>
    <s v="US"/>
    <s v="CB2F1EE66577288D0A495E82@038d2aa263c9deeb495fea.e"/>
    <x v="1"/>
    <x v="0"/>
    <x v="0"/>
    <m/>
    <m/>
    <s v="USA - ECT2 - OH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isabellebrewer@montrose-env.com"/>
    <s v="montrose-env.com"/>
    <s v="isabellebrewer@montrose-env.com"/>
    <s v="Isabelle"/>
    <s v="Brewer"/>
    <s v="US"/>
    <s v="D13F1D7B657761290A495FA3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ext-bertross@montrose-env.com"/>
    <s v="montrose-env.com"/>
    <s v="ext-bertross@montrose-env.com"/>
    <s v="Bert"/>
    <s v="Ross"/>
    <s v="US"/>
    <s v="D3221E33657764840A495FAA@038d2aa263c9deeb495fea.e"/>
    <x v="1"/>
    <x v="0"/>
    <x v="0"/>
    <m/>
    <m/>
    <s v="USA - Environmental Consulting - Orlando - G&amp;A"/>
    <m/>
    <m/>
    <m/>
    <m/>
    <s v="Acrobat Pro (VIPMP - 99C0A3088A102BD9CB4A)"/>
    <m/>
    <m/>
    <x v="92"/>
    <x v="92"/>
    <n v="14.333333333333334"/>
    <n v="0"/>
    <n v="0"/>
    <n v="14.333333333333334"/>
    <n v="1"/>
  </r>
  <r>
    <s v="Federated ID"/>
    <s v="carowshan@montrose-env.com"/>
    <s v="montrose-env.com"/>
    <s v="carowshan@montrose-env.com"/>
    <s v="Caroline"/>
    <s v="Rowshan"/>
    <s v="US"/>
    <s v="D42E1D54657783AA0A495FB2@038d2aa263c9deeb495fea.e"/>
    <x v="1"/>
    <x v="0"/>
    <x v="0"/>
    <m/>
    <m/>
    <s v="USA - Advisory Services - Chemistry 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robeegle-renna@montrose-env.com"/>
    <s v="montrose-env.com"/>
    <s v="robeegle-renna@montrose-env.com"/>
    <s v="Robiana"/>
    <s v="Beegle-Renna"/>
    <s v="US"/>
    <s v="DCCD1D576577B0300A495EDF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robert.brunner@montrose-env.com"/>
    <s v="montrose-env.com"/>
    <s v="robert.brunner@montrose-env.com"/>
    <s v="Robert"/>
    <s v="Brunner"/>
    <s v="US"/>
    <s v="EC6C1DA165786DF10A495E6E@038d2aa263c9deeb495fea.e"/>
    <x v="0"/>
    <x v="0"/>
    <x v="0"/>
    <m/>
    <m/>
    <s v="USA - Advisory Services OH - Finance"/>
    <m/>
    <m/>
    <m/>
    <m/>
    <m/>
    <m/>
    <m/>
    <x v="0"/>
    <x v="0"/>
    <n v="0"/>
    <n v="0"/>
    <n v="0"/>
    <n v="0"/>
    <m/>
  </r>
  <r>
    <s v="Federated ID"/>
    <s v="pabeck@montrose-env.com"/>
    <s v="montrose-env.com"/>
    <s v="pabeck@montrose-env.com"/>
    <s v="Paula"/>
    <s v="Beck"/>
    <s v="US"/>
    <s v="F05A1D5965788BEF0A495EB5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jegable@montrose-env.com"/>
    <s v="montrose-env.com"/>
    <s v="jegable@montrose-env.com"/>
    <s v="Jen"/>
    <s v="Gable"/>
    <s v="US"/>
    <s v="F4841E3E65789A300A495FE9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tasteltz@montrose-env.com"/>
    <s v="montrose-env.com"/>
    <s v="tasteltz@montrose-env.com"/>
    <s v="Tanner"/>
    <s v="Steltz"/>
    <s v="US"/>
    <s v="03DE1E246578D82C0A495C39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tephanie.rodriguez@enthalpy.com"/>
    <s v="enthalpy.com"/>
    <s v="stephanie.rodriguez@enthalpy.com"/>
    <s v="Stephanie"/>
    <s v="Rodriguez"/>
    <s v="US"/>
    <s v="FCA71E586578F7750A495C58@038d2aa263c9deeb495fea.e"/>
    <x v="1"/>
    <x v="0"/>
    <x v="0"/>
    <m/>
    <m/>
    <s v="USA - Labs - OH - HR"/>
    <m/>
    <m/>
    <m/>
    <m/>
    <s v="Acrobat Pro (VIPMP - 99C0A3088A102BD9CB4A)"/>
    <m/>
    <m/>
    <x v="20"/>
    <x v="20"/>
    <n v="14.333333333333334"/>
    <n v="0"/>
    <n v="0"/>
    <n v="14.333333333333334"/>
    <n v="1"/>
  </r>
  <r>
    <s v="Federated ID"/>
    <s v="sheryll.flauding@enthalpy.com"/>
    <s v="enthalpy.com"/>
    <s v="sheryll.flauding@enthalpy.com"/>
    <s v="Sheryll"/>
    <s v="Flauding"/>
    <s v="US"/>
    <s v="06E11E376578FD840A495F9F@038d2aa263c9deeb495fea.e"/>
    <x v="1"/>
    <x v="0"/>
    <x v="0"/>
    <m/>
    <m/>
    <s v="USA - Labs - OH - HR"/>
    <m/>
    <m/>
    <m/>
    <m/>
    <s v="Acrobat Pro (VIPMP - 99C0A3088A102BD9CB4A)"/>
    <m/>
    <m/>
    <x v="20"/>
    <x v="20"/>
    <n v="14.333333333333334"/>
    <n v="0"/>
    <n v="0"/>
    <n v="14.333333333333334"/>
    <n v="1"/>
  </r>
  <r>
    <s v="Federated ID"/>
    <s v="ext-carrielledavidson@montrose-env.com"/>
    <s v="montrose-env.com"/>
    <s v="ext-carrielledavidson@montrose-env.com"/>
    <s v="Carrielle"/>
    <s v="Davidson"/>
    <s v="US"/>
    <s v="14731D5A6579BC800A495F8F@038d2aa263c9deeb495fea.e"/>
    <x v="0"/>
    <x v="0"/>
    <x v="0"/>
    <m/>
    <m/>
    <s v="USA - Environmental Consulting - Orlando - G&amp;A"/>
    <m/>
    <m/>
    <m/>
    <m/>
    <m/>
    <m/>
    <m/>
    <x v="0"/>
    <x v="0"/>
    <n v="0"/>
    <n v="0"/>
    <n v="0"/>
    <n v="0"/>
    <m/>
  </r>
  <r>
    <s v="Federated ID"/>
    <s v="jedrummond@montrose-env.com"/>
    <s v="montrose-env.com"/>
    <s v="jedrummond@montrose-env.com"/>
    <s v="Jesse"/>
    <s v="Drummond"/>
    <s v="US"/>
    <s v="217A1D746579FF830A495E92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beadams@montrose-env.com"/>
    <s v="montrose-env.com"/>
    <s v="beadams@montrose-env.com"/>
    <s v="Ben"/>
    <s v="Adams"/>
    <s v="US"/>
    <s v="17DE1D57657A07DD0A495C1C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stsurman@montrose-env.com"/>
    <s v="montrose-env.com"/>
    <s v="stsurman@montrose-env.com"/>
    <s v="Steven"/>
    <s v="Surman"/>
    <s v="US"/>
    <s v="3BB81D79657B3B5F0A495E1B@038d2aa263c9deeb495fea.e"/>
    <x v="1"/>
    <x v="0"/>
    <x v="0"/>
    <m/>
    <m/>
    <s v="USA - Remediation - Northeast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ledupes@montrose-env.com"/>
    <s v="montrose-env.com"/>
    <s v="ledupes@montrose-env.com"/>
    <s v="Lester"/>
    <s v="Dupes"/>
    <s v="US"/>
    <s v="4D321DA1657C45870A495E6E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bwilliams@montrose-env.com"/>
    <s v="montrose-env.com"/>
    <s v="bwilliams@montrose-env.com"/>
    <s v="Blenda"/>
    <s v="Chavez-Williams"/>
    <s v="US"/>
    <s v="9D3B1D7C658099650A495E81@038d2aa263c9deeb495fea.e"/>
    <x v="1"/>
    <x v="0"/>
    <x v="0"/>
    <m/>
    <m/>
    <s v="USA - Corp - Safety"/>
    <m/>
    <m/>
    <m/>
    <m/>
    <s v="Acrobat Pro (VIPMP - 99C0A3088A102BD9CB4A)"/>
    <m/>
    <m/>
    <x v="74"/>
    <x v="74"/>
    <n v="14.333333333333334"/>
    <n v="0"/>
    <n v="0"/>
    <n v="14.333333333333334"/>
    <n v="1"/>
  </r>
  <r>
    <s v="Federated ID"/>
    <s v="kesantiago@montrose-env.com"/>
    <s v="montrose-env.com"/>
    <s v="kesantiago@montrose-env.com"/>
    <s v="Kevin"/>
    <s v="Santiago"/>
    <s v="US"/>
    <s v="C6091D7A6581C3A10A495FA8@038d2aa263c9deeb495fea.e"/>
    <x v="1"/>
    <x v="0"/>
    <x v="0"/>
    <m/>
    <m/>
    <s v="USA - Corp - HR"/>
    <m/>
    <m/>
    <m/>
    <m/>
    <s v="Acrobat Pro (VIPMP - 99C0A3088A102BD9CB4A)"/>
    <m/>
    <m/>
    <x v="29"/>
    <x v="29"/>
    <n v="14.333333333333334"/>
    <n v="0"/>
    <n v="0"/>
    <n v="14.333333333333334"/>
    <n v="1"/>
  </r>
  <r>
    <s v="Federated ID"/>
    <s v="alexa.cross@enthalpy.com"/>
    <s v="enthalpy.com"/>
    <s v="alexa.cross@enthalpy.com"/>
    <s v="Alexa"/>
    <s v="Cross"/>
    <s v="US"/>
    <s v="BD611D816581D76C0A495EF0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jlwaltz@montrose-env.com"/>
    <s v="montrose-env.com"/>
    <s v="jlwaltz@montrose-env.com"/>
    <s v="Jennifer"/>
    <s v="Waltz"/>
    <s v="US"/>
    <s v="E0D01E2F65830C110A495F84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koblaufuss@montrose-env.com"/>
    <s v="montrose-env.com"/>
    <s v="koblaufuss@montrose-env.com"/>
    <s v="Kortney"/>
    <s v="Blaufuss"/>
    <s v="US"/>
    <s v="ECBE1E1B658341090A495FFE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dabarton@montrose-env.com"/>
    <s v="montrose-env.com"/>
    <s v="dabarton@montrose-env.com"/>
    <s v="Darrin"/>
    <s v="Barton"/>
    <s v="US"/>
    <s v="E6F21DA1658358A50A495E6E@038d2aa263c9deeb495fea.e"/>
    <x v="1"/>
    <x v="0"/>
    <x v="0"/>
    <m/>
    <m/>
    <s v="USA - Real Time Air - Austin - Operations"/>
    <m/>
    <m/>
    <m/>
    <m/>
    <s v="Acrobat Pro (VIPMP - 99C0A3088A102BD9CB4A)"/>
    <m/>
    <m/>
    <x v="90"/>
    <x v="90"/>
    <n v="14.333333333333334"/>
    <n v="0"/>
    <n v="0"/>
    <n v="14.333333333333334"/>
    <n v="1"/>
  </r>
  <r>
    <s v="Federated ID"/>
    <s v="avella@montrose-env.com"/>
    <s v="montrose-env.com"/>
    <s v="avella@montrose-env.com"/>
    <s v="Andy"/>
    <s v="Vella"/>
    <s v="US"/>
    <s v="FE6C1E3565847FA60A495FF5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malybeer@montrose-env.com"/>
    <s v="montrose-env.com"/>
    <s v="malybeer@montrose-env.com"/>
    <s v="Mark"/>
    <s v="Lybeer"/>
    <s v="US"/>
    <s v="03541D5B6584B9580A495C85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arjinian@montrose-env.com"/>
    <s v="montrose-env.com"/>
    <s v="arjinian@montrose-env.com"/>
    <s v="Arthur"/>
    <s v="Jinian"/>
    <s v="US"/>
    <s v="180E1E51658582B90A495EBF@038d2aa263c9deeb495fea.e"/>
    <x v="0"/>
    <x v="0"/>
    <x v="0"/>
    <m/>
    <m/>
    <s v="USA - Sensible EDP - OH - Software Development"/>
    <m/>
    <m/>
    <m/>
    <m/>
    <m/>
    <m/>
    <m/>
    <x v="0"/>
    <x v="0"/>
    <n v="0"/>
    <n v="0"/>
    <n v="0"/>
    <n v="0"/>
    <m/>
  </r>
  <r>
    <s v="Federated ID"/>
    <s v="ammartin@montrose-env.com"/>
    <s v="montrose-env.com"/>
    <s v="ammartin@montrose-env.com"/>
    <s v="Ammie"/>
    <s v="Martin"/>
    <s v="US"/>
    <s v="67741E57658B47050A495ED8@038d2aa263c9deeb495fea.e"/>
    <x v="1"/>
    <x v="0"/>
    <x v="0"/>
    <m/>
    <m/>
    <s v="USA - Advisory Services - Chemistry 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stzeiner@montrose-env.com"/>
    <s v="montrose-env.com"/>
    <s v="stzeiner@montrose-env.com"/>
    <s v="Steve"/>
    <s v="Zeiner"/>
    <s v="US"/>
    <s v="63161D5D658B47050A495E8B@038d2aa263c9deeb495fea.e"/>
    <x v="1"/>
    <x v="0"/>
    <x v="0"/>
    <m/>
    <m/>
    <s v="USA - Advisory Services - Chemistry 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jojackson@montrose-env.com"/>
    <s v="montrose-env.com"/>
    <s v="jojackson@montrose-env.com"/>
    <s v="Jonah"/>
    <s v="Jackson"/>
    <s v="US"/>
    <s v="74391E32658B47060A495E2B@038d2aa263c9deeb495fea.e"/>
    <x v="0"/>
    <x v="0"/>
    <x v="0"/>
    <m/>
    <m/>
    <s v="USA - Environmental Consulting - Charlottesville - Operations"/>
    <m/>
    <m/>
    <m/>
    <m/>
    <m/>
    <m/>
    <m/>
    <x v="0"/>
    <x v="0"/>
    <n v="0"/>
    <n v="0"/>
    <n v="0"/>
    <n v="0"/>
    <m/>
  </r>
  <r>
    <s v="Federated ID"/>
    <s v="belanders@montrose-env.com"/>
    <s v="montrose-env.com"/>
    <s v="belanders@montrose-env.com"/>
    <s v="Benjamin"/>
    <s v="Landers"/>
    <s v="US"/>
    <s v="66EA1E56658B47060A495C83@038d2aa263c9deeb495fea.e"/>
    <x v="0"/>
    <x v="0"/>
    <x v="0"/>
    <m/>
    <m/>
    <s v="USA - Environmental Consulting - Charlottesville - Operations"/>
    <m/>
    <m/>
    <m/>
    <m/>
    <m/>
    <m/>
    <m/>
    <x v="0"/>
    <x v="0"/>
    <n v="0"/>
    <n v="0"/>
    <n v="0"/>
    <n v="0"/>
    <m/>
  </r>
  <r>
    <s v="Federated ID"/>
    <s v="toweinmann@montrose-env.com"/>
    <s v="montrose-env.com"/>
    <s v="toweinmann@montrose-env.com"/>
    <s v="Tom"/>
    <s v="Weinmann"/>
    <s v="US"/>
    <s v="68041D5B658B47060A495C85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mahaslett@montrose-env.com"/>
    <s v="montrose-env.com"/>
    <s v="mahaslett@montrose-env.com"/>
    <s v="Mark"/>
    <s v="Haslett"/>
    <s v="US"/>
    <s v="6ED81E2F658B47080A495FF8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hepaul@montrose-env.com"/>
    <s v="montrose-env.com"/>
    <s v="hepaul@montrose-env.com"/>
    <s v="Heather"/>
    <s v="Paul"/>
    <s v="US"/>
    <s v="6AA91D56658B47080A495EA5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kaoelschlager@montrose-env.com"/>
    <s v="montrose-env.com"/>
    <s v="kaoelschlager@montrose-env.com"/>
    <s v="Karen"/>
    <s v="Oelschlager"/>
    <s v="US"/>
    <s v="69301D7B658B47080A495CF1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jokraycik@montrose-env.com"/>
    <s v="montrose-env.com"/>
    <s v="jokraycik@montrose-env.com"/>
    <s v="Joe"/>
    <s v="Kraycik"/>
    <s v="US"/>
    <s v="6F6D1E2E658B47080A495F8B@038d2aa263c9deeb495fea.e"/>
    <x v="0"/>
    <x v="0"/>
    <x v="0"/>
    <m/>
    <m/>
    <s v="USA - Environmental Consulting - Valley Forge - Operations"/>
    <m/>
    <m/>
    <m/>
    <m/>
    <m/>
    <m/>
    <m/>
    <x v="0"/>
    <x v="0"/>
    <n v="0"/>
    <n v="0"/>
    <n v="0"/>
    <n v="0"/>
    <m/>
  </r>
  <r>
    <s v="Federated ID"/>
    <s v="bemcmillan@montrose-env.com"/>
    <s v="montrose-env.com"/>
    <s v="bemcmillan@montrose-env.com"/>
    <s v="Benjamin"/>
    <s v="McMillan"/>
    <s v="US"/>
    <s v="62851D81658B47090A495EF0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kemorton@montrose-env.com"/>
    <s v="montrose-env.com"/>
    <s v="kemorton@montrose-env.com"/>
    <s v="Kelsey"/>
    <s v="Morton"/>
    <s v="US"/>
    <s v="67641D81658B470A0A495C25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stlein@montrose-env.com"/>
    <s v="montrose-env.com"/>
    <s v="stlein@montrose-env.com"/>
    <s v="Stephanie"/>
    <s v="Lein"/>
    <s v="US"/>
    <s v="725D1D7A658B470B0A495FA8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alreed@montrose-env.com"/>
    <s v="montrose-env.com"/>
    <s v="alreed@montrose-env.com"/>
    <s v="Alyssa"/>
    <s v="Reed"/>
    <s v="US"/>
    <s v="725E1D7A658B470B0A495FA8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deaungst@montrose-env.com"/>
    <s v="montrose-env.com"/>
    <s v="deaungst@montrose-env.com"/>
    <s v="DeAnna"/>
    <s v="Aungst"/>
    <s v="US"/>
    <s v="6F2F1D53658B470B0A495EAD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kapodufalski@montrose-env.com"/>
    <s v="montrose-env.com"/>
    <s v="kapodufalski@montrose-env.com"/>
    <s v="Kate"/>
    <s v="Podufalski"/>
    <s v="US"/>
    <s v="63B91D52658B470C0A495E74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nidinenna@montrose-env.com"/>
    <s v="montrose-env.com"/>
    <s v="nidinenna@montrose-env.com"/>
    <s v="Nicole"/>
    <s v="DiNenna"/>
    <s v="US"/>
    <s v="37F31DA4658B470C0A495F8A@038d2aa263c9deeb495fea.e"/>
    <x v="1"/>
    <x v="0"/>
    <x v="0"/>
    <m/>
    <m/>
    <s v="USA - Advisory Services - Chemistry - Operations"/>
    <m/>
    <m/>
    <m/>
    <m/>
    <s v="Acrobat Pro (VIPMP - 99C0A3088A102BD9CB4A)"/>
    <m/>
    <m/>
    <x v="93"/>
    <x v="93"/>
    <n v="14.333333333333334"/>
    <n v="0"/>
    <n v="0"/>
    <n v="14.333333333333334"/>
    <n v="1"/>
  </r>
  <r>
    <s v="Federated ID"/>
    <s v="jaacker@montrose-env.com"/>
    <s v="montrose-env.com"/>
    <s v="jaacker@montrose-env.com"/>
    <s v="Jared"/>
    <s v="Acker"/>
    <s v="US"/>
    <s v="6B061E2F658B470D0A495F84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jejensen@montrose-env.com"/>
    <s v="montrose-env.com"/>
    <s v="jejensen@montrose-env.com"/>
    <s v="Jessica"/>
    <s v="Jensen"/>
    <s v="US"/>
    <s v="6E0A1D50658B470D0A495FCD@038d2aa263c9deeb495fea.e"/>
    <x v="0"/>
    <x v="0"/>
    <x v="0"/>
    <m/>
    <m/>
    <s v="USA - Advisory Services OH - Finance"/>
    <m/>
    <m/>
    <m/>
    <m/>
    <m/>
    <m/>
    <m/>
    <x v="0"/>
    <x v="0"/>
    <n v="0"/>
    <n v="0"/>
    <n v="0"/>
    <n v="0"/>
    <m/>
  </r>
  <r>
    <s v="Federated ID"/>
    <s v="miwaldman@montrose-env.com"/>
    <s v="montrose-env.com"/>
    <s v="miwaldman@montrose-env.com"/>
    <s v="Miranda"/>
    <s v="Waldman"/>
    <s v="US"/>
    <s v="74AF1E37658B470D0A495F9F@038d2aa263c9deeb495fea.e"/>
    <x v="0"/>
    <x v="0"/>
    <x v="0"/>
    <m/>
    <m/>
    <s v="USA - Environmental Consulting - Valley Forge - Operations"/>
    <m/>
    <m/>
    <m/>
    <m/>
    <m/>
    <m/>
    <m/>
    <x v="0"/>
    <x v="0"/>
    <n v="0"/>
    <n v="0"/>
    <n v="0"/>
    <n v="0"/>
    <m/>
  </r>
  <r>
    <s v="Federated ID"/>
    <s v="abbossbaly@montrose-env.com"/>
    <s v="montrose-env.com"/>
    <s v="abbossbaly@montrose-env.com"/>
    <s v="Abigail"/>
    <s v="Bossbaly"/>
    <s v="US"/>
    <s v="6F6E1E2E658B470E0A495F8B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migreen@montrose-env.com"/>
    <s v="montrose-env.com"/>
    <s v="migreen@montrose-env.com"/>
    <s v="Mike"/>
    <s v="Green"/>
    <s v="US"/>
    <s v="68A41D55658B470E0A495FD9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brdunphy@montrose-env.com"/>
    <s v="montrose-env.com"/>
    <s v="brdunphy@montrose-env.com"/>
    <s v="Brett"/>
    <s v="Dunphy"/>
    <s v="US"/>
    <s v="6AD61E40658B470F0A495FE3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losanderson@montrose-env.com"/>
    <s v="montrose-env.com"/>
    <s v="losanderson@montrose-env.com"/>
    <s v="Louis"/>
    <s v="Sanderson"/>
    <s v="US"/>
    <s v="6C181E3E658B470F0A495FE9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gayakub@montrose-env.com"/>
    <s v="montrose-env.com"/>
    <s v="gayakub@montrose-env.com"/>
    <s v="Gary"/>
    <s v="Yakub"/>
    <s v="US"/>
    <s v="6AAB1D56658B470F0A495EA5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pahickman@montrose-env.com"/>
    <s v="montrose-env.com"/>
    <s v="pahickman@montrose-env.com"/>
    <s v="Patty"/>
    <s v="Hickman"/>
    <s v="US"/>
    <s v="64251E4E658B470F0A495E48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stlennon@montrose-env.com"/>
    <s v="montrose-env.com"/>
    <s v="stlennon@montrose-env.com"/>
    <s v="Steve"/>
    <s v="Lennon"/>
    <s v="US"/>
    <s v="646C1EA6658B47100A495C7E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dwhoster@montrose-env.com"/>
    <s v="montrose-env.com"/>
    <s v="dwhoster@montrose-env.com"/>
    <s v="Dwight"/>
    <s v="Hoster"/>
    <s v="US"/>
    <s v="6D7D1D57658B47100A495EDF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memichell@montrose-env.com"/>
    <s v="montrose-env.com"/>
    <s v="memichell@montrose-env.com"/>
    <s v="Meg"/>
    <s v="Michell"/>
    <s v="US"/>
    <s v="66EC1E56658B47110A495C83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divlahogiani@montrose-env.com"/>
    <s v="montrose-env.com"/>
    <s v="divlahogiani@montrose-env.com"/>
    <s v="Dina"/>
    <s v="Vlahogiani"/>
    <s v="US"/>
    <s v="6C281E5C658B47110A495CC4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rovitale@montrose-env.com"/>
    <s v="montrose-env.com"/>
    <s v="rovitale@montrose-env.com"/>
    <s v="Rock"/>
    <s v="Vitale"/>
    <s v="US"/>
    <s v="6D4A1D4E658B47110A495E27@038d2aa263c9deeb495fea.e"/>
    <x v="1"/>
    <x v="0"/>
    <x v="0"/>
    <m/>
    <m/>
    <s v="USA - Corp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amcover@montrose-env.com"/>
    <s v="montrose-env.com"/>
    <s v="amcover@montrose-env.com"/>
    <s v="Amanda"/>
    <s v="Cover"/>
    <s v="US"/>
    <s v="65E61D7C658B47120A495E7F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brbelding@montrose-env.com"/>
    <s v="montrose-env.com"/>
    <s v="brbelding@montrose-env.com"/>
    <s v="Bradley"/>
    <s v="Belding"/>
    <s v="US"/>
    <s v="6D811D57658B47120A495EDF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shdrummond@montrose-env.com"/>
    <s v="montrose-env.com"/>
    <s v="shdrummond@montrose-env.com"/>
    <s v="Sharon"/>
    <s v="Drummond"/>
    <s v="US"/>
    <s v="67641E2A658B47130A495CAC@038d2aa263c9deeb495fea.e"/>
    <x v="1"/>
    <x v="0"/>
    <x v="0"/>
    <m/>
    <m/>
    <s v="USA - Environmental Consulting - Charlottesville - Operations"/>
    <m/>
    <m/>
    <m/>
    <m/>
    <s v="Acrobat Pro (VIPMP - 99C0A3088A102BD9CB4A)"/>
    <m/>
    <m/>
    <x v="81"/>
    <x v="81"/>
    <n v="14.333333333333334"/>
    <n v="0"/>
    <n v="0"/>
    <n v="14.333333333333334"/>
    <n v="1"/>
  </r>
  <r>
    <s v="Federated ID"/>
    <s v="kakelly@montrose-env.com"/>
    <s v="montrose-env.com"/>
    <s v="kakelly@montrose-env.com"/>
    <s v="Katelyn"/>
    <s v="Kelly"/>
    <s v="US"/>
    <s v="6A121D57658B47130A495C1C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apmartinez@montrose-env.com"/>
    <s v="montrose-env.com"/>
    <s v="apmartinez@montrose-env.com"/>
    <s v="April"/>
    <s v="Martinez"/>
    <s v="US"/>
    <s v="753C1E86658B47140A495F91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kastarr@montrose-env.com"/>
    <s v="montrose-env.com"/>
    <s v="kastarr@montrose-env.com"/>
    <s v="Katie"/>
    <s v="Starr"/>
    <s v="US"/>
    <s v="6A561E2E658B47140A495C24@038d2aa263c9deeb495fea.e"/>
    <x v="1"/>
    <x v="0"/>
    <x v="0"/>
    <m/>
    <m/>
    <s v="USA - Advisory Services - Chemistry - Operations"/>
    <m/>
    <m/>
    <m/>
    <m/>
    <s v="Acrobat Pro (VIPMP - 99C0A3088A102BD9CB4A)"/>
    <m/>
    <m/>
    <x v="93"/>
    <x v="93"/>
    <n v="14.333333333333334"/>
    <n v="0"/>
    <n v="0"/>
    <n v="14.333333333333334"/>
    <n v="1"/>
  </r>
  <r>
    <s v="Federated ID"/>
    <s v="mimorrisson@montrose-env.com"/>
    <s v="montrose-env.com"/>
    <s v="mimorrisson@montrose-env.com"/>
    <s v="Michael"/>
    <s v="Morrisson"/>
    <s v="US"/>
    <s v="63911D78658B47140A495EB3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patravers@montrose-env.com"/>
    <s v="montrose-env.com"/>
    <s v="patravers@montrose-env.com"/>
    <s v="Patrick"/>
    <s v="Travers"/>
    <s v="US"/>
    <s v="74BC1E5C658B47150A495C23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kassidyhooper@montrose-env.com"/>
    <s v="montrose-env.com"/>
    <s v="kassidyhooper@montrose-env.com"/>
    <s v="Kassidy"/>
    <s v="Hooper"/>
    <s v="US"/>
    <s v="74B11E37658B47160A495F9F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jomanners@montrose-env.com"/>
    <s v="montrose-env.com"/>
    <s v="jomanners@montrose-env.com"/>
    <s v="Joelle"/>
    <s v="Manners"/>
    <s v="US"/>
    <s v="743D1E32658B47160A495E2B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dakulaw@montrose-env.com"/>
    <s v="montrose-env.com"/>
    <s v="dakulaw@montrose-env.com"/>
    <s v="Dannielle"/>
    <s v="Kulaw"/>
    <s v="US"/>
    <s v="66ED1E56658B47160A495C83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shgilday@montrose-env.com"/>
    <s v="montrose-env.com"/>
    <s v="shgilday@montrose-env.com"/>
    <s v="Shaun"/>
    <s v="Gilday"/>
    <s v="US"/>
    <s v="743E1E32658B47170A495E2B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adcasto@montrose-env.com"/>
    <s v="montrose-env.com"/>
    <s v="adcasto@montrose-env.com"/>
    <s v="Addison"/>
    <s v="Casto"/>
    <s v="US"/>
    <s v="63921D78658B47170A495EB3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lwebb@montrose-env.com"/>
    <s v="montrose-env.com"/>
    <s v="lwebb@montrose-env.com"/>
    <s v="Lauren"/>
    <s v="Webb"/>
    <s v="US"/>
    <s v="6ED91E2F658B47170A495FF8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relenz@montrose-env.com"/>
    <s v="montrose-env.com"/>
    <s v="relenz@montrose-env.com"/>
    <s v="Rebecca"/>
    <s v="Lenz"/>
    <s v="US"/>
    <s v="655C1E54658B47180A495E52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helord@montrose-env.com"/>
    <s v="montrose-env.com"/>
    <s v="helord@montrose-env.com"/>
    <s v="Heather"/>
    <s v="Lord"/>
    <s v="US"/>
    <s v="66EE1E56658B47180A495C83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doujones@montrose-env.com"/>
    <s v="montrose-env.com"/>
    <s v="doujones@montrose-env.com"/>
    <s v="Douglas"/>
    <s v="Jones"/>
    <s v="US"/>
    <s v="6A571E2E658B47180A495C24@038d2aa263c9deeb495fea.e"/>
    <x v="1"/>
    <x v="0"/>
    <x v="0"/>
    <m/>
    <m/>
    <s v="USA - Environmental Consulting - Charlottesville - Operations"/>
    <m/>
    <m/>
    <m/>
    <m/>
    <s v="Acrobat Pro (VIPMP - 99C0A3088A102BD9CB4A)"/>
    <m/>
    <m/>
    <x v="81"/>
    <x v="81"/>
    <n v="14.333333333333334"/>
    <n v="0"/>
    <n v="0"/>
    <n v="14.333333333333334"/>
    <n v="1"/>
  </r>
  <r>
    <s v="Federated ID"/>
    <s v="noneubert@montrose-env.com"/>
    <s v="montrose-env.com"/>
    <s v="noneubert@montrose-env.com"/>
    <s v="Noah"/>
    <s v="Neubert"/>
    <s v="US"/>
    <s v="81A21D74658C38330A495E92@038d2aa263c9deeb495fea.e"/>
    <x v="1"/>
    <x v="0"/>
    <x v="0"/>
    <m/>
    <m/>
    <s v="USA - Stack - Northeast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brjavorka@montrose-env.com"/>
    <s v="montrose-env.com"/>
    <s v="brjavorka@montrose-env.com"/>
    <s v="Brittney"/>
    <s v="Javorka"/>
    <s v="US"/>
    <s v="A4A21E86658DD6C40A495F91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jrevuelta@montrose-env.com"/>
    <s v="montrose-env.com"/>
    <s v="jrevuelta@montrose-env.com"/>
    <s v="Jose"/>
    <s v="Revuelta"/>
    <s v="US"/>
    <s v="AC881D72658E08D30A495FA1@038d2aa263c9deeb495fea.e"/>
    <x v="1"/>
    <x v="0"/>
    <x v="0"/>
    <m/>
    <m/>
    <s v="USA - Corp - Executive"/>
    <m/>
    <m/>
    <m/>
    <m/>
    <s v="Acrobat Pro (VIPMP - 99C0A3088A102BD9CB4A)"/>
    <m/>
    <m/>
    <x v="37"/>
    <x v="37"/>
    <n v="14.333333333333334"/>
    <n v="0"/>
    <n v="0"/>
    <n v="14.333333333333334"/>
    <n v="1"/>
  </r>
  <r>
    <s v="Federated ID"/>
    <s v="ameyles@montrose-env.com"/>
    <s v="montrose-env.com"/>
    <s v="ameyles@montrose-env.com"/>
    <s v="Ashley"/>
    <s v="Eyles"/>
    <s v="US"/>
    <s v="B6771D50658F565D0A495FCD@038d2aa263c9deeb495fea.e"/>
    <x v="0"/>
    <x v="0"/>
    <x v="0"/>
    <m/>
    <m/>
    <s v="USA - ECT2 - OH - Marketing"/>
    <m/>
    <m/>
    <m/>
    <m/>
    <m/>
    <m/>
    <m/>
    <x v="0"/>
    <x v="0"/>
    <n v="0"/>
    <n v="0"/>
    <n v="0"/>
    <n v="0"/>
    <m/>
  </r>
  <r>
    <s v="Federated ID"/>
    <s v="edcapozzi@montrose-env.com"/>
    <s v="montrose-env.com"/>
    <s v="edcapozzi@montrose-env.com"/>
    <s v="Edward"/>
    <s v="Capozzi"/>
    <s v="US"/>
    <s v="F4DB1D7B65940DBF0A495CF1@038d2aa263c9deeb495fea.e"/>
    <x v="1"/>
    <x v="0"/>
    <x v="0"/>
    <m/>
    <m/>
    <s v="USA - LDAR - OH - Sales"/>
    <m/>
    <m/>
    <m/>
    <m/>
    <s v="Acrobat Pro (VIPMP - 99C0A3088A102BD9CB4A)"/>
    <m/>
    <m/>
    <x v="94"/>
    <x v="94"/>
    <n v="14.333333333333334"/>
    <n v="0"/>
    <n v="0"/>
    <n v="14.333333333333334"/>
    <n v="1"/>
  </r>
  <r>
    <s v="Federated ID"/>
    <s v="vmanthripragada@montrose-env.com"/>
    <s v="montrose-env.com"/>
    <s v="vmanthripragada@montrose-env.com"/>
    <s v="Vijay"/>
    <s v="Manthripragada"/>
    <s v="US"/>
    <s v="F7201E2C6594226F0A495C0B@038d2aa263c9deeb495fea.e"/>
    <x v="1"/>
    <x v="0"/>
    <x v="0"/>
    <m/>
    <m/>
    <s v="USA - Corp - Executive"/>
    <m/>
    <m/>
    <m/>
    <m/>
    <s v="Acrobat Pro (VIPMP - 99C0A3088A102BD9CB4A)"/>
    <m/>
    <m/>
    <x v="37"/>
    <x v="37"/>
    <n v="14.333333333333334"/>
    <n v="0"/>
    <n v="0"/>
    <n v="14.333333333333334"/>
    <n v="1"/>
  </r>
  <r>
    <s v="Federated ID"/>
    <s v="patrickrohrbough@montrose-env.com"/>
    <s v="montrose-env.com"/>
    <s v="patrickrohrbough@montrose-env.com"/>
    <s v="Patrick"/>
    <s v="Rohrbough"/>
    <s v="US"/>
    <s v="F7C11D5165942F340A495C1D@038d2aa263c9deeb495fea.e"/>
    <x v="0"/>
    <x v="0"/>
    <x v="0"/>
    <m/>
    <m/>
    <s v="USA - Environmental Consulting - Valley Forge - Operations"/>
    <m/>
    <m/>
    <m/>
    <m/>
    <m/>
    <m/>
    <m/>
    <x v="0"/>
    <x v="0"/>
    <n v="0"/>
    <n v="0"/>
    <n v="0"/>
    <n v="0"/>
    <m/>
  </r>
  <r>
    <s v="Federated ID"/>
    <s v="isabellasantarsieri@montrose-env.com"/>
    <s v="montrose-env.com"/>
    <s v="isabellasantarsieri@montrose-env.com"/>
    <s v="Isabella"/>
    <s v="Santarsieri"/>
    <s v="US"/>
    <s v="07AF1D50659448070A495FC9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dbailey@montrose-env.com"/>
    <s v="montrose-env.com"/>
    <s v="dbailey@montrose-env.com"/>
    <s v="Donna"/>
    <s v="Bailey"/>
    <s v="US"/>
    <s v="13D31D4B659575340A495FD3@038d2aa263c9deeb495fea.e"/>
    <x v="0"/>
    <x v="0"/>
    <x v="0"/>
    <m/>
    <m/>
    <s v="USA - Stack - OH - HR"/>
    <m/>
    <m/>
    <m/>
    <m/>
    <m/>
    <m/>
    <m/>
    <x v="0"/>
    <x v="0"/>
    <n v="0"/>
    <n v="0"/>
    <n v="0"/>
    <n v="0"/>
    <m/>
  </r>
  <r>
    <s v="Federated ID"/>
    <s v="MMaier@Montrose-env.com"/>
    <s v="montrose-env.com"/>
    <s v="mmaier@montrose-env.com"/>
    <s v="Martha"/>
    <s v="Maier"/>
    <s v="US"/>
    <s v="315A1D806595D04D0A495FAE@038d2aa263c9deeb495fea.e"/>
    <x v="0"/>
    <x v="0"/>
    <x v="0"/>
    <m/>
    <m/>
    <s v="USA - Corp - Sales"/>
    <m/>
    <m/>
    <m/>
    <m/>
    <m/>
    <m/>
    <m/>
    <x v="0"/>
    <x v="0"/>
    <n v="0"/>
    <n v="0"/>
    <n v="0"/>
    <n v="0"/>
    <m/>
  </r>
  <r>
    <s v="Federated ID"/>
    <s v="annalmonte@montrose-env.com"/>
    <s v="montrose-env.com"/>
    <s v="annalmonte@montrose-env.com"/>
    <s v="Ann"/>
    <s v="Almonte"/>
    <s v="US"/>
    <s v="24BF1733659754500A495EEF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kylemoore@montrose-env.com"/>
    <s v="montrose-env.com"/>
    <s v="kylemoore@montrose-env.com"/>
    <s v="Kyle"/>
    <s v="Moore"/>
    <s v="US"/>
    <s v="88510E69659BFFD50A495FB6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wilambourn@montrose-env.com"/>
    <s v="montrose-env.com"/>
    <s v="wilambourn@montrose-env.com"/>
    <s v="William"/>
    <s v="Lambourn"/>
    <s v="US"/>
    <s v="8B871D48659C1C420A495EB7@038d2aa263c9deeb495fea.e"/>
    <x v="1"/>
    <x v="0"/>
    <x v="0"/>
    <m/>
    <m/>
    <s v="USA - Stack - OH - G&amp;A"/>
    <m/>
    <m/>
    <m/>
    <m/>
    <s v="Acrobat Pro (VIPMP - 99C0A3088A102BD9CB4A)"/>
    <m/>
    <m/>
    <x v="24"/>
    <x v="24"/>
    <n v="14.333333333333334"/>
    <n v="0"/>
    <n v="0"/>
    <n v="14.333333333333334"/>
    <n v="1"/>
  </r>
  <r>
    <s v="Federated ID"/>
    <s v="sefarrell@montrose-env.com"/>
    <s v="montrose-env.com"/>
    <s v="sefarrell@montrose-env.com"/>
    <s v="Sean"/>
    <s v="Farrell"/>
    <s v="US"/>
    <s v="91EF1809659C42420A495CFB@038d2aa263c9deeb495fea.e"/>
    <x v="1"/>
    <x v="0"/>
    <x v="0"/>
    <m/>
    <m/>
    <s v="USA - Corp - Legal"/>
    <m/>
    <m/>
    <m/>
    <m/>
    <s v="Acrobat Pro (VIPMP - 99C0A3088A102BD9CB4A)"/>
    <m/>
    <m/>
    <x v="45"/>
    <x v="45"/>
    <n v="14.333333333333334"/>
    <n v="0"/>
    <n v="0"/>
    <n v="14.333333333333334"/>
    <n v="1"/>
  </r>
  <r>
    <s v="Federated ID"/>
    <s v="taylor.nasu@enthalpy.com"/>
    <s v="enthalpy.com"/>
    <s v="taylor.nasu@enthalpy.com"/>
    <s v="Taylor"/>
    <s v="Nasu"/>
    <s v="US"/>
    <s v="98370EBC659C7BDC0A495E95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limiller@montrose-env.com"/>
    <s v="montrose-env.com"/>
    <s v="limiller@montrose-env.com"/>
    <s v="Lisa"/>
    <s v="Miller"/>
    <s v="US"/>
    <s v="C1130E7A659D8B080A495C62@038d2aa263c9deeb495fea.e"/>
    <x v="1"/>
    <x v="0"/>
    <x v="0"/>
    <m/>
    <m/>
    <s v="USA - Corp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lorynboorstein@montrose-env.com"/>
    <s v="montrose-env.com"/>
    <s v="lorynboorstein@montrose-env.com"/>
    <s v="Loryn"/>
    <s v="Boorstein"/>
    <s v="US"/>
    <s v="C4EA14E5659D96380A495FFB@038d2aa263c9deeb495fea.e"/>
    <x v="0"/>
    <x v="0"/>
    <x v="0"/>
    <m/>
    <m/>
    <s v="USA - Sensible EDP - Denver - Operations"/>
    <m/>
    <m/>
    <m/>
    <m/>
    <m/>
    <m/>
    <m/>
    <x v="0"/>
    <x v="0"/>
    <n v="0"/>
    <n v="0"/>
    <n v="0"/>
    <n v="0"/>
    <m/>
  </r>
  <r>
    <s v="Federated ID"/>
    <s v="philipalia@montrose-env.com"/>
    <s v="montrose-env.com"/>
    <s v="philipalia@montrose-env.com"/>
    <s v="Philip"/>
    <s v="Alia"/>
    <s v="US"/>
    <s v="05AE1D07659FF0C40A495FBE@038d2aa263c9deeb495fea.e"/>
    <x v="1"/>
    <x v="0"/>
    <x v="0"/>
    <m/>
    <m/>
    <s v="USA - ECT2 - OH - Marketing"/>
    <m/>
    <m/>
    <m/>
    <m/>
    <s v="Acrobat Pro (VIPMP - 99C0A3088A102BD9CB4A)"/>
    <m/>
    <m/>
    <x v="95"/>
    <x v="95"/>
    <n v="14.333333333333334"/>
    <n v="0"/>
    <n v="0"/>
    <n v="14.333333333333334"/>
    <n v="1"/>
  </r>
  <r>
    <s v="Federated ID"/>
    <s v="kbagwell@montrose-env.com"/>
    <s v="montrose-env.com"/>
    <s v="kbagwell@montrose-env.com"/>
    <s v="Katrina"/>
    <s v="Bagwell"/>
    <s v="US"/>
    <s v="0D4B13B265A00BC90A495F87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Federated ID"/>
    <s v="dwagner@montrose-env.com"/>
    <s v="montrose-env.com"/>
    <s v="dwagner@montrose-env.com"/>
    <s v="David"/>
    <s v="Wagner"/>
    <s v="US"/>
    <s v="0E9715B465A02B2E0A495EA4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lasadorf@montrose-env.com"/>
    <s v="montrose-env.com"/>
    <s v="lasadorf@montrose-env.com"/>
    <s v="Laura"/>
    <s v="Sadorf"/>
    <s v="US"/>
    <s v="16CF13B265A044C40A495F87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dagramonte@montrose-env.com"/>
    <s v="montrose-env.com"/>
    <s v="dagramonte@montrose-env.com"/>
    <s v="Daniel"/>
    <s v="Agramonte"/>
    <s v="US"/>
    <s v="1836238565A047A10A495C89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Federated ID"/>
    <s v="emwhite@montrose-env.com"/>
    <s v="montrose-env.com"/>
    <s v="emwhite@montrose-env.com"/>
    <s v="Emma"/>
    <s v="White"/>
    <s v="US"/>
    <s v="1136240D65A04A4C0A495EF5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ramandel@montrose-env.com"/>
    <s v="montrose-env.com"/>
    <s v="ramandel@montrose-env.com"/>
    <s v="Randy"/>
    <s v="Mandel"/>
    <s v="US"/>
    <s v="3D2D139465A18B8A0A495CA5@038d2aa263c9deeb495fea.e"/>
    <x v="1"/>
    <x v="0"/>
    <x v="0"/>
    <m/>
    <m/>
    <s v="USA - CTEH - Disaster Recovery &amp; Innovative Services - Operations"/>
    <m/>
    <m/>
    <m/>
    <m/>
    <s v="Acrobat Pro (VIPMP - 99C0A3088A102BD9CB4A)"/>
    <m/>
    <m/>
    <x v="96"/>
    <x v="96"/>
    <n v="14.333333333333334"/>
    <n v="0"/>
    <n v="0"/>
    <n v="14.333333333333334"/>
    <n v="1"/>
  </r>
  <r>
    <s v="Federated ID"/>
    <s v="emjosephadmin@montrose-env.com"/>
    <s v="montrose-env.com"/>
    <s v="emjosephadmin@montrose-env.com"/>
    <s v="Emmanuel"/>
    <s v="Joseph Admin"/>
    <s v="US"/>
    <s v="452E12BC65A1B50E0A495C6C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emjoseph@montrose-env.com"/>
    <s v="montrose-env.com"/>
    <s v="mannytorres@montrose-env.com"/>
    <s v="Manny"/>
    <s v="Torres Admin"/>
    <s v="US"/>
    <s v="46E10EF965A1B5210A495FF3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smpearce@montrose-env.com"/>
    <s v="montrose-env.com"/>
    <s v="smpearce@montrose-env.com"/>
    <s v="Susan"/>
    <s v="Pearce"/>
    <s v="US"/>
    <s v="905B14E565A564C10A495FFB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jeffreymartineau@montrose-env.com"/>
    <s v="montrose-env.com"/>
    <s v="jeffreymartineau@montrose-env.com"/>
    <s v="Jeffrey"/>
    <s v="Martineau"/>
    <s v="US"/>
    <s v="B9AA114665A6DBFE0A495FD5@038d2aa263c9deeb495fea.e"/>
    <x v="2"/>
    <x v="0"/>
    <x v="0"/>
    <m/>
    <m/>
    <s v="USA - Environmental Consulting - Orlando - Operations"/>
    <m/>
    <m/>
    <m/>
    <m/>
    <s v="Acrobat Standard DC (VIPMP - 99C0A3088A102BD9CB4A)"/>
    <m/>
    <m/>
    <x v="28"/>
    <x v="28"/>
    <n v="8.6983333333333324"/>
    <n v="0"/>
    <n v="0"/>
    <n v="8.6983333333333324"/>
    <n v="1"/>
  </r>
  <r>
    <s v="Federated ID"/>
    <s v="hrollins@montrose-env.com"/>
    <s v="montrose-env.com"/>
    <s v="hrollins@montrose-env.com"/>
    <s v="Holly"/>
    <s v="Rollins"/>
    <s v="US"/>
    <s v="B64D169B65A6E33F0A495E59@038d2aa263c9deeb495fea.e"/>
    <x v="1"/>
    <x v="0"/>
    <x v="0"/>
    <m/>
    <m/>
    <s v="USA - Environmental Consulting - Atlanta - G&amp;A"/>
    <m/>
    <m/>
    <m/>
    <m/>
    <s v="Acrobat Pro (VIPMP - 99C0A3088A102BD9CB4A)"/>
    <m/>
    <m/>
    <x v="16"/>
    <x v="16"/>
    <n v="14.333333333333334"/>
    <n v="0"/>
    <n v="0"/>
    <n v="14.333333333333334"/>
    <n v="1"/>
  </r>
  <r>
    <s v="Federated ID"/>
    <s v="laurenwilliams@montrose-env.com"/>
    <s v="montrose-env.com"/>
    <s v="laurenwilliams@montrose-env.com"/>
    <s v="Lauren"/>
    <s v="Williams"/>
    <s v="US"/>
    <s v="D8B6133365A8037E0A495E87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awebster@montrose-env.com"/>
    <s v="montrose-env.com"/>
    <s v="awebster@montrose-env.com"/>
    <s v="Alex"/>
    <s v="Webster"/>
    <s v="US"/>
    <s v="21021D9465A94B9D0A495FE5@038d2aa263c9deeb495fea.e"/>
    <x v="1"/>
    <x v="0"/>
    <x v="0"/>
    <m/>
    <m/>
    <s v="USA - Stack - Gulf Coast - G&amp;A"/>
    <m/>
    <m/>
    <m/>
    <m/>
    <s v="Acrobat Pro (VIPMP - 99C0A3088A102BD9CB4A)"/>
    <m/>
    <m/>
    <x v="97"/>
    <x v="97"/>
    <n v="14.333333333333334"/>
    <n v="0"/>
    <n v="0"/>
    <n v="14.333333333333334"/>
    <n v="1"/>
  </r>
  <r>
    <s v="Federated ID"/>
    <s v="judelagarza@montrose-env.com"/>
    <s v="montrose-env.com"/>
    <s v="judelagarza@montrose-env.com"/>
    <s v="Janie"/>
    <s v="De La Garza"/>
    <s v="US"/>
    <s v="2F1D1D9A65A99E0B0A495ED7@038d2aa263c9deeb495fea.e"/>
    <x v="1"/>
    <x v="0"/>
    <x v="0"/>
    <m/>
    <m/>
    <s v="USA - LDAR - Texas - G&amp;A"/>
    <m/>
    <m/>
    <m/>
    <m/>
    <s v="Acrobat Pro (VIPMP - 99C0A3088A102BD9CB4A)"/>
    <m/>
    <m/>
    <x v="98"/>
    <x v="98"/>
    <n v="14.333333333333334"/>
    <n v="0"/>
    <n v="0"/>
    <n v="14.333333333333334"/>
    <n v="1"/>
  </r>
  <r>
    <s v="Federated ID"/>
    <s v="tmchurchman@montrose-env.com"/>
    <s v="montrose-env.com"/>
    <s v="tmchurchman@montrose-env.com"/>
    <s v="Teagan"/>
    <s v="Churchman"/>
    <s v="US"/>
    <s v="531B1D9965AAC5C60A495FC9@038d2aa263c9deeb495fea.e"/>
    <x v="1"/>
    <x v="0"/>
    <x v="0"/>
    <m/>
    <m/>
    <s v="USA - LDAR - OH - HR"/>
    <m/>
    <m/>
    <m/>
    <m/>
    <s v="Acrobat Pro (VIPMP - 99C0A3088A102BD9CB4A)"/>
    <m/>
    <m/>
    <x v="99"/>
    <x v="99"/>
    <n v="14.333333333333334"/>
    <n v="0"/>
    <n v="0"/>
    <n v="14.333333333333334"/>
    <n v="1"/>
  </r>
  <r>
    <s v="Federated ID"/>
    <s v="denisewilliams@montrose-env.com"/>
    <s v="montrose-env.com"/>
    <s v="denisewilliams@montrose-env.com"/>
    <s v="Denise"/>
    <s v="Williams"/>
    <s v="US"/>
    <s v="BF451D8D65AFF11B0A495FA8@038d2aa263c9deeb495fea.e"/>
    <x v="0"/>
    <x v="0"/>
    <x v="0"/>
    <m/>
    <m/>
    <s v="USA - Environmental Consulting OH - Safety"/>
    <m/>
    <m/>
    <m/>
    <m/>
    <m/>
    <m/>
    <m/>
    <x v="0"/>
    <x v="0"/>
    <n v="0"/>
    <n v="0"/>
    <n v="0"/>
    <n v="0"/>
    <m/>
  </r>
  <r>
    <s v="Federated ID"/>
    <s v="schandru@montrose-env.com"/>
    <s v="montrose-env.com"/>
    <s v="schandru@montrose-env.com"/>
    <s v="Santosh"/>
    <s v="Chandru"/>
    <s v="US"/>
    <s v="C0C61D9865B010DF0A495E10@038d2aa263c9deeb495fea.e"/>
    <x v="0"/>
    <x v="0"/>
    <x v="0"/>
    <m/>
    <m/>
    <s v="USA - Environmental Consulting - Atlanta - Operations"/>
    <m/>
    <m/>
    <m/>
    <m/>
    <m/>
    <m/>
    <m/>
    <x v="0"/>
    <x v="0"/>
    <n v="0"/>
    <n v="0"/>
    <n v="0"/>
    <n v="0"/>
    <m/>
  </r>
  <r>
    <s v="Federated ID"/>
    <s v="penherring@montrose-env.com"/>
    <s v="montrose-env.com"/>
    <s v="penherring@montrose-env.com"/>
    <s v="Pen"/>
    <s v="Herring"/>
    <s v="US"/>
    <s v="C4A51D9465B041FF0A495E73@038d2aa263c9deeb495fea.e"/>
    <x v="0"/>
    <x v="0"/>
    <x v="0"/>
    <m/>
    <m/>
    <s v="USA - Environmental Consulting - Environmental Intelligence - G&amp;A"/>
    <m/>
    <m/>
    <m/>
    <m/>
    <m/>
    <m/>
    <m/>
    <x v="0"/>
    <x v="0"/>
    <n v="0"/>
    <n v="0"/>
    <n v="0"/>
    <n v="0"/>
    <m/>
  </r>
  <r>
    <s v="Federated ID"/>
    <s v="mkrockel@montrose-env.com"/>
    <s v="montrose-env.com"/>
    <s v="mkrockel@montrose-env.com"/>
    <s v="Michael"/>
    <s v="Rockel"/>
    <s v="US"/>
    <s v="DFAA1E7465B133460A495F9D@038d2aa263c9deeb495fea.e"/>
    <x v="1"/>
    <x v="0"/>
    <x v="0"/>
    <m/>
    <m/>
    <s v="USA - CTEH - Disaster Recovery &amp; Innovative Services - Operations"/>
    <m/>
    <m/>
    <m/>
    <m/>
    <s v="Acrobat Pro (VIPMP - 99C0A3088A102BD9CB4A)"/>
    <m/>
    <m/>
    <x v="96"/>
    <x v="96"/>
    <n v="14.333333333333334"/>
    <n v="0"/>
    <n v="0"/>
    <n v="14.333333333333334"/>
    <n v="1"/>
  </r>
  <r>
    <s v="Federated ID"/>
    <s v="jesse.corbitt@enthalpy.com"/>
    <s v="enthalpy.com"/>
    <s v="jesse.corbitt@enthalpy.com"/>
    <s v="Jesse"/>
    <s v="Corbitt"/>
    <s v="US"/>
    <s v="DEFE1D9565B13C990A495FA4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marlene.carrillo@enthalpy.com"/>
    <s v="enthalpy.com"/>
    <s v="marlene.carrillo@enthalpy.com"/>
    <s v="Marlene"/>
    <s v="Carrillo"/>
    <s v="US"/>
    <s v="0F271D6C65B2A56D0A495FDD@038d2aa263c9deeb495fea.e"/>
    <x v="0"/>
    <x v="0"/>
    <x v="0"/>
    <m/>
    <m/>
    <s v="USA - Env Lab - Deer Park - Operations"/>
    <m/>
    <m/>
    <m/>
    <m/>
    <m/>
    <m/>
    <m/>
    <x v="0"/>
    <x v="0"/>
    <n v="0"/>
    <n v="0"/>
    <n v="0"/>
    <n v="0"/>
    <m/>
  </r>
  <r>
    <s v="Federated ID"/>
    <s v="olwhite@montrose-env.com"/>
    <s v="montrose-env.com"/>
    <s v="olwhite@montrose-env.com"/>
    <s v="Olatokunbo"/>
    <s v="White"/>
    <s v="US"/>
    <s v="0F421D9365B2C5270A495CA8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trungdiep@montrose-env.com"/>
    <s v="montrose-env.com"/>
    <s v="trungdiep@montrose-env.com"/>
    <s v="Trung"/>
    <s v="Diep"/>
    <s v="US"/>
    <s v="242A1E4065B39E0A0A495E9C@038d2aa263c9deeb495fea.e"/>
    <x v="0"/>
    <x v="0"/>
    <x v="0"/>
    <m/>
    <m/>
    <s v="USA - Sensible EDP - Austin - Operations"/>
    <m/>
    <m/>
    <m/>
    <m/>
    <m/>
    <m/>
    <m/>
    <x v="0"/>
    <x v="0"/>
    <n v="0"/>
    <n v="0"/>
    <n v="0"/>
    <n v="0"/>
    <m/>
  </r>
  <r>
    <s v="Federated ID"/>
    <s v="BaileyCorley@montrose-env.com"/>
    <s v="montrose-env.com"/>
    <s v="baileycorley@montrose-env.com"/>
    <s v="Bailey"/>
    <s v="Corley"/>
    <s v="US"/>
    <s v="7D6C1E6065B7D13E0A495FC0@038d2aa263c9deeb495fea.e"/>
    <x v="0"/>
    <x v="0"/>
    <x v="0"/>
    <m/>
    <m/>
    <s v="USA - Stack - Gulf Coast - G&amp;A"/>
    <m/>
    <m/>
    <m/>
    <m/>
    <m/>
    <m/>
    <m/>
    <x v="0"/>
    <x v="0"/>
    <n v="0"/>
    <n v="0"/>
    <n v="0"/>
    <n v="0"/>
    <m/>
  </r>
  <r>
    <s v="Federated ID"/>
    <s v="brad.moravec@enthalpy.com"/>
    <s v="enthalpy.com"/>
    <s v="brad.moravec@enthalpy.com"/>
    <s v="Brad"/>
    <s v="Moravec"/>
    <s v="US"/>
    <s v="83631D9865B813920A495C15@038d2aa263c9deeb495fea.e"/>
    <x v="2"/>
    <x v="0"/>
    <x v="0"/>
    <m/>
    <m/>
    <s v="USA - Labs - OH - Sales"/>
    <m/>
    <m/>
    <m/>
    <m/>
    <s v="Acrobat Standard DC (VIPMP - 99C0A3088A102BD9CB4A)"/>
    <m/>
    <m/>
    <x v="23"/>
    <x v="23"/>
    <n v="8.6983333333333324"/>
    <n v="0"/>
    <n v="0"/>
    <n v="8.6983333333333324"/>
    <n v="1"/>
  </r>
  <r>
    <s v="Federated ID"/>
    <s v="dcspath@montrose-env.com"/>
    <s v="montrose-env.com"/>
    <s v="dcspath@montrose-env.com"/>
    <s v="David"/>
    <s v="Spath"/>
    <s v="US"/>
    <s v="82A81D6865B81C780A495FEA@038d2aa263c9deeb495fea.e"/>
    <x v="1"/>
    <x v="0"/>
    <x v="0"/>
    <m/>
    <m/>
    <s v="USA - LDAR - OH - Sales"/>
    <m/>
    <m/>
    <m/>
    <m/>
    <s v="Acrobat Pro (VIPMP - 99C0A3088A102BD9CB4A)"/>
    <m/>
    <m/>
    <x v="94"/>
    <x v="94"/>
    <n v="14.333333333333334"/>
    <n v="0"/>
    <n v="0"/>
    <n v="14.333333333333334"/>
    <n v="1"/>
  </r>
  <r>
    <s v="Federated ID"/>
    <s v="joshannon@montrose-env.com"/>
    <s v="montrose-env.com"/>
    <s v="joshannon@montrose-env.com"/>
    <s v="John"/>
    <s v="Shannon"/>
    <s v="US"/>
    <s v="A6101D6665B9377C0A495FEE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ailiangou@montrose-env.com"/>
    <s v="montrose-env.com"/>
    <s v="ailiangou@montrose-env.com"/>
    <s v="Katia"/>
    <s v="Liangou"/>
    <s v="US"/>
    <s v="B1821D6D65B983570A495E11@038d2aa263c9deeb495fea.e"/>
    <x v="1"/>
    <x v="0"/>
    <x v="0"/>
    <m/>
    <m/>
    <s v="USA - Sensible EDP - Denver - Operations"/>
    <m/>
    <m/>
    <m/>
    <m/>
    <s v="Acrobat Pro (VIPMP - 99C0A3088A102BD9CB4A)"/>
    <m/>
    <m/>
    <x v="61"/>
    <x v="61"/>
    <n v="14.333333333333334"/>
    <n v="0"/>
    <n v="0"/>
    <n v="14.333333333333334"/>
    <n v="1"/>
  </r>
  <r>
    <s v="Federated ID"/>
    <s v="josephandrews@montrose-env.com"/>
    <s v="montrose-env.com"/>
    <s v="josephandrews@montrose-env.com"/>
    <s v="Joseph"/>
    <s v="Andrews"/>
    <s v="US"/>
    <s v="C9761D9365BA609B0A495C46@038d2aa263c9deeb495fea.e"/>
    <x v="1"/>
    <x v="0"/>
    <x v="0"/>
    <m/>
    <m/>
    <s v="USA - Corp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ShannonKeenan@montrose-env.com"/>
    <s v="montrose-env.com"/>
    <s v="ShannonKeenan@montrose-env.com"/>
    <s v="Shannon"/>
    <s v="Keenan"/>
    <s v="US"/>
    <s v="C8B91D7365BA68760A495F8F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rolemanowicz@montrose-env.com"/>
    <s v="montrose-env.com"/>
    <s v="rolemanowicz@montrose-env.com"/>
    <s v="Robert"/>
    <s v="Lemanowicz"/>
    <s v="US"/>
    <s v="C7581D6A65BA728D0A495C64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phart@montrose-env.com"/>
    <s v="montrose-env.com"/>
    <s v="phart@montrose-env.com"/>
    <s v="Paul"/>
    <s v="Hart"/>
    <s v="US"/>
    <s v="EDED1D9265BB927F0A495CE6@038d2aa263c9deeb495fea.e"/>
    <x v="1"/>
    <x v="0"/>
    <x v="0"/>
    <m/>
    <m/>
    <s v="USA - Corp - Safety"/>
    <m/>
    <m/>
    <m/>
    <m/>
    <s v="Acrobat Pro (VIPMP - 99C0A3088A102BD9CB4A)"/>
    <m/>
    <m/>
    <x v="74"/>
    <x v="74"/>
    <n v="14.333333333333334"/>
    <n v="0"/>
    <n v="0"/>
    <n v="14.333333333333334"/>
    <n v="1"/>
  </r>
  <r>
    <s v="Federated ID"/>
    <s v="stephenmirkin@montrose-env.com"/>
    <s v="montrose-env.com"/>
    <s v="stephenmirkin@montrose-env.com"/>
    <s v="Stephen"/>
    <s v="Mirkin"/>
    <s v="US"/>
    <s v="F1B11D9465BBC7FD0A495FE5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soalarcon@montrose-env.com"/>
    <s v="montrose-env.com"/>
    <s v="soalarcon@montrose-env.com"/>
    <s v="Soraya"/>
    <s v="Alarcon"/>
    <s v="US"/>
    <s v="F1461D6D65BBCC660A495C3A@038d2aa263c9deeb495fea.e"/>
    <x v="0"/>
    <x v="0"/>
    <x v="0"/>
    <m/>
    <m/>
    <s v="USA - Corp - HR"/>
    <m/>
    <m/>
    <m/>
    <m/>
    <m/>
    <m/>
    <m/>
    <x v="0"/>
    <x v="0"/>
    <n v="0"/>
    <n v="0"/>
    <n v="0"/>
    <n v="0"/>
    <m/>
  </r>
  <r>
    <s v="Federated ID"/>
    <s v="kkessler@montrose-env.com"/>
    <s v="montrose-env.com"/>
    <s v="kkessler@montrose-env.com"/>
    <s v="Kirk"/>
    <s v="Kessler"/>
    <s v="US"/>
    <s v="FA541D6C65BBE30C0A495FDD@038d2aa263c9deeb495fea.e"/>
    <x v="1"/>
    <x v="0"/>
    <x v="0"/>
    <m/>
    <m/>
    <s v="USA - Environmental Consulting - Atlanta - Operations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benjaminrosenkoetter@montrose-env.com"/>
    <s v="montrose-env.com"/>
    <s v="benjaminrosenkoetter@montrose-env.com"/>
    <s v="Benjamin"/>
    <s v="Rosenkoetter"/>
    <s v="US"/>
    <s v="16A01D6F65BCDB5E0A495F98@038d2aa263c9deeb495fea.e"/>
    <x v="1"/>
    <x v="0"/>
    <x v="0"/>
    <m/>
    <m/>
    <s v="USA - Eco Services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anrodriguez@montrose-env.com"/>
    <s v="montrose-env.com"/>
    <s v="andrearodriguez@montrose-env.com"/>
    <s v="Andrea"/>
    <s v="Rodriguez Rangel"/>
    <s v="US"/>
    <s v="15A41D7965BCDBFA0A495FB8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brpiontek@montrose-env.com"/>
    <s v="montrose-env.com"/>
    <s v="brpiontek@montrose-env.com"/>
    <s v="Brian"/>
    <s v="Piontek"/>
    <s v="US"/>
    <s v="35AB1D9965BD92860A495FD7@038d2aa263c9deeb495fea.e"/>
    <x v="0"/>
    <x v="0"/>
    <x v="0"/>
    <m/>
    <m/>
    <s v="USA - Environmental Consulting - Oakland - Operations"/>
    <m/>
    <m/>
    <m/>
    <m/>
    <m/>
    <m/>
    <m/>
    <x v="0"/>
    <x v="0"/>
    <n v="0"/>
    <n v="0"/>
    <n v="0"/>
    <n v="0"/>
    <m/>
  </r>
  <r>
    <s v="Federated ID"/>
    <s v="brlillis@montrose-env.com"/>
    <s v="montrose-env.com"/>
    <s v="brlillis@montrose-env.com"/>
    <s v="Bridget"/>
    <s v="Lillis"/>
    <s v="US"/>
    <s v="352C1DA265BD92D40A495F9C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delilly@montrose-env.com"/>
    <s v="montrose-env.com"/>
    <s v="delilly@montrose-env.com"/>
    <s v="Debra"/>
    <s v="Lilly"/>
    <s v="US"/>
    <s v="37DA1D9465BD93860A495E66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HollyFrantz@montrose-env.com"/>
    <s v="montrose-env.com"/>
    <s v="HollyFrantz@montrose-env.com"/>
    <s v="Holly"/>
    <s v="Frantz"/>
    <s v="US"/>
    <s v="743F1D9B65C0FE8E0A495CD1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dvecellio@montrose-env.com"/>
    <s v="montrose-env.com"/>
    <s v="dvecellio@montrose-env.com"/>
    <s v="David"/>
    <s v="Vecellio"/>
    <s v="US"/>
    <s v="76A81D8265C109FC0A495E07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BiBradshaw@montrose-env.com"/>
    <s v="montrose-env.com"/>
    <s v="bibradshaw@montrose-env.com"/>
    <s v="Bill"/>
    <s v="Bradshaw"/>
    <s v="US"/>
    <s v="76401D7C65C10A020A495CA4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RandalDreyer@montrose-env.com"/>
    <s v="montrose-env.com"/>
    <s v="randaldreyer@montrose-env.com"/>
    <s v="Randal"/>
    <s v="Dreyer"/>
    <s v="US"/>
    <s v="7E281D8265C154FE0A495FDB@038d2aa263c9deeb495fea.e"/>
    <x v="1"/>
    <x v="0"/>
    <x v="0"/>
    <m/>
    <m/>
    <s v="USA - RNG - Operations"/>
    <m/>
    <m/>
    <m/>
    <m/>
    <s v="Acrobat Pro (VIPMP - 99C0A3088A102BD9CB4A)"/>
    <m/>
    <m/>
    <x v="10"/>
    <x v="10"/>
    <n v="14.333333333333334"/>
    <n v="0"/>
    <n v="0"/>
    <n v="14.333333333333334"/>
    <n v="1"/>
  </r>
  <r>
    <s v="Federated ID"/>
    <s v="oalmada@montrose-env.com"/>
    <s v="montrose-env.com"/>
    <s v="oalmada@montrose-env.com"/>
    <s v="Olivia"/>
    <s v="Almada"/>
    <s v="US"/>
    <s v="96811D9665C25A250A495C25@038d2aa263c9deeb495fea.e"/>
    <x v="1"/>
    <x v="0"/>
    <x v="0"/>
    <m/>
    <m/>
    <s v="USA - Corp - Safety"/>
    <m/>
    <m/>
    <m/>
    <m/>
    <s v="Acrobat Pro (VIPMP - 99C0A3088A102BD9CB4A)"/>
    <m/>
    <m/>
    <x v="74"/>
    <x v="74"/>
    <n v="14.333333333333334"/>
    <n v="0"/>
    <n v="0"/>
    <n v="14.333333333333334"/>
    <n v="1"/>
  </r>
  <r>
    <s v="Federated ID"/>
    <s v="bforslund@montrose-env.com"/>
    <s v="montrose-env.com"/>
    <s v="bforslund@montrose-env.com"/>
    <s v="Barb"/>
    <s v="Forslund"/>
    <s v="US"/>
    <s v="978B1DA265C25AC80A495C42@038d2aa263c9deeb495fea.e"/>
    <x v="2"/>
    <x v="0"/>
    <x v="0"/>
    <m/>
    <m/>
    <s v="USA - Environmental Consulting - Valley Forge - Operations"/>
    <m/>
    <m/>
    <m/>
    <m/>
    <s v="Acrobat Standard DC (VIPMP - 99C0A3088A102BD9CB4A)"/>
    <m/>
    <m/>
    <x v="33"/>
    <x v="33"/>
    <n v="8.6983333333333324"/>
    <n v="0"/>
    <n v="0"/>
    <n v="8.6983333333333324"/>
    <n v="1"/>
  </r>
  <r>
    <s v="Federated ID"/>
    <s v="rfrizzell@montrose-env.com"/>
    <s v="montrose-env.com"/>
    <s v="rfrizzell@montrose-env.com"/>
    <s v="Richard"/>
    <s v="Frizzell"/>
    <s v="US"/>
    <s v="9F131D8565C285480A495C1B@038d2aa263c9deeb495fea.e"/>
    <x v="1"/>
    <x v="0"/>
    <x v="0"/>
    <m/>
    <m/>
    <s v="USA - Environmental Consulting - Santa Ana (Rem)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anleffel@montrose-env.com"/>
    <s v="montrose-env.com"/>
    <s v="anleffel@montrose-env.com"/>
    <s v="Andrew"/>
    <s v="Leffel"/>
    <s v="US"/>
    <s v="9D831D8565C285E90A495FDF@038d2aa263c9deeb495fea.e"/>
    <x v="1"/>
    <x v="0"/>
    <x v="0"/>
    <m/>
    <m/>
    <s v="USA - Stack - OH - G&amp;A"/>
    <m/>
    <m/>
    <m/>
    <m/>
    <s v="Acrobat Pro (VIPMP - 99C0A3088A102BD9CB4A)"/>
    <m/>
    <m/>
    <x v="24"/>
    <x v="24"/>
    <n v="14.333333333333334"/>
    <n v="0"/>
    <n v="0"/>
    <n v="14.333333333333334"/>
    <n v="1"/>
  </r>
  <r>
    <s v="Federated ID"/>
    <s v="shdouglas@montrose-env.com"/>
    <s v="montrose-env.com"/>
    <s v="shdouglas@montrose-env.com"/>
    <s v="Shane"/>
    <s v="Douglas"/>
    <s v="US"/>
    <s v="9E981D6C65C286CB0A495FDE@038d2aa263c9deeb495fea.e"/>
    <x v="1"/>
    <x v="0"/>
    <x v="0"/>
    <m/>
    <m/>
    <s v="USA - Stack - OH - G&amp;A"/>
    <m/>
    <m/>
    <m/>
    <m/>
    <s v="Acrobat Pro (VIPMP - 99C0A3088A102BD9CB4A)"/>
    <m/>
    <m/>
    <x v="24"/>
    <x v="24"/>
    <n v="14.333333333333334"/>
    <n v="0"/>
    <n v="0"/>
    <n v="14.333333333333334"/>
    <n v="1"/>
  </r>
  <r>
    <s v="Federated ID"/>
    <s v="jacarey@montrose-env.com"/>
    <s v="montrose-env.com"/>
    <s v="jacarey@montrose-env.com"/>
    <s v="James"/>
    <s v="Carey"/>
    <s v="US"/>
    <s v="C20C1DA565C3C0810A495E1B@038d2aa263c9deeb495fea.e"/>
    <x v="1"/>
    <x v="0"/>
    <x v="0"/>
    <m/>
    <m/>
    <s v="USA - Stack - OH - G&amp;A"/>
    <m/>
    <m/>
    <m/>
    <m/>
    <s v="Acrobat Pro (VIPMP - 99C0A3088A102BD9CB4A)"/>
    <m/>
    <m/>
    <x v="24"/>
    <x v="24"/>
    <n v="14.333333333333334"/>
    <n v="0"/>
    <n v="0"/>
    <n v="14.333333333333334"/>
    <n v="1"/>
  </r>
  <r>
    <s v="Federated ID"/>
    <s v="aheitmann@montrose-env.com"/>
    <s v="montrose-env.com"/>
    <s v="aheitmann@montrose-env.com"/>
    <s v="Austin"/>
    <s v="Heitmann"/>
    <s v="US"/>
    <s v="CE791DA765C42A2A0A495C45@038d2aa263c9deeb495fea.e"/>
    <x v="1"/>
    <x v="0"/>
    <x v="0"/>
    <m/>
    <m/>
    <s v="USA - Sensible EDP - Denver - Operations"/>
    <m/>
    <m/>
    <m/>
    <m/>
    <s v="Acrobat Pro (VIPMP - 99C0A3088A102BD9CB4A)"/>
    <m/>
    <m/>
    <x v="67"/>
    <x v="67"/>
    <n v="14.333333333333334"/>
    <n v="0"/>
    <n v="0"/>
    <n v="14.333333333333334"/>
    <n v="1"/>
  </r>
  <r>
    <s v="Federated ID"/>
    <s v="greeve@montrose-env.com"/>
    <s v="montrose-env.com"/>
    <s v="greeve@montrose-env.com"/>
    <s v="Gina"/>
    <s v="Reeve"/>
    <s v="US"/>
    <s v="01D91DA265C6259B0A495C42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tsweat@montrose-env.com"/>
    <s v="montrose-env.com"/>
    <s v="tsweat@montrose-env.com"/>
    <s v="Tommy"/>
    <s v="Sweat"/>
    <s v="US"/>
    <s v="07111D9A65C6421B0A495CC2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Federated ID"/>
    <s v="gubastien@montrose-env.com"/>
    <s v="montrose-env.com"/>
    <s v="gubastien@montrose-env.com"/>
    <s v="Guy"/>
    <s v="Bastien"/>
    <s v="US"/>
    <s v="0E351D7965C69AE60A495EAD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roblair@montrose-env.com"/>
    <s v="montrose-env.com"/>
    <s v="robynjohnson@montrose-env.com"/>
    <s v="Robyn"/>
    <s v="Johnson"/>
    <s v="US"/>
    <s v="10831D7565C69AE60A495C0D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pabaker@montrose-env.com"/>
    <s v="montrose-env.com"/>
    <s v="pabaker@montrose-env.com"/>
    <s v="Paul"/>
    <s v="Baker"/>
    <s v="US"/>
    <s v="0FF31D7D65C69AE70A495EA0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daagar@montrose-env.com"/>
    <s v="montrose-env.com"/>
    <s v="daagar@montrose-env.com"/>
    <s v="Danielle"/>
    <s v="Agar"/>
    <s v="US"/>
    <s v="104A1D8065C69AE70A495E65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tobycrossland@montrose-env.com"/>
    <s v="montrose-env.com"/>
    <s v="tobycrossland@montrose-env.com"/>
    <s v="Toby"/>
    <s v="Crossland"/>
    <s v="US"/>
    <s v="10251D7A65C69AE70A495C65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kcarson@montrose-env.com"/>
    <s v="montrose-env.com"/>
    <s v="kcarson@montrose-env.com"/>
    <s v="Kelly"/>
    <s v="Carson"/>
    <s v="US"/>
    <s v="0C461DA765C69AE70A495CDE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midenomme@montrose-env.com"/>
    <s v="montrose-env.com"/>
    <s v="midenomme@montrose-env.com"/>
    <s v="Mike"/>
    <s v="Denomme"/>
    <s v="US"/>
    <s v="0DE21D7B65C69AE80A495FD2@038d2aa263c9deeb495fea.e"/>
    <x v="1"/>
    <x v="0"/>
    <x v="0"/>
    <m/>
    <m/>
    <s v="CAN - Stack - Edmonton - Operations"/>
    <m/>
    <m/>
    <m/>
    <m/>
    <s v="Acrobat Pro (VIPMP - 99C0A3088A102BD9CB4A)"/>
    <m/>
    <m/>
    <x v="102"/>
    <x v="102"/>
    <n v="14.333333333333334"/>
    <n v="0"/>
    <n v="0"/>
    <n v="14.333333333333334"/>
    <n v="1"/>
  </r>
  <r>
    <s v="Federated ID"/>
    <s v="rheecedeveyra@montrose-env.com"/>
    <s v="montrose-env.com"/>
    <s v="rheecedeveyra@montrose-env.com"/>
    <s v="Rheece"/>
    <s v="de Veyra"/>
    <s v="US"/>
    <s v="0EC21DA265C69AE90A495C42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joedwards@montrose-env.com"/>
    <s v="montrose-env.com"/>
    <s v="joedwards@montrose-env.com"/>
    <s v="Joy"/>
    <s v="Edwards"/>
    <s v="US"/>
    <s v="1A5164C665C69AE90A495FC6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3"/>
    <x v="103"/>
    <n v="14.333333333333334"/>
    <n v="0"/>
    <n v="0"/>
    <n v="14.333333333333334"/>
    <n v="1"/>
  </r>
  <r>
    <s v="Federated ID"/>
    <s v="coelsing@montrose-env.com"/>
    <s v="montrose-env.com"/>
    <s v="coelsing@montrose-env.com"/>
    <s v="Connie"/>
    <s v="Elsing"/>
    <s v="US"/>
    <s v="110F1D9F65C69AE90A495E0B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3"/>
    <x v="103"/>
    <n v="14.333333333333334"/>
    <n v="0"/>
    <n v="0"/>
    <n v="14.333333333333334"/>
    <n v="1"/>
  </r>
  <r>
    <s v="Federated ID"/>
    <s v="mafreer@montrose-env.com"/>
    <s v="montrose-env.com"/>
    <s v="mafreer@montrose-env.com"/>
    <s v="Marnie"/>
    <s v="Freer"/>
    <s v="US"/>
    <s v="1A7A70E865C69AE90A495FD7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mihendrikx@montrose-env.com"/>
    <s v="montrose-env.com"/>
    <s v="mihendrikx@montrose-env.com"/>
    <s v="Michelle"/>
    <s v="Hendrikx"/>
    <s v="US"/>
    <s v="132F1DA165C69AEA0A495C47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ryhutchings@montrose-env.com"/>
    <s v="montrose-env.com"/>
    <s v="ryhutchings@montrose-env.com"/>
    <s v="Ryan"/>
    <s v="Hutchings"/>
    <s v="US"/>
    <s v="12031D9B65C69AEA0A495CD1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kahumphreys@montrose-env.com"/>
    <s v="montrose-env.com"/>
    <s v="kahumphreys@montrose-env.com"/>
    <s v="Kate"/>
    <s v="Humphreys"/>
    <s v="US"/>
    <s v="0CD11D7B65C69AEA0A495C30@038d2aa263c9deeb495fea.e"/>
    <x v="0"/>
    <x v="0"/>
    <x v="0"/>
    <m/>
    <m/>
    <s v="CAN - Consulting &amp; Engineering - Env Sciences and Planning - Air Permit &amp; Comp - Operations"/>
    <m/>
    <m/>
    <m/>
    <m/>
    <m/>
    <m/>
    <m/>
    <x v="0"/>
    <x v="0"/>
    <n v="0"/>
    <n v="0"/>
    <n v="0"/>
    <n v="0"/>
    <m/>
  </r>
  <r>
    <s v="Federated ID"/>
    <s v="rajones@montrose-env.com"/>
    <s v="montrose-env.com"/>
    <s v="rajones@montrose-env.com"/>
    <s v="Rachel"/>
    <s v="Jones"/>
    <s v="US"/>
    <s v="0CFE1D7465C69AEA0A495E9F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gouledkalombi@montrose-env.com"/>
    <s v="montrose-env.com"/>
    <s v="gouledkalombi@montrose-env.com"/>
    <s v="Gouled"/>
    <s v="Kalombi"/>
    <s v="US"/>
    <s v="0CC81DC565C69AEB0A495E1D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kmkrauter@montrose-env.com"/>
    <s v="montrose-env.com"/>
    <s v="kmkrauter@montrose-env.com"/>
    <s v="Katelyn"/>
    <s v="Krauter"/>
    <s v="US"/>
    <s v="0E681D9B65C69AEB0A495CC3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evmetcalfe@montrose-env.com"/>
    <s v="montrose-env.com"/>
    <s v="evmetcalfe@montrose-env.com"/>
    <s v="Evan"/>
    <s v="Metcalfe"/>
    <s v="US"/>
    <s v="12041D9B65C69AEC0A495CD1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camcdonnell@montrose-env.com"/>
    <s v="montrose-env.com"/>
    <s v="camcdonnell@montrose-env.com"/>
    <s v="Calvin"/>
    <s v="McDonnell"/>
    <s v="US"/>
    <s v="0BDD1D9665C69AEC0A495FFB@038d2aa263c9deeb495fea.e"/>
    <x v="0"/>
    <x v="0"/>
    <x v="0"/>
    <m/>
    <m/>
    <s v="CAN - Stack - Point Edward - Operations"/>
    <m/>
    <m/>
    <m/>
    <m/>
    <m/>
    <m/>
    <m/>
    <x v="0"/>
    <x v="0"/>
    <n v="0"/>
    <n v="0"/>
    <n v="0"/>
    <n v="0"/>
    <m/>
  </r>
  <r>
    <s v="Federated ID"/>
    <s v="samahesh@montrose-env.com"/>
    <s v="montrose-env.com"/>
    <s v="samahesh@montrose-env.com"/>
    <s v="Sahana"/>
    <s v="Mahesh"/>
    <s v="US"/>
    <s v="0EC31DA265C69AEC0A495C42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pemcinnis@montrose-env.com"/>
    <s v="montrose-env.com"/>
    <s v="pemcinnis@montrose-env.com"/>
    <s v="Penny"/>
    <s v="McInnis"/>
    <s v="US"/>
    <s v="110D1D9D65C69AEC0A495F8C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tymclachlin@montrose-env.com"/>
    <s v="montrose-env.com"/>
    <s v="tymclachlin@montrose-env.com"/>
    <s v="Tye"/>
    <s v="McLachlin"/>
    <s v="US"/>
    <s v="0F491DAF65C69AED0A495ED2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kaoatway@montrose-env.com"/>
    <s v="montrose-env.com"/>
    <s v="kaoatway@montrose-env.com"/>
    <s v="Kate"/>
    <s v="Oatway"/>
    <s v="US"/>
    <s v="110E1D9D65C69AED0A495F8C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mimurray@montrose-env.com"/>
    <s v="montrose-env.com"/>
    <s v="mimurray@montrose-env.com"/>
    <s v="Michael"/>
    <s v="Murray"/>
    <s v="US"/>
    <s v="10931D8565C69AEE0A495C1B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pepakalnis@montrose-env.com"/>
    <s v="montrose-env.com"/>
    <s v="pepakalnis@montrose-env.com"/>
    <s v="Peter"/>
    <s v="Pakalnis"/>
    <s v="US"/>
    <s v="11311DA065C69AEE0A495FBC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roregier@montrose-env.com"/>
    <s v="montrose-env.com"/>
    <s v="roregier@montrose-env.com"/>
    <s v="Ron"/>
    <s v="Regier"/>
    <s v="US"/>
    <s v="11A11D8565C69AEE0A495FDF@038d2aa263c9deeb495fea.e"/>
    <x v="0"/>
    <x v="0"/>
    <x v="0"/>
    <m/>
    <m/>
    <s v="CAN - Consulting &amp; Engineering - Env Sciences and Planning - Air Permit &amp; Comp - Operations"/>
    <m/>
    <m/>
    <m/>
    <m/>
    <m/>
    <m/>
    <m/>
    <x v="0"/>
    <x v="0"/>
    <n v="0"/>
    <n v="0"/>
    <n v="0"/>
    <n v="0"/>
    <m/>
  </r>
  <r>
    <s v="Federated ID"/>
    <s v="artandalam@montrose-env.com"/>
    <s v="montrose-env.com"/>
    <s v="artandalam@montrose-env.com"/>
    <s v="Arjun"/>
    <s v="Tandalam"/>
    <s v="US"/>
    <s v="0E691D9B65C69AEF0A495CC3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chungar@montrose-env.com"/>
    <s v="montrose-env.com"/>
    <s v="chungar@montrose-env.com"/>
    <s v="Chris"/>
    <s v="Ungar"/>
    <s v="US"/>
    <s v="15821D7F65C69AEF0A495FE4@038d2aa263c9deeb495fea.e"/>
    <x v="1"/>
    <x v="0"/>
    <x v="0"/>
    <m/>
    <m/>
    <s v="CAN - Stack - Point Edward - Operations"/>
    <m/>
    <m/>
    <m/>
    <m/>
    <s v="Acrobat Pro (VIPMP - 99C0A3088A102BD9CB4A)"/>
    <m/>
    <m/>
    <x v="101"/>
    <x v="101"/>
    <n v="14.333333333333334"/>
    <n v="0"/>
    <n v="0"/>
    <n v="14.333333333333334"/>
    <n v="1"/>
  </r>
  <r>
    <s v="Federated ID"/>
    <s v="micole@montrose-env.com"/>
    <s v="montrose-env.com"/>
    <s v="micole@montrose-env.com"/>
    <s v="Mike"/>
    <s v="Cole"/>
    <s v="US"/>
    <s v="12B81D7F65C69AEF0A495E7B@038d2aa263c9deeb495fea.e"/>
    <x v="1"/>
    <x v="0"/>
    <x v="0"/>
    <m/>
    <m/>
    <s v="CAN - Stack - Edmonton - Operations"/>
    <m/>
    <m/>
    <m/>
    <m/>
    <s v="Acrobat Pro (VIPMP - 99C0A3088A102BD9CB4A)"/>
    <m/>
    <m/>
    <x v="102"/>
    <x v="102"/>
    <n v="14.333333333333334"/>
    <n v="0"/>
    <n v="0"/>
    <n v="14.333333333333334"/>
    <n v="1"/>
  </r>
  <r>
    <s v="Federated ID"/>
    <s v="alcormier@montrose-env.com"/>
    <s v="montrose-env.com"/>
    <s v="alcormier@montrose-env.com"/>
    <s v="Allan"/>
    <s v="Cormier"/>
    <s v="US"/>
    <s v="10231D7C65C69AEF0A495EE5@038d2aa263c9deeb495fea.e"/>
    <x v="1"/>
    <x v="0"/>
    <x v="0"/>
    <m/>
    <m/>
    <s v="CAN - Stack - Edmonton - Operations"/>
    <m/>
    <m/>
    <m/>
    <m/>
    <s v="Acrobat Pro (VIPMP - 99C0A3088A102BD9CB4A)"/>
    <m/>
    <m/>
    <x v="102"/>
    <x v="102"/>
    <n v="14.333333333333334"/>
    <n v="0"/>
    <n v="0"/>
    <n v="14.333333333333334"/>
    <n v="1"/>
  </r>
  <r>
    <s v="Federated ID"/>
    <s v="brgamroth@montrose-env.com"/>
    <s v="montrose-env.com"/>
    <s v="brgamroth@montrose-env.com"/>
    <s v="Brady"/>
    <s v="Gamroth"/>
    <s v="US"/>
    <s v="146E1D7B65C69AF00A495C39@038d2aa263c9deeb495fea.e"/>
    <x v="0"/>
    <x v="0"/>
    <x v="0"/>
    <m/>
    <m/>
    <s v="CAN - Stack - Edmonton - Operations"/>
    <m/>
    <m/>
    <m/>
    <m/>
    <m/>
    <m/>
    <m/>
    <x v="0"/>
    <x v="0"/>
    <n v="0"/>
    <n v="0"/>
    <n v="0"/>
    <n v="0"/>
    <m/>
  </r>
  <r>
    <s v="Federated ID"/>
    <s v="rogaultois@montrose-env.com"/>
    <s v="montrose-env.com"/>
    <s v="rogaultois@montrose-env.com"/>
    <s v="Robert"/>
    <s v="Gaultois"/>
    <s v="US"/>
    <s v="0D221D9665C69AF00A495C25@038d2aa263c9deeb495fea.e"/>
    <x v="2"/>
    <x v="0"/>
    <x v="0"/>
    <m/>
    <m/>
    <s v="CAN - Stack - Edmonton - Operations"/>
    <m/>
    <m/>
    <m/>
    <m/>
    <s v="Acrobat Standard DC (VIPMP - 99C0A3088A102BD9CB4A)"/>
    <m/>
    <m/>
    <x v="102"/>
    <x v="102"/>
    <n v="8.6983333333333324"/>
    <n v="0"/>
    <n v="0"/>
    <n v="8.6983333333333324"/>
    <n v="1"/>
  </r>
  <r>
    <s v="Federated ID"/>
    <s v="echomeniek@montrose-env.com"/>
    <s v="montrose-env.com"/>
    <s v="echomeniek@montrose-env.com"/>
    <s v="Edward"/>
    <s v="Homeniek"/>
    <s v="US"/>
    <s v="110B1DA665C69AF10A495E2B@038d2aa263c9deeb495fea.e"/>
    <x v="0"/>
    <x v="0"/>
    <x v="0"/>
    <m/>
    <m/>
    <s v="CAN - Stack - Edmonton - Operations"/>
    <m/>
    <m/>
    <m/>
    <m/>
    <m/>
    <m/>
    <m/>
    <x v="0"/>
    <x v="0"/>
    <n v="0"/>
    <n v="0"/>
    <n v="0"/>
    <n v="0"/>
    <m/>
  </r>
  <r>
    <s v="Federated ID"/>
    <s v="gemckenzie@montrose-env.com"/>
    <s v="montrose-env.com"/>
    <s v="gemckenzie@montrose-env.com"/>
    <s v="Gareth"/>
    <s v="McKenzie"/>
    <s v="US"/>
    <s v="11A21D8565C69AF10A495FDF@038d2aa263c9deeb495fea.e"/>
    <x v="0"/>
    <x v="0"/>
    <x v="0"/>
    <m/>
    <m/>
    <s v="CAN - Stack - Edmonton - Operations"/>
    <m/>
    <m/>
    <m/>
    <m/>
    <m/>
    <m/>
    <m/>
    <x v="0"/>
    <x v="0"/>
    <n v="0"/>
    <n v="0"/>
    <n v="0"/>
    <n v="0"/>
    <m/>
  </r>
  <r>
    <s v="Federated ID"/>
    <s v="BrettNess@montrose-env.com"/>
    <s v="montrose-env.com"/>
    <s v="BrettNess@montrose-env.com"/>
    <s v="Brett"/>
    <s v="Ness"/>
    <s v="US"/>
    <s v="0FEE1D7665C69AF10A495F91@038d2aa263c9deeb495fea.e"/>
    <x v="0"/>
    <x v="0"/>
    <x v="0"/>
    <m/>
    <m/>
    <s v="CAN - Stack - Edmonton - Operations"/>
    <m/>
    <m/>
    <m/>
    <m/>
    <m/>
    <m/>
    <m/>
    <x v="0"/>
    <x v="0"/>
    <n v="0"/>
    <n v="0"/>
    <n v="0"/>
    <n v="0"/>
    <m/>
  </r>
  <r>
    <s v="Federated ID"/>
    <s v="DanyloOstapchenko@montrose-env.com"/>
    <s v="montrose-env.com"/>
    <s v="DanyloOstapchenko@montrose-env.com"/>
    <s v="Danylo"/>
    <s v="Ostapchenko"/>
    <s v="US"/>
    <s v="11F61D7465C69AF10A495F86@038d2aa263c9deeb495fea.e"/>
    <x v="0"/>
    <x v="0"/>
    <x v="0"/>
    <m/>
    <m/>
    <s v="CAN - Stack - Edmonton - Operations"/>
    <m/>
    <m/>
    <m/>
    <m/>
    <m/>
    <m/>
    <m/>
    <x v="0"/>
    <x v="0"/>
    <n v="0"/>
    <n v="0"/>
    <n v="0"/>
    <n v="0"/>
    <m/>
  </r>
  <r>
    <s v="Federated ID"/>
    <s v="KevinBerling@montrose-env.com"/>
    <s v="montrose-env.com"/>
    <s v="KevinBerling@montrose-env.com"/>
    <s v="Kevin"/>
    <s v="Berling"/>
    <s v="US"/>
    <s v="0F491D7D65C6A49F0A495C2F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mark.ellis@enthalpy.com"/>
    <s v="enthalpy.com"/>
    <s v="mark.ellis@enthalpy.com"/>
    <s v="Mark"/>
    <s v="Ellis"/>
    <s v="US"/>
    <s v="13D82EE665C8F52C0A495CE8@038d2aa263c9deeb495fea.e"/>
    <x v="1"/>
    <x v="0"/>
    <x v="0"/>
    <m/>
    <m/>
    <s v="USA - Labs - OH - Sales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jagarrett@montrose-env.com"/>
    <s v="montrose-env.com"/>
    <s v="jagarrett@montrose-env.com"/>
    <s v="James"/>
    <s v="Garrett"/>
    <s v="US"/>
    <s v="1657049565C91B0E0A495E78@038d2aa263c9deeb495fea.e"/>
    <x v="1"/>
    <x v="0"/>
    <x v="0"/>
    <m/>
    <m/>
    <s v="USA - Sensible EDP - Denver - Operations"/>
    <m/>
    <m/>
    <m/>
    <m/>
    <s v="Acrobat Pro (VIPMP - 99C0A3088A102BD9CB4A)"/>
    <m/>
    <m/>
    <x v="61"/>
    <x v="61"/>
    <n v="14.333333333333334"/>
    <n v="0"/>
    <n v="0"/>
    <n v="14.333333333333334"/>
    <n v="1"/>
  </r>
  <r>
    <s v="Federated ID"/>
    <s v="dbethea@montrose-env.com"/>
    <s v="montrose-env.com"/>
    <s v="dbethea@montrose-env.com"/>
    <s v="Debbie"/>
    <s v="Bethea"/>
    <s v="US"/>
    <s v="2AAF455165CA33BB0A495CE0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Federated ID"/>
    <s v="jdperkins@montrose-env.com"/>
    <s v="montrose-env.com"/>
    <s v="jdperkins@montrose-env.com"/>
    <s v="Deke"/>
    <s v="Perkins"/>
    <s v="US"/>
    <s v="2F71460E65CA517A0A495E0B@038d2aa263c9deeb495fea.e"/>
    <x v="1"/>
    <x v="0"/>
    <x v="0"/>
    <m/>
    <m/>
    <s v="USA - Stack - OH - Sales"/>
    <m/>
    <m/>
    <m/>
    <m/>
    <s v="Acrobat Pro (VIPMP - 99C0A3088A102BD9CB4A)"/>
    <m/>
    <m/>
    <x v="48"/>
    <x v="48"/>
    <n v="14.333333333333334"/>
    <n v="0"/>
    <n v="0"/>
    <n v="14.333333333333334"/>
    <n v="1"/>
  </r>
  <r>
    <s v="Federated ID"/>
    <s v="dafreitas@montrose-env.com"/>
    <s v="montrose-env.com"/>
    <s v="dafreitas@montrose-env.com"/>
    <s v="Daniel"/>
    <s v="Freitas"/>
    <s v="US"/>
    <s v="2E8A69A465CA550C0A495E5C@038d2aa263c9deeb495fea.e"/>
    <x v="0"/>
    <x v="0"/>
    <x v="0"/>
    <m/>
    <m/>
    <s v="USA - Environmental Consulting - Wilmington - Operations"/>
    <m/>
    <m/>
    <m/>
    <m/>
    <m/>
    <m/>
    <m/>
    <x v="0"/>
    <x v="0"/>
    <n v="0"/>
    <n v="0"/>
    <n v="0"/>
    <n v="0"/>
    <m/>
  </r>
  <r>
    <s v="Federated ID"/>
    <s v="JulieOxtoby@montrose-env.com"/>
    <s v="montrose-env.com"/>
    <s v="JulieOxtoby@montrose-env.com"/>
    <s v="Julie"/>
    <s v="Oxtoby"/>
    <s v="US"/>
    <s v="30F97AB265CA6DF70A495EE5@038d2aa263c9deeb495fea.e"/>
    <x v="2"/>
    <x v="0"/>
    <x v="0"/>
    <m/>
    <m/>
    <s v="CAN - OGI - Operations"/>
    <m/>
    <m/>
    <m/>
    <m/>
    <s v="Acrobat Standard DC (VIPMP - 99C0A3088A102BD9CB4A)"/>
    <m/>
    <m/>
    <x v="9"/>
    <x v="9"/>
    <n v="8.6983333333333324"/>
    <n v="0"/>
    <n v="0"/>
    <n v="8.6983333333333324"/>
    <n v="1"/>
  </r>
  <r>
    <s v="Federated ID"/>
    <s v="jberry@ect2.com"/>
    <s v="ect2.com"/>
    <s v="JBerry@ect2.com"/>
    <s v="John"/>
    <s v="Berry"/>
    <s v="US"/>
    <s v="3710647865CAA8330A495E1D@038d2aa263c9deeb495fea.e"/>
    <x v="2"/>
    <x v="0"/>
    <x v="0"/>
    <m/>
    <m/>
    <s v="USA - ECT2 - Operations"/>
    <m/>
    <m/>
    <m/>
    <m/>
    <s v="Acrobat Standard DC (VIPMP - 99C0A3088A102BD9CB4A)"/>
    <m/>
    <m/>
    <x v="10"/>
    <x v="10"/>
    <n v="8.6983333333333324"/>
    <n v="0"/>
    <n v="0"/>
    <n v="8.6983333333333324"/>
    <n v="1"/>
  </r>
  <r>
    <s v="Federated ID"/>
    <s v="saprins@montrose-env.com"/>
    <s v="montrose-env.com"/>
    <s v="saprins@montrose-env.com"/>
    <s v="Samantha"/>
    <s v="Prins"/>
    <s v="US"/>
    <s v="4D7A2EBF65CB8ECC0A495E9F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brblalock@ect2.com"/>
    <s v="ect2.com"/>
    <s v="brblalock@ect2.com"/>
    <s v="Brandon"/>
    <s v="Blalock"/>
    <s v="US"/>
    <s v="521E120C65CBA3A70A495E0C@038d2aa263c9deeb495fea.e"/>
    <x v="0"/>
    <x v="0"/>
    <x v="0"/>
    <m/>
    <m/>
    <s v="USA - ECT2 - Operations"/>
    <m/>
    <m/>
    <m/>
    <m/>
    <m/>
    <m/>
    <m/>
    <x v="0"/>
    <x v="0"/>
    <n v="0"/>
    <n v="0"/>
    <n v="0"/>
    <n v="0"/>
    <m/>
  </r>
  <r>
    <s v="Federated ID"/>
    <s v="irvinvivanco@montrose-env.com"/>
    <s v="montrose-env.com"/>
    <s v="irvinvivanco@montrose-env.com"/>
    <s v="Irvin"/>
    <s v="Vivanco"/>
    <s v="US"/>
    <s v="50E72EBF65CBA8CA0A495E9F@038d2aa263c9deeb495fea.e"/>
    <x v="2"/>
    <x v="0"/>
    <x v="0"/>
    <m/>
    <m/>
    <s v="USA - OGI - Operations"/>
    <m/>
    <m/>
    <m/>
    <m/>
    <s v="Acrobat Standard DC (VIPMP - 99C0A3088A102BD9CB4A)"/>
    <m/>
    <m/>
    <x v="30"/>
    <x v="30"/>
    <n v="8.6983333333333324"/>
    <n v="0"/>
    <n v="0"/>
    <n v="8.6983333333333324"/>
    <n v="1"/>
  </r>
  <r>
    <s v="Federated ID"/>
    <s v="Alyssa.Glauser@enthalpy.com"/>
    <s v="enthalpy.com"/>
    <s v="Alyssa.Glauser@enthalpy.com"/>
    <s v="Alyssa"/>
    <s v="Glauser"/>
    <s v="US"/>
    <s v="68F3343865CCBF390A495FBF@038d2aa263c9deeb495fea.e"/>
    <x v="0"/>
    <x v="0"/>
    <x v="0"/>
    <m/>
    <m/>
    <s v="USA - Labs - OH - Sales"/>
    <m/>
    <m/>
    <m/>
    <m/>
    <m/>
    <m/>
    <m/>
    <x v="0"/>
    <x v="0"/>
    <n v="0"/>
    <n v="0"/>
    <n v="0"/>
    <n v="0"/>
    <m/>
  </r>
  <r>
    <s v="Federated ID"/>
    <s v="pahalbert@montrose-env.com"/>
    <s v="montrose-env.com"/>
    <s v="pahalbert@montrose-env.com"/>
    <s v="Patrick"/>
    <s v="Halbert"/>
    <s v="US"/>
    <s v="784F2FA965CD2D900A495FD0@038d2aa263c9deeb495fea.e"/>
    <x v="0"/>
    <x v="0"/>
    <x v="0"/>
    <m/>
    <m/>
    <s v="USA - Environmental Consulting - Wilmington - Operations"/>
    <m/>
    <m/>
    <m/>
    <m/>
    <m/>
    <m/>
    <m/>
    <x v="0"/>
    <x v="0"/>
    <n v="0"/>
    <n v="0"/>
    <n v="0"/>
    <n v="0"/>
    <m/>
  </r>
  <r>
    <s v="Federated ID"/>
    <s v="dmartorana@montrose-env.com"/>
    <s v="montrose-env.com"/>
    <s v="dmartorana@montrose-env.com"/>
    <s v="Dean"/>
    <s v="Martorana"/>
    <s v="US"/>
    <s v="78DF436E65CD2E0C0A495E65@038d2aa263c9deeb495fea.e"/>
    <x v="1"/>
    <x v="3"/>
    <x v="0"/>
    <m/>
    <m/>
    <s v="USA - Environmental Consulting - Oakland - Operations"/>
    <m/>
    <m/>
    <m/>
    <m/>
    <s v="Acrobat Pro (VIPMP - 99C0A3088A102BD9CB4A),Illustrator (VIPMP - 99C0A3088A102BD9CB4A)"/>
    <m/>
    <m/>
    <x v="34"/>
    <x v="34"/>
    <n v="14.333333333333334"/>
    <n v="36.357500000000002"/>
    <n v="0"/>
    <n v="50.690833333333337"/>
    <n v="1"/>
  </r>
  <r>
    <s v="Federated ID"/>
    <s v="rishireyadmin@montrose-env.com"/>
    <s v="montrose-env.com"/>
    <s v="rishireyadmin@montrose-env.com"/>
    <s v="Rich"/>
    <s v="Shirey"/>
    <s v="US"/>
    <s v="75FC343865CD2E8D0A495FBF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hdpatti@montrose-env.com"/>
    <s v="montrose-env.com"/>
    <s v="hdpatti@montrose-env.com"/>
    <s v="Heather"/>
    <s v="Patti"/>
    <s v="US"/>
    <s v="7775283D65CD34E20A495EAD@038d2aa263c9deeb495fea.e"/>
    <x v="1"/>
    <x v="0"/>
    <x v="0"/>
    <m/>
    <m/>
    <s v="USA - Env Lab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mahershberger@montrose-env.com"/>
    <s v="montrose-env.com"/>
    <s v="mahershberger@montrose-env.com"/>
    <s v="Matthew"/>
    <s v="Hershberger"/>
    <s v="US"/>
    <s v="22C41E2F65CE45BB0A495F8A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IngridDanielaGaleano@enthalpy.com"/>
    <s v="enthalpy.com"/>
    <s v="IngridDanielaGaleano@enthalpy.com"/>
    <s v="Ingrid"/>
    <s v="Galeano"/>
    <s v="US"/>
    <s v="298F1E3665CE81460A495C14@038d2aa263c9deeb495fea.e"/>
    <x v="0"/>
    <x v="0"/>
    <x v="0"/>
    <m/>
    <m/>
    <s v="USA - Env Lab - El Dorado Hills - Operations"/>
    <m/>
    <m/>
    <m/>
    <m/>
    <m/>
    <m/>
    <m/>
    <x v="0"/>
    <x v="0"/>
    <n v="0"/>
    <n v="0"/>
    <n v="0"/>
    <n v="0"/>
    <m/>
  </r>
  <r>
    <s v="Federated ID"/>
    <s v="sarah.roberts@enthalpy.com"/>
    <s v="enthalpy.com"/>
    <s v="sarah.roberts@enthalpy.com"/>
    <s v="Sarah"/>
    <s v="Roberts"/>
    <s v="US"/>
    <s v="42861E3665CF8A550A495C14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jopierce@montrose-env.com"/>
    <s v="montrose-env.com"/>
    <s v="jopierce@montrose-env.com"/>
    <s v="Johnny"/>
    <s v="Pierce"/>
    <s v="US"/>
    <s v="47E41E2D65CFA9DE0A495E4A@038d2aa263c9deeb495fea.e"/>
    <x v="1"/>
    <x v="0"/>
    <x v="0"/>
    <m/>
    <m/>
    <s v="USA - Stack - Gulf Coast - Operations"/>
    <m/>
    <m/>
    <m/>
    <m/>
    <s v="Acrobat Pro (VIPMP - 99C0A3088A102BD9CB4A)"/>
    <m/>
    <m/>
    <x v="60"/>
    <x v="60"/>
    <n v="14.333333333333334"/>
    <n v="0"/>
    <n v="0"/>
    <n v="14.333333333333334"/>
    <n v="1"/>
  </r>
  <r>
    <s v="Federated ID"/>
    <s v="mapple@montrose-env.com"/>
    <s v="montrose-env.com"/>
    <s v="mapple@montrose-env.com"/>
    <s v="Michael"/>
    <s v="Apple"/>
    <s v="US"/>
    <s v="8E251E4F65D39B7A0A495FEE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jacarroll@montrose-env.com"/>
    <s v="montrose-env.com"/>
    <s v="jacarroll@montrose-env.com"/>
    <s v="Jazlynne"/>
    <s v="Carroll"/>
    <s v="US"/>
    <s v="8E9C1E4065D3B38C0A495C46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ezalasar@montrose-env.com"/>
    <s v="montrose-env.com"/>
    <s v="ezalasar@montrose-env.com"/>
    <s v="Elda"/>
    <s v="Zalasar"/>
    <s v="US"/>
    <s v="93891E2465D3F75A0A495F84@c67c263163d83b8d0a495c06"/>
    <x v="2"/>
    <x v="0"/>
    <x v="0"/>
    <s v="System"/>
    <m/>
    <s v="USA - Corp - Global Business Services"/>
    <m/>
    <m/>
    <m/>
    <m/>
    <s v="Acrobat Standard DC (VIPMP - 99C0A3088A102BD9CB4A)"/>
    <m/>
    <m/>
    <x v="65"/>
    <x v="65"/>
    <n v="8.6983333333333324"/>
    <n v="0"/>
    <n v="0"/>
    <n v="8.6983333333333324"/>
    <n v="1"/>
  </r>
  <r>
    <s v="Federated ID"/>
    <s v="HarryBoxler@montrose-env.com"/>
    <s v="montrose-env.com"/>
    <s v="HarryBoxler@montrose-env.com"/>
    <s v="Harry"/>
    <s v="Boxler"/>
    <s v="US"/>
    <s v="ADB11E3065D4D9820A495FD5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juaraiza@montrose-env.com"/>
    <s v="montrose-env.com"/>
    <s v="juaraiza@montrose-env.com"/>
    <s v="Juan"/>
    <s v="Araiza"/>
    <s v="US"/>
    <s v="B26E1EA265D4DE250A495CA5@038d2aa263c9deeb495fea.e"/>
    <x v="2"/>
    <x v="0"/>
    <x v="0"/>
    <m/>
    <m/>
    <s v="USA - Corp - Global Business Services"/>
    <m/>
    <m/>
    <m/>
    <m/>
    <s v="Acrobat Standard DC (VIPMP - 99C0A3088A102BD9CB4A)"/>
    <m/>
    <m/>
    <x v="65"/>
    <x v="65"/>
    <n v="8.6983333333333324"/>
    <n v="0"/>
    <n v="0"/>
    <n v="8.6983333333333324"/>
    <n v="1"/>
  </r>
  <r>
    <s v="Federated ID"/>
    <s v="nafsari@montrose-env.com"/>
    <s v="montrose-env.com"/>
    <s v="nafsari@montrose-env.com"/>
    <s v="Nasym"/>
    <s v="Afsari"/>
    <s v="US"/>
    <s v="B6D61E3665D5345E0A495C97@038d2aa263c9deeb495fea.e"/>
    <x v="1"/>
    <x v="0"/>
    <x v="0"/>
    <m/>
    <m/>
    <s v="USA - Corp - Executive"/>
    <m/>
    <m/>
    <m/>
    <m/>
    <s v="Acrobat Pro (VIPMP - 99C0A3088A102BD9CB4A)"/>
    <m/>
    <m/>
    <x v="37"/>
    <x v="37"/>
    <n v="14.333333333333334"/>
    <n v="0"/>
    <n v="0"/>
    <n v="14.333333333333334"/>
    <n v="1"/>
  </r>
  <r>
    <s v="Federated ID"/>
    <s v="kedaggett@montrose-env.com"/>
    <s v="montrose-env.com"/>
    <s v="kedaggett@montrose-env.com"/>
    <s v="Kelly"/>
    <s v="Daggett"/>
    <s v="US"/>
    <s v="FB051E3065D77EC10A495E51@038d2aa263c9deeb495fea.e"/>
    <x v="1"/>
    <x v="0"/>
    <x v="0"/>
    <m/>
    <m/>
    <s v="USA - Corp - HR"/>
    <m/>
    <m/>
    <m/>
    <m/>
    <s v="Acrobat Pro (VIPMP - 99C0A3088A102BD9CB4A)"/>
    <m/>
    <m/>
    <x v="70"/>
    <x v="70"/>
    <n v="14.333333333333334"/>
    <n v="0"/>
    <n v="0"/>
    <n v="14.333333333333334"/>
    <n v="1"/>
  </r>
  <r>
    <s v="Federated ID"/>
    <s v="anjaroslawski@montrose-env.com"/>
    <s v="montrose-env.com"/>
    <s v="anjaroslawski@montrose-env.com"/>
    <s v="Andrea"/>
    <s v="Jaroslawski"/>
    <s v="US"/>
    <s v="FC021E5465D7901D0A495F8D@038d2aa263c9deeb495fea.e"/>
    <x v="1"/>
    <x v="0"/>
    <x v="0"/>
    <m/>
    <m/>
    <s v="USA - Corp - Financial Systems"/>
    <m/>
    <m/>
    <m/>
    <m/>
    <s v="Acrobat Pro (VIPMP - 99C0A3088A102BD9CB4A)"/>
    <m/>
    <m/>
    <x v="70"/>
    <x v="70"/>
    <n v="14.333333333333334"/>
    <n v="0"/>
    <n v="0"/>
    <n v="14.333333333333334"/>
    <n v="1"/>
  </r>
  <r>
    <s v="Federated ID"/>
    <s v="lucinda.kyser@enthalpy.com"/>
    <s v="enthalpy.com"/>
    <s v="lucinda.kyser@enthalpy.com"/>
    <s v="Cindy"/>
    <s v="Kyser"/>
    <s v="US"/>
    <s v="FCD21E3965D798EA0A495E4F@038d2aa263c9deeb495fea.e"/>
    <x v="1"/>
    <x v="0"/>
    <x v="0"/>
    <m/>
    <m/>
    <s v="USA - Env Lab - Mt Pleasant - Operations"/>
    <m/>
    <m/>
    <m/>
    <m/>
    <s v="Acrobat Pro (VIPMP - 99C0A3088A102BD9CB4A)"/>
    <m/>
    <m/>
    <x v="82"/>
    <x v="82"/>
    <n v="14.333333333333334"/>
    <n v="0"/>
    <n v="0"/>
    <n v="14.333333333333334"/>
    <n v="1"/>
  </r>
  <r>
    <s v="Federated ID"/>
    <s v="mandy.mishra@enthalpy.com"/>
    <s v="enthalpy.com"/>
    <s v="mandy.mishra@enthalpy.com"/>
    <s v="Mandy"/>
    <s v="Mishra"/>
    <s v="US"/>
    <s v="02871E2E65D7B8890A495E32@038d2aa263c9deeb495fea.e"/>
    <x v="0"/>
    <x v="0"/>
    <x v="0"/>
    <m/>
    <m/>
    <s v="USA - Env Lab - Richmond - G&amp;A"/>
    <m/>
    <m/>
    <m/>
    <m/>
    <m/>
    <m/>
    <m/>
    <x v="0"/>
    <x v="0"/>
    <n v="0"/>
    <n v="0"/>
    <n v="0"/>
    <n v="0"/>
    <m/>
  </r>
  <r>
    <s v="Federated ID"/>
    <s v="eshirley@montrose-env.com"/>
    <s v="montrose-env.com"/>
    <s v="eshirley@montrose-env.com"/>
    <s v="Ernie"/>
    <s v="Shirley"/>
    <s v="US"/>
    <s v="74591E4D65DCD4A20A495E57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chkurnath@montrose-env.com"/>
    <s v="enthalpy.com"/>
    <s v="christina.kurnath@enthalpy.com"/>
    <s v="Christina"/>
    <s v="Kurnath"/>
    <s v="US"/>
    <s v="76821E4D65DCD53B0A495FFC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kamorrison@montrose-env.com"/>
    <s v="montrose-env.com"/>
    <s v="kamorrison@montrose-env.com"/>
    <s v="Karen"/>
    <s v="Morrison"/>
    <s v="US"/>
    <s v="9CC21EA265DE13D00A495CA5@038d2aa263c9deeb495fea.e"/>
    <x v="1"/>
    <x v="0"/>
    <x v="0"/>
    <m/>
    <m/>
    <s v="USA - Corp - Safety"/>
    <m/>
    <m/>
    <m/>
    <m/>
    <s v="Acrobat Pro (VIPMP - 99C0A3088A102BD9CB4A)"/>
    <m/>
    <m/>
    <x v="74"/>
    <x v="74"/>
    <n v="14.333333333333334"/>
    <n v="0"/>
    <n v="0"/>
    <n v="14.333333333333334"/>
    <n v="1"/>
  </r>
  <r>
    <s v="Federated ID"/>
    <s v="kirill.kondratenko@enthalpy.com"/>
    <s v="enthalpy.com"/>
    <s v="kirill.kondratenko@enthalpy.com"/>
    <s v="Kirill"/>
    <s v="Kond"/>
    <s v="US"/>
    <s v="A0581E2F65DE2B990A495F8A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diane.galvan@enthalpy.com"/>
    <s v="enthalpy.com"/>
    <s v="diane.galvan@enthalpy.com"/>
    <s v="Diane"/>
    <s v="Galvan"/>
    <s v="US"/>
    <s v="99551E4765DE2C620A495E5D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rocio.gutierrez@enthalpy.com"/>
    <s v="enthalpy.com"/>
    <s v="rocio.gutierrez@enthalpy.com"/>
    <s v="Rocio"/>
    <s v="Gutierrez"/>
    <s v="US"/>
    <s v="C2921E2565DF4C700A495E8E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jonathan.acosta@enthalpy.com"/>
    <s v="enthalpy.com"/>
    <s v="jonathan.acosta@enthalpy.com"/>
    <s v="Jonathan"/>
    <s v="Acosta"/>
    <s v="US"/>
    <s v="C6D11E2965DF7A160A495E3D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BrandonSaeler@montrose-env.com"/>
    <s v="montrose-env.com"/>
    <s v="BrandonSaeler@montrose-env.com"/>
    <s v="Brandon"/>
    <s v="Saeler"/>
    <s v="US"/>
    <s v="C7A41E2A65DF8B9C0A495F9F@038d2aa263c9deeb495fea.e"/>
    <x v="1"/>
    <x v="0"/>
    <x v="0"/>
    <m/>
    <m/>
    <s v="USA - Environmental Consulting - Valley Forge - G&amp;A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jmccormack@montrose-env.com"/>
    <s v="montrose-env.com"/>
    <s v="jmccormack@montrose-env.com"/>
    <s v="James"/>
    <s v="McCormack"/>
    <s v="US"/>
    <s v="E4A01E2665E087D70A495EA3@038d2aa263c9deeb495fea.e"/>
    <x v="2"/>
    <x v="0"/>
    <x v="0"/>
    <m/>
    <m/>
    <s v="USA - Corp - Sales"/>
    <m/>
    <m/>
    <m/>
    <m/>
    <s v="Acrobat Standard DC (VIPMP - 99C0A3088A102BD9CB4A)"/>
    <m/>
    <m/>
    <x v="17"/>
    <x v="17"/>
    <n v="8.6983333333333324"/>
    <n v="0"/>
    <n v="0"/>
    <n v="8.6983333333333324"/>
    <n v="1"/>
  </r>
  <r>
    <s v="Federated ID"/>
    <s v="biancavanaagten@montrose-env.com"/>
    <s v="montrose-env.com"/>
    <s v="biancavanaagten@montrose-env.com"/>
    <s v="Bianca"/>
    <s v="Vanaagten"/>
    <s v="UD"/>
    <s v="EDA91E2B65E0BC570A495FBB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JoseHernandez@montrose-env.com"/>
    <s v="montrose-env.com"/>
    <s v="JoseHernandez@montrose-env.com"/>
    <s v="Jose"/>
    <s v="Hernandez"/>
    <s v="US"/>
    <s v="164E1E2C65E22E380A495C0C@038d2aa263c9deeb495fea.e"/>
    <x v="1"/>
    <x v="0"/>
    <x v="0"/>
    <m/>
    <m/>
    <s v="USA - Stack - Chicago - Operations"/>
    <m/>
    <m/>
    <m/>
    <m/>
    <s v="Acrobat Pro (VIPMP - 99C0A3088A102BD9CB4A)"/>
    <m/>
    <m/>
    <x v="12"/>
    <x v="12"/>
    <n v="14.333333333333334"/>
    <n v="0"/>
    <n v="0"/>
    <n v="14.333333333333334"/>
    <n v="1"/>
  </r>
  <r>
    <s v="Federated ID"/>
    <s v="oliver.cawdell@enthalpy.com"/>
    <s v="enthalpy.com"/>
    <s v="oliver.cawdell@enthalpy.com"/>
    <s v="Oliver"/>
    <s v="Cawdell"/>
    <s v="US"/>
    <s v="12AC1E2E65E239210A495C6F@038d2aa263c9deeb495fea.e"/>
    <x v="1"/>
    <x v="0"/>
    <x v="0"/>
    <m/>
    <m/>
    <s v="USA - Env Lab - El Dorado Hills - Operations"/>
    <m/>
    <m/>
    <m/>
    <m/>
    <s v="Acrobat Pro (VIPMP - 99C0A3088A102BD9CB4A)"/>
    <m/>
    <m/>
    <x v="104"/>
    <x v="104"/>
    <n v="14.333333333333334"/>
    <n v="0"/>
    <n v="0"/>
    <n v="14.333333333333334"/>
    <n v="1"/>
  </r>
  <r>
    <s v="Federated ID"/>
    <s v="juanica.thomas@enthalpy.com"/>
    <s v="enthalpy.com"/>
    <s v="juanica.thomas@enthalpy.com"/>
    <s v="Juanica"/>
    <s v="Thomas"/>
    <s v="US"/>
    <s v="17431E2F65E239210A495FD9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megan.keeter@enthalpy.com"/>
    <s v="enthalpy.com"/>
    <s v="megan.keeter@enthalpy.com"/>
    <s v="Megan"/>
    <s v="Keeter"/>
    <s v="US"/>
    <s v="178A1E2965E239210A495FC0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jennifer.bowker@enthalpy.com"/>
    <s v="enthalpy.com"/>
    <s v="jennifer.bowker@enthalpy.com"/>
    <s v="Jennifer"/>
    <s v="Bowker"/>
    <s v="US"/>
    <s v="10671E5565E239220A495CA0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nicole.west@enthalpy.com"/>
    <s v="enthalpy.com"/>
    <s v="nicole.west@enthalpy.com"/>
    <s v="Nicole"/>
    <s v="West"/>
    <s v="US"/>
    <s v="12DF1F4165E239220A495FC1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lboivin@montrose-env.com"/>
    <s v="montrose-env.com"/>
    <s v="lboivin@montrose-env.com"/>
    <s v="Laura"/>
    <s v="Boivin"/>
    <s v="US"/>
    <s v="16C11E3665E239240A495C97@038d2aa263c9deeb495fea.e"/>
    <x v="0"/>
    <x v="0"/>
    <x v="0"/>
    <m/>
    <m/>
    <s v="USA - Env Lab - Wilmington - G&amp;A"/>
    <m/>
    <m/>
    <m/>
    <m/>
    <m/>
    <m/>
    <m/>
    <x v="0"/>
    <x v="0"/>
    <n v="0"/>
    <n v="0"/>
    <n v="0"/>
    <n v="0"/>
    <m/>
  </r>
  <r>
    <s v="Federated ID"/>
    <s v="karodrigue-varnado@enthalpy.com"/>
    <s v="enthalpy.com"/>
    <s v="karodrigue-varnado@enthalpy.com"/>
    <s v="Karen"/>
    <s v="Rodrigue Varnado"/>
    <s v="US"/>
    <s v="15BB1E2365E239240A495E25@038d2aa263c9deeb495fea.e"/>
    <x v="1"/>
    <x v="0"/>
    <x v="0"/>
    <m/>
    <m/>
    <s v="USA - Stack - Gulf Coast - Operations"/>
    <m/>
    <m/>
    <m/>
    <m/>
    <s v="Acrobat Pro (VIPMP - 99C0A3088A102BD9CB4A)"/>
    <m/>
    <m/>
    <x v="60"/>
    <x v="60"/>
    <n v="14.333333333333334"/>
    <n v="0"/>
    <n v="0"/>
    <n v="14.333333333333334"/>
    <n v="1"/>
  </r>
  <r>
    <s v="Federated ID"/>
    <s v="whwilliamson@montrose-env.com"/>
    <s v="montrose-env.com"/>
    <s v="whwilliamson@montrose-env.com"/>
    <s v="Whitney"/>
    <s v="Williamson"/>
    <s v="US"/>
    <s v="1A7F1E2D65E239250A495E4A@038d2aa263c9deeb495fea.e"/>
    <x v="1"/>
    <x v="0"/>
    <x v="0"/>
    <m/>
    <m/>
    <s v="USA - Corp - Global Business Services"/>
    <m/>
    <m/>
    <m/>
    <m/>
    <s v="Acrobat Pro (VIPMP - 99C0A3088A102BD9CB4A)"/>
    <m/>
    <m/>
    <x v="65"/>
    <x v="65"/>
    <n v="14.333333333333334"/>
    <n v="0"/>
    <n v="0"/>
    <n v="14.333333333333334"/>
    <n v="1"/>
  </r>
  <r>
    <s v="Federated ID"/>
    <s v="cmgay@montrose-env.com"/>
    <s v="enthalpy.com"/>
    <s v="Christine.Gay@enthalpy.com"/>
    <s v="mgay"/>
    <s v="Millner Gay"/>
    <s v="US"/>
    <s v="1BDF1E2665E239250A495CFE@038d2aa263c9deeb495fea.e"/>
    <x v="1"/>
    <x v="0"/>
    <x v="0"/>
    <m/>
    <m/>
    <s v="USA - Labs - OH - G&amp;A"/>
    <m/>
    <m/>
    <m/>
    <m/>
    <s v="Acrobat Pro (VIPMP - 99C0A3088A102BD9CB4A)"/>
    <m/>
    <m/>
    <x v="43"/>
    <x v="43"/>
    <n v="14.333333333333334"/>
    <n v="0"/>
    <n v="0"/>
    <n v="14.333333333333334"/>
    <n v="1"/>
  </r>
  <r>
    <s v="Federated ID"/>
    <s v="nrdiaz@montrose-env.com"/>
    <s v="montrose-env.com"/>
    <s v="NRDIAZ@MONTROSE-ENV.com"/>
    <s v="Nathaniel"/>
    <s v="Diaz"/>
    <s v="US"/>
    <s v="16C81E2265E239270A495C06@038d2aa263c9deeb495fea.e"/>
    <x v="0"/>
    <x v="0"/>
    <x v="0"/>
    <m/>
    <m/>
    <s v="USA - LDAR - Texas - Operations"/>
    <m/>
    <m/>
    <m/>
    <m/>
    <m/>
    <m/>
    <m/>
    <x v="0"/>
    <x v="0"/>
    <n v="0"/>
    <n v="0"/>
    <n v="0"/>
    <n v="0"/>
    <m/>
  </r>
  <r>
    <s v="Federated ID"/>
    <s v="laura.graber@enthalpy.com"/>
    <s v="enthalpy.com"/>
    <s v="laura.graber@enthalpy.com"/>
    <s v="Laura"/>
    <s v="Graber"/>
    <s v="US"/>
    <s v="154B1E4865E239290A495F94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myegan.griffin@enthalpy.com"/>
    <s v="enthalpy.com"/>
    <s v="myegan.griffin@enthalpy.com"/>
    <s v="Myegan"/>
    <s v="Griffin"/>
    <s v="US"/>
    <s v="15591E2A65E239290A495FA3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ashlyn.everhart@enthalpy.com"/>
    <s v="enthalpy.com"/>
    <s v="ashlyn.everhart@enthalpy.com"/>
    <s v="Ashlyn"/>
    <s v="Everhart"/>
    <s v="US"/>
    <s v="15F41E2965E2392A0A495E3D@038d2aa263c9deeb495fea.e"/>
    <x v="0"/>
    <x v="0"/>
    <x v="0"/>
    <m/>
    <m/>
    <s v="USA - Env Lab - Houston - Operations"/>
    <m/>
    <m/>
    <m/>
    <m/>
    <m/>
    <m/>
    <m/>
    <x v="0"/>
    <x v="0"/>
    <n v="0"/>
    <n v="0"/>
    <n v="0"/>
    <n v="0"/>
    <m/>
  </r>
  <r>
    <s v="Federated ID"/>
    <s v="britton.smith@enthalpy.com"/>
    <s v="enthalpy.com"/>
    <s v="britton.smith@enthalpy.com"/>
    <s v="Britton"/>
    <s v="Smith"/>
    <s v="US"/>
    <s v="18E31E2A65E2392A0A495C11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brielle.mefferd@enthalpy.com"/>
    <s v="enthalpy.com"/>
    <s v="brielle.mefferd@enthalpy.com"/>
    <s v="Brielle"/>
    <s v="Mefferd"/>
    <s v="US"/>
    <s v="12E71E3365E2392A0A495C13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gary.keene@enthalpy.com"/>
    <s v="enthalpy.com"/>
    <s v="gary.keene@enthalpy.com"/>
    <s v="Gary"/>
    <s v="Keene"/>
    <s v="US"/>
    <s v="166B1E2D65E2392B0A495FE3@038d2aa263c9deeb495fea.e"/>
    <x v="0"/>
    <x v="0"/>
    <x v="0"/>
    <m/>
    <m/>
    <s v="USA - Env Lab - Houston - Operations"/>
    <m/>
    <m/>
    <m/>
    <m/>
    <m/>
    <m/>
    <m/>
    <x v="0"/>
    <x v="0"/>
    <n v="0"/>
    <n v="0"/>
    <n v="0"/>
    <n v="0"/>
    <m/>
  </r>
  <r>
    <s v="Federated ID"/>
    <s v="cleo.grigsby@enthalpy.com"/>
    <s v="enthalpy.com"/>
    <s v="cleo.grigsby@enthalpy.com"/>
    <s v="Cleo"/>
    <s v="Grigsby"/>
    <s v="US"/>
    <s v="1BE01E2665E2392B0A495CFE@038d2aa263c9deeb495fea.e"/>
    <x v="0"/>
    <x v="0"/>
    <x v="0"/>
    <m/>
    <m/>
    <s v="USA - Env Lab - Houston - Operations"/>
    <m/>
    <m/>
    <m/>
    <m/>
    <m/>
    <m/>
    <m/>
    <x v="0"/>
    <x v="0"/>
    <n v="0"/>
    <n v="0"/>
    <n v="0"/>
    <n v="0"/>
    <m/>
  </r>
  <r>
    <s v="Federated ID"/>
    <s v="hayden.grubbs@enthalpy.com"/>
    <s v="enthalpy.com"/>
    <s v="hayden.grubbs@enthalpy.com"/>
    <s v="Hayden"/>
    <s v="Grubbs"/>
    <s v="US"/>
    <s v="14491E2665E2392B0A495E73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jenny.payton@enthalpy.com"/>
    <s v="enthalpy.com"/>
    <s v="jenny.payton@enthalpy.com"/>
    <s v="Jenny"/>
    <s v="Payton"/>
    <s v="US"/>
    <s v="15D61E2965E2392B0A495C35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madeleinecourtney@enthalpy.com"/>
    <s v="enthalpy.com"/>
    <s v="madeleinecourtney@enthalpy.com"/>
    <s v="Madeline"/>
    <s v="Courtney"/>
    <s v="US"/>
    <s v="1A971EA265E2392C0A495CA5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mark.vazquez@enthalpy.com"/>
    <s v="enthalpy.com"/>
    <s v="mark.vazquez@enthalpy.com"/>
    <s v="Mark"/>
    <s v="Vasquez"/>
    <s v="US"/>
    <s v="14641E3065E2392C0A495E24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tyler.clay@enthalpy.com"/>
    <s v="enthalpy.com"/>
    <s v="tyler.clay@enthalpy.com"/>
    <s v="Tyler"/>
    <s v="Clay"/>
    <s v="US"/>
    <s v="13EF1E4A65E2392D0A495C63@038d2aa263c9deeb495fea.e"/>
    <x v="1"/>
    <x v="0"/>
    <x v="0"/>
    <m/>
    <m/>
    <s v="USA - Env Lab - Houston - Operations"/>
    <m/>
    <m/>
    <m/>
    <m/>
    <s v="Acrobat Pro (VIPMP - 99C0A3088A102BD9CB4A)"/>
    <m/>
    <m/>
    <x v="52"/>
    <x v="52"/>
    <n v="14.333333333333334"/>
    <n v="0"/>
    <n v="0"/>
    <n v="14.333333333333334"/>
    <n v="1"/>
  </r>
  <r>
    <s v="Federated ID"/>
    <s v="tyler.haw@enthalpy.com"/>
    <s v="enthalpy.com"/>
    <s v="tyler.haw@enthalpy.com"/>
    <s v="Tyler"/>
    <s v="Haw"/>
    <s v="US"/>
    <s v="18A71E2F65E2392D0A495FED@038d2aa263c9deeb495fea.e"/>
    <x v="0"/>
    <x v="0"/>
    <x v="0"/>
    <m/>
    <m/>
    <s v="USA - Env Lab - Houston - Operations"/>
    <m/>
    <m/>
    <m/>
    <m/>
    <m/>
    <m/>
    <m/>
    <x v="0"/>
    <x v="0"/>
    <n v="0"/>
    <n v="0"/>
    <n v="0"/>
    <n v="0"/>
    <m/>
  </r>
  <r>
    <s v="Federated ID"/>
    <s v="lindsay.veit@enthalpy.com"/>
    <s v="enthalpy.com"/>
    <s v="lindsay.veit@enthalpy.com"/>
    <s v="Lindsay"/>
    <s v="Veit"/>
    <s v="US"/>
    <s v="14FA1F1365E2392D0A495EDA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seeta.arundhati@enthalpy.com"/>
    <s v="enthalpy.com"/>
    <s v="seeta.arundhati@enthalpy.com"/>
    <s v="Seeta"/>
    <s v="Arundhati"/>
    <s v="US"/>
    <s v="17161E2565E2392E0A495E8E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erika.anderson@montrose-env.com"/>
    <s v="montrose-env.com"/>
    <s v="erika.anderson@montrose-env.com"/>
    <s v="Erika"/>
    <s v="Anderson"/>
    <s v="US"/>
    <s v="155C1E4D65E2392F0A495FFC@038d2aa263c9deeb495fea.e"/>
    <x v="0"/>
    <x v="0"/>
    <x v="0"/>
    <m/>
    <m/>
    <s v="USA - Labs - OH - Finance"/>
    <m/>
    <m/>
    <m/>
    <m/>
    <m/>
    <m/>
    <m/>
    <x v="0"/>
    <x v="0"/>
    <n v="0"/>
    <n v="0"/>
    <n v="0"/>
    <n v="0"/>
    <m/>
  </r>
  <r>
    <s v="Federated ID"/>
    <s v="mihinton@enthalpy.com"/>
    <s v="enthalpy.com"/>
    <s v="mihinton@enthalpy.com"/>
    <s v="Michelle"/>
    <s v="Hinton"/>
    <s v="US"/>
    <s v="0E721E2C65E2392F0A495FCA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kkern@montrose-env.com"/>
    <s v="montrose-env.com"/>
    <s v="kkern@montrose-env.com"/>
    <s v="Kristopher"/>
    <s v="Kern"/>
    <s v="US"/>
    <s v="65591E3265E645980A495EBE@038d2aa263c9deeb495fea.e"/>
    <x v="2"/>
    <x v="0"/>
    <x v="0"/>
    <m/>
    <m/>
    <s v="USA - Environmental Consulting - Santa Ana (Rem) - Operations"/>
    <m/>
    <m/>
    <m/>
    <m/>
    <s v="Acrobat Standard DC (VIPMP - 99C0A3088A102BD9CB4A)"/>
    <m/>
    <m/>
    <x v="1"/>
    <x v="1"/>
    <n v="8.6983333333333324"/>
    <n v="0"/>
    <n v="0"/>
    <n v="8.6983333333333324"/>
    <n v="1"/>
  </r>
  <r>
    <s v="Federated ID"/>
    <s v="kruggiero@montrose-env.com"/>
    <s v="montrose-env.com"/>
    <s v="kruggiero@montrose-env.com"/>
    <s v="Kevin"/>
    <s v="Ruggiero"/>
    <s v="US"/>
    <s v="841B1E4F65E738950A495FEE@038d2aa263c9deeb495fea.e"/>
    <x v="2"/>
    <x v="0"/>
    <x v="0"/>
    <m/>
    <m/>
    <s v="USA - Sensible EDP - Pinebrook - Operations"/>
    <m/>
    <m/>
    <m/>
    <m/>
    <s v="Acrobat Standard DC (VIPMP - 99C0A3088A102BD9CB4A)"/>
    <m/>
    <m/>
    <x v="86"/>
    <x v="86"/>
    <n v="8.6983333333333324"/>
    <n v="0"/>
    <n v="0"/>
    <n v="8.6983333333333324"/>
    <n v="1"/>
  </r>
  <r>
    <s v="Federated ID"/>
    <s v="wault@montrose-env.com"/>
    <s v="montrose-env.com"/>
    <s v="wault@montrose-env.com"/>
    <s v="William"/>
    <s v="Ault"/>
    <s v="US"/>
    <s v="840B1E3065E738C80A495E24@038d2aa263c9deeb495fea.e"/>
    <x v="2"/>
    <x v="0"/>
    <x v="0"/>
    <m/>
    <m/>
    <s v="USA - Sensible EDP - Pinebrook - Operations"/>
    <m/>
    <m/>
    <m/>
    <m/>
    <s v="Acrobat Standard DC (VIPMP - 99C0A3088A102BD9CB4A)"/>
    <m/>
    <m/>
    <x v="86"/>
    <x v="86"/>
    <n v="8.6983333333333324"/>
    <n v="0"/>
    <n v="0"/>
    <n v="8.6983333333333324"/>
    <n v="1"/>
  </r>
  <r>
    <s v="Federated ID"/>
    <s v="ekvella@montrose-env.com"/>
    <s v="montrose-env.com"/>
    <s v="ekvella@montrose-env.com"/>
    <s v="Emily"/>
    <s v="Vella"/>
    <s v="US"/>
    <s v="8DEF1EA565E776DE0A495FA5@038d2aa263c9deeb495fea.e"/>
    <x v="2"/>
    <x v="0"/>
    <x v="0"/>
    <m/>
    <m/>
    <s v="USA - Stack - Chicago - Operations"/>
    <m/>
    <m/>
    <m/>
    <m/>
    <s v="Acrobat Standard DC (VIPMP - 99C0A3088A102BD9CB4A)"/>
    <m/>
    <m/>
    <x v="12"/>
    <x v="12"/>
    <n v="8.6983333333333324"/>
    <n v="0"/>
    <n v="0"/>
    <n v="8.6983333333333324"/>
    <n v="1"/>
  </r>
  <r>
    <s v="Federated ID"/>
    <s v="acfranzman@montrose-env.com"/>
    <s v="montrose-env.com"/>
    <s v="acfranzman@montrose-env.com"/>
    <s v="Austin"/>
    <s v="Franzman"/>
    <s v="US"/>
    <s v="8E241E3065E790A20A495E24@038d2aa263c9deeb495fea.e"/>
    <x v="1"/>
    <x v="0"/>
    <x v="0"/>
    <m/>
    <m/>
    <s v="USA - Environmental Consulting - Santa Ana (Rem)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patricia.caines@enthalpy.com"/>
    <s v="enthalpy.com"/>
    <s v="patricia.caines@enthalpy.com"/>
    <s v="Patricia"/>
    <s v="Caines"/>
    <s v="US"/>
    <s v="8F461E3365E7ABFC0A495C13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kerenninger@montrose-env.com"/>
    <s v="montrose-env.com"/>
    <s v="kerenninger@montrose-env.com"/>
    <s v="Kevin"/>
    <s v="Renninger"/>
    <s v="US"/>
    <s v="ADBC1E7765E88DAA0A495EED@038d2aa263c9deeb495fea.e"/>
    <x v="1"/>
    <x v="0"/>
    <x v="0"/>
    <m/>
    <m/>
    <s v="USA - Corp - Sales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ketomeo@montrose-env.com"/>
    <s v="montrose-env.com"/>
    <s v="ketomeo@montrose-env.com"/>
    <s v="Kellie"/>
    <s v="Tomeo"/>
    <s v="US"/>
    <s v="B5A21E2665E8F81A0A495EA3@038d2aa263c9deeb495fea.e"/>
    <x v="0"/>
    <x v="0"/>
    <x v="0"/>
    <m/>
    <m/>
    <s v="USA - Corp - Legal"/>
    <m/>
    <m/>
    <m/>
    <m/>
    <m/>
    <m/>
    <m/>
    <x v="0"/>
    <x v="0"/>
    <n v="0"/>
    <n v="0"/>
    <n v="0"/>
    <n v="0"/>
    <m/>
  </r>
  <r>
    <s v="Federated ID"/>
    <s v="tboth@montrose-env.com"/>
    <s v="montrose-env.com"/>
    <s v="tboth@montrose-env.com"/>
    <s v="Travis"/>
    <s v="Both"/>
    <s v="US"/>
    <s v="1A9C1D5D65E9C46C0A495F97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kmthrasher@montrose-env.com"/>
    <s v="montrose-env.com"/>
    <s v="kmthrasher@montrose-env.com"/>
    <s v="Kelly"/>
    <s v="Thrasher"/>
    <s v="US"/>
    <s v="173B1D8C65E9CA660A495CCB@038d2aa263c9deeb495fea.e"/>
    <x v="1"/>
    <x v="0"/>
    <x v="0"/>
    <m/>
    <m/>
    <s v="USA - Stack - OH - G&amp;A"/>
    <m/>
    <m/>
    <m/>
    <m/>
    <s v="Acrobat Pro (VIPMP - 99C0A3088A102BD9CB4A)"/>
    <m/>
    <m/>
    <x v="36"/>
    <x v="36"/>
    <n v="14.333333333333334"/>
    <n v="0"/>
    <n v="0"/>
    <n v="14.333333333333334"/>
    <n v="1"/>
  </r>
  <r>
    <s v="Federated ID"/>
    <s v="rubaker@montrose-env.com"/>
    <s v="montrose-env.com"/>
    <s v="rubaker@montrose-env.com"/>
    <s v="Ruth"/>
    <s v="Baker"/>
    <s v="US"/>
    <s v="25F51D8165EA13330A495E35@038d2aa263c9deeb495fea.e"/>
    <x v="1"/>
    <x v="0"/>
    <x v="0"/>
    <m/>
    <m/>
    <s v="USA - Environmental Consulting - Valley Forge - G&amp;A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priyakumar@montrose-env.com"/>
    <s v="montrose-env.com"/>
    <s v="priyakumar@montrose-env.com"/>
    <s v="Priya"/>
    <s v="Kumar"/>
    <s v="US"/>
    <s v="44D51D8E65EB626B0A495CAB@038d2aa263c9deeb495fea.e"/>
    <x v="0"/>
    <x v="0"/>
    <x v="0"/>
    <m/>
    <m/>
    <s v="USA - Corp - Finance"/>
    <m/>
    <m/>
    <m/>
    <m/>
    <m/>
    <m/>
    <m/>
    <x v="0"/>
    <x v="0"/>
    <n v="0"/>
    <n v="0"/>
    <n v="0"/>
    <n v="0"/>
    <m/>
  </r>
  <r>
    <s v="Federated ID"/>
    <s v="grahamheal@montrose-env.com"/>
    <s v="montrose-env.com"/>
    <s v="grahamheal@montrose-env.com"/>
    <s v="Graham"/>
    <s v="Heal"/>
    <s v="US"/>
    <s v="86AC1D8465EF0F1B0A495E49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dominicbucci@montrose-env.com"/>
    <s v="montrose-env.com"/>
    <s v="dominicbucci@montrose-env.com"/>
    <s v="Dominic"/>
    <s v="Bucci"/>
    <s v="US"/>
    <s v="88111D5D65EF0F600A495F97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AnjilaManandhar@montrose-env.com"/>
    <s v="montrose-env.com"/>
    <s v="anjilamanandhar@montrose-env.com"/>
    <s v="Anjila"/>
    <s v="Manandhar"/>
    <s v="US"/>
    <s v="8B6D1D6965EF25C40A495EFD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GavynMocreia@montrose-env.com"/>
    <s v="montrose-env.com"/>
    <s v="gavynmocreia@montrose-env.com"/>
    <s v="Gavyn"/>
    <s v="Mocreia"/>
    <s v="US"/>
    <s v="91214D0165EF31D20A495FD3@038d2aa263c9deeb495fea.e"/>
    <x v="1"/>
    <x v="0"/>
    <x v="0"/>
    <m/>
    <m/>
    <s v="USA - Sensible EDP - Pinebrook - Operations"/>
    <m/>
    <m/>
    <m/>
    <m/>
    <s v="Acrobat Pro (VIPMP - 99C0A3088A102BD9CB4A)"/>
    <m/>
    <m/>
    <x v="86"/>
    <x v="86"/>
    <n v="14.333333333333334"/>
    <n v="0"/>
    <n v="0"/>
    <n v="14.333333333333334"/>
    <n v="1"/>
  </r>
  <r>
    <s v="Federated ID"/>
    <s v="jegranstra@montrose-env.com"/>
    <s v="montrose-env.com"/>
    <s v="jegranstra@montrose-env.com"/>
    <s v="Jenna"/>
    <s v="Granstra"/>
    <s v="US"/>
    <s v="98D21D7265EF6E8C0A495F95@038d2aa263c9deeb495fea.e"/>
    <x v="1"/>
    <x v="0"/>
    <x v="0"/>
    <m/>
    <m/>
    <s v="USA - Sensible EDP - Austin - Operations"/>
    <m/>
    <m/>
    <m/>
    <m/>
    <s v="Acrobat Pro (VIPMP - 99C0A3088A102BD9CB4A)"/>
    <m/>
    <m/>
    <x v="90"/>
    <x v="90"/>
    <n v="14.333333333333334"/>
    <n v="0"/>
    <n v="0"/>
    <n v="14.333333333333334"/>
    <n v="1"/>
  </r>
  <r>
    <s v="Federated ID"/>
    <s v="joelashurdho@enthalpy.com"/>
    <s v="enthalpy.com"/>
    <s v="joelashurdho@enthalpy.com"/>
    <s v="Joela"/>
    <s v="Shurdho"/>
    <s v="US"/>
    <s v="DD5F1D9365F1DF1C0A495CE9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croh@montrose-env.com"/>
    <s v="montrose-env.com"/>
    <s v="croh@montrose-env.com"/>
    <s v="Christy"/>
    <s v="Roh"/>
    <s v="US"/>
    <s v="E6821DB265F21D3B0A495E8B@038d2aa263c9deeb495fea.e"/>
    <x v="0"/>
    <x v="0"/>
    <x v="0"/>
    <m/>
    <m/>
    <s v="USA - Corp - Global Business Services"/>
    <m/>
    <m/>
    <m/>
    <m/>
    <m/>
    <m/>
    <m/>
    <x v="0"/>
    <x v="0"/>
    <n v="0"/>
    <n v="0"/>
    <n v="0"/>
    <n v="0"/>
    <m/>
  </r>
  <r>
    <s v="Federated ID"/>
    <s v="jemayberry@montrose-env.com"/>
    <s v="montrose-env.com"/>
    <s v="jemayberry@montrose-env.com"/>
    <s v="Jessica"/>
    <s v="Mayberry"/>
    <s v="US"/>
    <s v="FCF21D8165F30E5E0A495E62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miwizikowski@montrose-env.com"/>
    <s v="montrose-env.com"/>
    <s v="miwizikowski@montrose-env.com"/>
    <s v="Miranda"/>
    <s v="Wizikowski"/>
    <s v="US"/>
    <s v="05431D9365F333830A495FFA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nalvis@montrose-env.com"/>
    <s v="montrose-env.com"/>
    <s v="nalvis@montrose-env.com"/>
    <s v="Nathan"/>
    <s v="Alvis"/>
    <s v="US"/>
    <s v="20BB1D8A65F4431F0A495C0E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lsnyder@montrose-env.com"/>
    <s v="montrose-env.com"/>
    <s v="lsnyder@montrose-env.com"/>
    <s v="Laurie"/>
    <s v="Snyder"/>
    <s v="US"/>
    <s v="2E661D6065F47E0B0A495FD0@038d2aa263c9deeb495fea.e"/>
    <x v="1"/>
    <x v="0"/>
    <x v="0"/>
    <m/>
    <m/>
    <s v="USA - Stack - Northeast - Operations"/>
    <m/>
    <m/>
    <m/>
    <m/>
    <s v="Acrobat Pro (VIPMP - 99C0A3088A102BD9CB4A)"/>
    <m/>
    <m/>
    <x v="84"/>
    <x v="84"/>
    <n v="14.333333333333334"/>
    <n v="0"/>
    <n v="0"/>
    <n v="14.333333333333334"/>
    <n v="1"/>
  </r>
  <r>
    <s v="Federated ID"/>
    <s v="jheffernan@montrose-env.com"/>
    <s v="montrose-env.com"/>
    <s v="jheffernan@montrose-env.com"/>
    <s v="Joe"/>
    <s v="Heffernan"/>
    <s v="US"/>
    <s v="31561DA765F4B39B0A495FC2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ChristinaStavrou@montrose-env.com"/>
    <s v="montrose-env.com"/>
    <s v="ChristinaStavrou@montrose-env.com"/>
    <s v="Christina"/>
    <s v="Stavrou"/>
    <s v="US"/>
    <s v="69AD1D6165F826B70A495C51@038d2aa263c9deeb495fea.e"/>
    <x v="1"/>
    <x v="0"/>
    <x v="0"/>
    <m/>
    <m/>
    <s v="USA - Sensible EDP - OH - Sales"/>
    <m/>
    <m/>
    <m/>
    <m/>
    <s v="Acrobat Pro (VIPMP - 99C0A3088A102BD9CB4A)"/>
    <m/>
    <m/>
    <x v="48"/>
    <x v="48"/>
    <n v="14.333333333333334"/>
    <n v="0"/>
    <n v="0"/>
    <n v="14.333333333333334"/>
    <n v="1"/>
  </r>
  <r>
    <s v="Federated ID"/>
    <s v="rajprasad@montrose-env.com"/>
    <s v="montrose-env.com"/>
    <s v="rajprasad@montrose-env.com"/>
    <s v="Raj"/>
    <s v="Prasad"/>
    <s v="US"/>
    <s v="73781D8D65F86BB80A495C40@038d2aa263c9deeb495fea.e"/>
    <x v="0"/>
    <x v="0"/>
    <x v="0"/>
    <m/>
    <m/>
    <s v="USA - Corp - Finance"/>
    <m/>
    <m/>
    <m/>
    <m/>
    <m/>
    <m/>
    <m/>
    <x v="0"/>
    <x v="0"/>
    <n v="0"/>
    <n v="0"/>
    <n v="0"/>
    <n v="0"/>
    <m/>
  </r>
  <r>
    <s v="Federated ID"/>
    <s v="adam.phillips@enthalpy.com"/>
    <s v="enthalpy.com"/>
    <s v="adam.phillips@enthalpy.com"/>
    <s v="Adam"/>
    <s v="Phillips"/>
    <s v="US"/>
    <s v="77CF1D8165F893420A495E62@038d2aa263c9deeb495fea.e"/>
    <x v="2"/>
    <x v="0"/>
    <x v="0"/>
    <m/>
    <m/>
    <s v="USA - Labs - OH - Sales"/>
    <m/>
    <m/>
    <m/>
    <m/>
    <s v="Acrobat Standard DC (VIPMP - 99C0A3088A102BD9CB4A)"/>
    <m/>
    <m/>
    <x v="23"/>
    <x v="23"/>
    <n v="8.6983333333333324"/>
    <n v="0"/>
    <n v="0"/>
    <n v="8.6983333333333324"/>
    <n v="1"/>
  </r>
  <r>
    <s v="Federated ID"/>
    <s v="jp.verheul@enthalpy.com"/>
    <s v="enthalpy.com"/>
    <s v="jp.verheul@enthalpy.com"/>
    <s v="JP"/>
    <s v="Verheul"/>
    <s v="US"/>
    <s v="7CB31D7165F8A0AF0A495FF9@038d2aa263c9deeb495fea.e"/>
    <x v="1"/>
    <x v="0"/>
    <x v="0"/>
    <m/>
    <m/>
    <s v="USA - Labs - OH - Sales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christian.iglesias@enthalpy.com"/>
    <s v="enthalpy.com"/>
    <s v="christian.iglesias@enthalpy.com"/>
    <s v="Christian"/>
    <s v="Iglesias"/>
    <s v="US"/>
    <s v="A3601DB265F9E2290A495E8B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rshoyer@montrose-env.com"/>
    <s v="montrose-env.com"/>
    <s v="rshoyer@montrose-env.com"/>
    <s v="Rick"/>
    <s v="Shoyer"/>
    <s v="US"/>
    <s v="C01D1D8B65FB414C0A495EB7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Zach.Barker@enthalpy.com"/>
    <s v="enthalpy.com"/>
    <s v="Zach.Barker@enthalpy.com"/>
    <s v="Zach"/>
    <s v="Barker"/>
    <s v="US"/>
    <s v="C7DD1D7265FB45970A495F95@038d2aa263c9deeb495fea.e"/>
    <x v="1"/>
    <x v="0"/>
    <x v="0"/>
    <m/>
    <m/>
    <s v="USA - Env Lab - Orange - Operations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NathalieGill-Podgorski@montrose-env.com"/>
    <s v="montrose-env.com"/>
    <s v="NathalieGill-Podgorski@montrose-env.com"/>
    <s v="Nathalie"/>
    <s v="Gill-Podgorski"/>
    <s v="US"/>
    <s v="00BF1E9065FCA6020A495C83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NavannaRamkissoon@montrose-env.com"/>
    <s v="montrose-env.com"/>
    <s v="navannaramkissoon@montrose-env.com"/>
    <s v="Navanna"/>
    <s v="Ramkissoon"/>
    <s v="US"/>
    <s v="63462523660195090A495CBA@038d2aa263c9deeb495fea.e"/>
    <x v="0"/>
    <x v="0"/>
    <x v="0"/>
    <m/>
    <m/>
    <s v="USA - Environmental Consulting - Wilmington - Operations"/>
    <m/>
    <m/>
    <m/>
    <m/>
    <m/>
    <m/>
    <m/>
    <x v="0"/>
    <x v="0"/>
    <n v="0"/>
    <n v="0"/>
    <n v="0"/>
    <n v="0"/>
    <m/>
  </r>
  <r>
    <s v="Federated ID"/>
    <s v="kelley.fitzgerald@enthalpy.com"/>
    <s v="enthalpy.com"/>
    <s v="kelley.fitzgerald@enthalpy.com"/>
    <s v="Kelley"/>
    <s v="Fitzgerald"/>
    <s v="US"/>
    <s v="66C669B76601A8490A495FC2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ext-R.Raymond@montrose-env.com"/>
    <s v="montrose-env.com"/>
    <s v="ext-R.Raymond@montrose-env.com"/>
    <s v="Rasheedah"/>
    <s v="Raymond"/>
    <s v="US"/>
    <s v="6D360CF26601EB250A495C9F@038d2aa263c9deeb495fea.e"/>
    <x v="0"/>
    <x v="0"/>
    <x v="0"/>
    <m/>
    <m/>
    <s v="USA - Corp - HR"/>
    <m/>
    <m/>
    <m/>
    <m/>
    <m/>
    <m/>
    <m/>
    <x v="0"/>
    <x v="0"/>
    <n v="0"/>
    <n v="0"/>
    <n v="0"/>
    <n v="0"/>
    <m/>
  </r>
  <r>
    <s v="Federated ID"/>
    <s v="katie.payne@enthalpy.com"/>
    <s v="enthalpy.com"/>
    <s v="katie.payne@enthalpy.com"/>
    <s v="Katie"/>
    <s v="Payne"/>
    <s v="US"/>
    <s v="916B5D1866031B970A495C17@038d2aa263c9deeb495fea.e"/>
    <x v="0"/>
    <x v="0"/>
    <x v="0"/>
    <m/>
    <m/>
    <s v="USA - Labs - OH - Sales"/>
    <m/>
    <m/>
    <m/>
    <m/>
    <m/>
    <m/>
    <m/>
    <x v="0"/>
    <x v="0"/>
    <n v="0"/>
    <n v="0"/>
    <n v="0"/>
    <n v="0"/>
    <m/>
  </r>
  <r>
    <s v="Federated ID"/>
    <s v="JoyNorton@montrose-env.com"/>
    <s v="montrose-env.com"/>
    <s v="JoyNorton@montrose-env.com"/>
    <s v="Joy"/>
    <s v="Norton"/>
    <s v="US"/>
    <s v="915D09E4660332880A495ED3@038d2aa263c9deeb495fea.e"/>
    <x v="1"/>
    <x v="0"/>
    <x v="0"/>
    <m/>
    <m/>
    <s v="USA - Environmental Consulting - Environmental Intelligence - G&amp;A"/>
    <m/>
    <m/>
    <m/>
    <m/>
    <s v="Acrobat Pro (VIPMP - 99C0A3088A102BD9CB4A)"/>
    <m/>
    <m/>
    <x v="63"/>
    <x v="63"/>
    <n v="14.333333333333334"/>
    <n v="0"/>
    <n v="0"/>
    <n v="14.333333333333334"/>
    <n v="1"/>
  </r>
  <r>
    <s v="Federated ID"/>
    <s v="ValerieButterhof@montrose-env.com"/>
    <s v="montrose-env.com"/>
    <s v="ValerieButterhof@montrose-env.com"/>
    <s v="Valerie"/>
    <s v="Butterhof"/>
    <s v="US"/>
    <s v="AE535AFF660440910A495C0A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SamanthaTravis@enthalpy.com"/>
    <s v="enthalpy.com"/>
    <s v="SamanthaTravis@enthalpy.com"/>
    <s v="Samantha"/>
    <s v="Travis"/>
    <s v="US"/>
    <s v="34E60952660AC2050A495FCF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traviskegel@montrose-env.com"/>
    <s v="montrose-env.com"/>
    <s v="traviskegel@montrose-env.com"/>
    <s v="Travis"/>
    <s v="Kegel"/>
    <s v="US"/>
    <s v="35017DD7660AC4020A495E6B@038d2aa263c9deeb495fea.e"/>
    <x v="1"/>
    <x v="0"/>
    <x v="0"/>
    <m/>
    <m/>
    <s v="USA - Environmental Consulting - Environmental Intelligence - G&amp;A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robertfletcher@montrose-env.com"/>
    <s v="montrose-env.com"/>
    <s v="robertfletcher@montrose-env.com"/>
    <s v="Robert"/>
    <s v="Fletcher"/>
    <s v="US"/>
    <s v="34297FCA660AC57B0A495FF4@038d2aa263c9deeb495fea.e"/>
    <x v="0"/>
    <x v="0"/>
    <x v="0"/>
    <m/>
    <m/>
    <s v="USA - Environmental Consulting - Environmental Intelligence - G&amp;A"/>
    <m/>
    <m/>
    <m/>
    <m/>
    <m/>
    <m/>
    <m/>
    <x v="0"/>
    <x v="0"/>
    <n v="0"/>
    <n v="0"/>
    <n v="0"/>
    <n v="0"/>
    <m/>
  </r>
  <r>
    <s v="Federated ID"/>
    <s v="travistolliver@montrose-env.com"/>
    <s v="montrose-env.com"/>
    <s v="travistolliver@montrose-env.com"/>
    <s v="Travis"/>
    <s v="Tolliver"/>
    <s v="US"/>
    <s v="35BF118D660AC64F0A495CCF@038d2aa263c9deeb495fea.e"/>
    <x v="2"/>
    <x v="0"/>
    <x v="0"/>
    <m/>
    <m/>
    <s v="USA - Environmental Consulting - Environmental Intelligence - G&amp;A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zachwilson@montrose-env.com"/>
    <s v="montrose-env.com"/>
    <s v="zachwilson@montrose-env.com"/>
    <s v="Zach"/>
    <s v="Wilson"/>
    <s v="US"/>
    <s v="34202DAF660AC6BC0A495E5B@038d2aa263c9deeb495fea.e"/>
    <x v="2"/>
    <x v="0"/>
    <x v="0"/>
    <m/>
    <m/>
    <s v="USA - Environmental Consulting - Environmental Intelligence - G&amp;A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peter.arth@enthalpy.com"/>
    <s v="enthalpy.com"/>
    <s v="peter.arth@enthalpy.com"/>
    <s v="Peter"/>
    <s v="Arth"/>
    <s v="US"/>
    <s v="5F3A3462660C34450A495FDC@038d2aa263c9deeb495fea.e"/>
    <x v="0"/>
    <x v="0"/>
    <x v="0"/>
    <m/>
    <m/>
    <s v="USA - Labs - OH - G&amp;A"/>
    <m/>
    <m/>
    <m/>
    <m/>
    <m/>
    <m/>
    <m/>
    <x v="0"/>
    <x v="0"/>
    <n v="0"/>
    <n v="0"/>
    <n v="0"/>
    <n v="0"/>
    <m/>
  </r>
  <r>
    <s v="Federated ID"/>
    <s v="NoahBellhorn@montrose-env.com"/>
    <s v="montrose-env.com"/>
    <s v="NoahBellhorn@montrose-env.com"/>
    <s v="Noah"/>
    <s v="Bellhorn"/>
    <s v="US"/>
    <s v="5E227634660C3B070A495E62@038d2aa263c9deeb495fea.e"/>
    <x v="1"/>
    <x v="0"/>
    <x v="0"/>
    <m/>
    <m/>
    <s v="USA - Stack - OH - Marketing"/>
    <m/>
    <m/>
    <m/>
    <m/>
    <s v="Acrobat Pro (VIPMP - 99C0A3088A102BD9CB4A)"/>
    <m/>
    <m/>
    <x v="18"/>
    <x v="18"/>
    <n v="14.333333333333334"/>
    <n v="0"/>
    <n v="0"/>
    <n v="14.333333333333334"/>
    <n v="1"/>
  </r>
  <r>
    <s v="Federated ID"/>
    <s v="BrittanyVanVelkinburgh@montrose-env.com"/>
    <s v="montrose-env.com"/>
    <s v="BrittanyVanVelkinburgh@montrose-env.com"/>
    <s v="Brittany"/>
    <s v="VanVelkinburgh"/>
    <s v="US"/>
    <s v="5FBE3415660C3BAD0A495ECC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RoderickLide@montrose-env.com"/>
    <s v="montrose-env.com"/>
    <s v="RoderickLide@montrose-env.com"/>
    <s v="Roderick"/>
    <s v="Lide"/>
    <s v="US"/>
    <s v="6402167F660C7AC00A495FB2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itregistration@montrose-env.com"/>
    <s v="montrose-env.com"/>
    <s v="itregistration@montrose-env.com"/>
    <s v="IT"/>
    <s v="Registration"/>
    <s v="US"/>
    <s v="66E6423D660C88320A495FB9@038d2aa263c9deeb495fea.e"/>
    <x v="0"/>
    <x v="0"/>
    <x v="0"/>
    <s v="System"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jescholl@montrose-env.com"/>
    <s v="montrose-env.com"/>
    <s v="jescholl@montrose-env.com"/>
    <s v="Jennifer"/>
    <s v="Scholl"/>
    <s v="US"/>
    <s v="62A0045D660C88320A495C40@038d2aa263c9deeb495fea.e"/>
    <x v="0"/>
    <x v="0"/>
    <x v="0"/>
    <m/>
    <m/>
    <s v="USA - Environmental Consulting - Sacramento - Operations"/>
    <m/>
    <m/>
    <m/>
    <m/>
    <m/>
    <m/>
    <m/>
    <x v="0"/>
    <x v="0"/>
    <n v="0"/>
    <n v="0"/>
    <n v="0"/>
    <n v="0"/>
    <m/>
  </r>
  <r>
    <s v="Federated ID"/>
    <s v="cytaylor@montrose-env.com"/>
    <s v="montrose-env.com"/>
    <s v="cytaylor@montrose-env.com"/>
    <s v="Cynthia"/>
    <s v="Taylor"/>
    <s v="US"/>
    <s v="66F8423D660C89530A495FB9@038d2aa263c9deeb495fea.e"/>
    <x v="0"/>
    <x v="0"/>
    <x v="0"/>
    <m/>
    <m/>
    <s v="USA - Environmental Consulting OH - Finance"/>
    <m/>
    <m/>
    <m/>
    <m/>
    <m/>
    <m/>
    <m/>
    <x v="0"/>
    <x v="0"/>
    <n v="0"/>
    <n v="0"/>
    <n v="0"/>
    <n v="0"/>
    <m/>
  </r>
  <r>
    <s v="Federated ID"/>
    <s v="cufland@montrose-env.com"/>
    <s v="montrose-env.com"/>
    <s v="cufland@montrose-env.com"/>
    <s v="Christina"/>
    <s v="Ufland"/>
    <s v="US"/>
    <s v="668D46FE660C897A0A495E88@038d2aa263c9deeb495fea.e"/>
    <x v="1"/>
    <x v="0"/>
    <x v="0"/>
    <m/>
    <m/>
    <s v="USA - Environmental Consulting OH - Finance"/>
    <m/>
    <m/>
    <m/>
    <m/>
    <s v="Acrobat Pro (VIPMP - 99C0A3088A102BD9CB4A)"/>
    <m/>
    <m/>
    <x v="16"/>
    <x v="16"/>
    <n v="14.333333333333334"/>
    <n v="0"/>
    <n v="0"/>
    <n v="14.333333333333334"/>
    <n v="1"/>
  </r>
  <r>
    <s v="Federated ID"/>
    <s v="lienesudduth@montrose-env.com"/>
    <s v="montrose-env.com"/>
    <s v="lienesudduth@montrose-env.com"/>
    <s v="Liene"/>
    <s v="Sudduth"/>
    <s v="US"/>
    <s v="82724632660D7CE70A495C18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jusalazar@montrose-env.com"/>
    <s v="montrose-env.com"/>
    <s v="jusalazar@montrose-env.com"/>
    <s v="Julio"/>
    <s v="Salazar"/>
    <s v="US"/>
    <s v="84B46DAB660D83670A495E7A@038d2aa263c9deeb495fea.e"/>
    <x v="0"/>
    <x v="0"/>
    <x v="0"/>
    <m/>
    <m/>
    <s v="USA - LDAR - California - Operations"/>
    <m/>
    <m/>
    <m/>
    <m/>
    <m/>
    <m/>
    <m/>
    <x v="0"/>
    <x v="0"/>
    <n v="0"/>
    <n v="0"/>
    <n v="0"/>
    <n v="0"/>
    <m/>
  </r>
  <r>
    <s v="Federated ID"/>
    <s v="davelazquez@montrose-env.com"/>
    <s v="montrose-env.com"/>
    <s v="davelazquez@montrose-env.com"/>
    <s v="David"/>
    <s v="Velazquez"/>
    <s v="US"/>
    <s v="861C56CA660D83680A495FE9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janesteven@montrose-env.com"/>
    <s v="montrose-env.com"/>
    <s v="janesteven@montrose-env.com"/>
    <s v="Jane"/>
    <s v="Steven"/>
    <s v="US"/>
    <s v="21511E74660EDEE30A495FE3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keroncin@montrose-env.com"/>
    <s v="montrose-env.com"/>
    <s v="keroncin@montrose-env.com"/>
    <s v="Kelly"/>
    <s v="Roncin"/>
    <s v="US"/>
    <s v="3BC01E56661015280A495EF7@038d2aa263c9deeb495fea.e"/>
    <x v="0"/>
    <x v="0"/>
    <x v="0"/>
    <m/>
    <m/>
    <s v="USA - LDAR - OH - Safety"/>
    <m/>
    <m/>
    <m/>
    <m/>
    <m/>
    <m/>
    <m/>
    <x v="0"/>
    <x v="0"/>
    <n v="0"/>
    <n v="0"/>
    <n v="0"/>
    <n v="0"/>
    <m/>
  </r>
  <r>
    <s v="Federated ID"/>
    <s v="GailSee@montrose-env.com"/>
    <s v="montrose-env.com"/>
    <s v="GailSee@montrose-env.com"/>
    <s v="Gail"/>
    <s v="See"/>
    <s v="US"/>
    <s v="49291E656613FF750A495FE5@038d2aa263c9deeb495fea.e"/>
    <x v="1"/>
    <x v="4"/>
    <x v="2"/>
    <m/>
    <m/>
    <s v="USA - Corp - Financial Systems"/>
    <m/>
    <m/>
    <m/>
    <m/>
    <s v="Acrobat Pro (VIPMP - 99C0A3088A102BD9CB4A),Photoshop (VIPMP - 99C0A3088A102BD9CB4A),Illustrator (VIPMP - 99C0A3088A102BD9CB4A)"/>
    <m/>
    <m/>
    <x v="70"/>
    <x v="70"/>
    <n v="14.333333333333334"/>
    <n v="34.873750000000001"/>
    <n v="36.357500000000002"/>
    <n v="85.564583333333331"/>
    <n v="1"/>
  </r>
  <r>
    <s v="Federated ID"/>
    <s v="JennieParrish@enthalpy.com"/>
    <s v="enthalpy.com"/>
    <s v="JennieParrish@enthalpy.com"/>
    <s v="Jennie"/>
    <s v="Parrish"/>
    <s v="US"/>
    <s v="4D831E5A661410A40A495C0B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KateNguyen@montrose-env.com"/>
    <s v="montrose-env.com"/>
    <s v="KateNguyen@montrose-env.com"/>
    <s v="Kate"/>
    <s v="Nguyen"/>
    <s v="US"/>
    <s v="4DBF1E5D6614191A0A495FC3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lindanguyen@montrose-env.com"/>
    <s v="montrose-env.com"/>
    <s v="lindanguyen@montrose-env.com"/>
    <s v="Linda"/>
    <s v="Nguyen"/>
    <s v="US"/>
    <s v="50021E54661434780A495C29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jeevans@montrose-env.com"/>
    <s v="montrose-env.com"/>
    <s v="jeevans@montrose-env.com"/>
    <s v="Jennifer"/>
    <s v="Evans"/>
    <s v="US"/>
    <s v="50D31E5B661435CE0A495FDB@038d2aa263c9deeb495fea.e"/>
    <x v="2"/>
    <x v="0"/>
    <x v="0"/>
    <m/>
    <m/>
    <s v="USA - Corp - Financial Systems"/>
    <m/>
    <m/>
    <m/>
    <m/>
    <s v="Acrobat Standard DC (VIPMP - 99C0A3088A102BD9CB4A)"/>
    <m/>
    <m/>
    <x v="70"/>
    <x v="70"/>
    <n v="8.6983333333333324"/>
    <n v="0"/>
    <n v="0"/>
    <n v="8.6983333333333324"/>
    <n v="1"/>
  </r>
  <r>
    <s v="Federated ID"/>
    <s v="OrlaGreene@ect2.com"/>
    <s v="ect2.com"/>
    <s v="orlagreene@ect2.com"/>
    <s v="Orla"/>
    <s v="Greene"/>
    <s v="US"/>
    <s v="58681E82661480F50A495FA0@038d2aa263c9deeb495fea.e"/>
    <x v="0"/>
    <x v="0"/>
    <x v="0"/>
    <m/>
    <m/>
    <s v="AUS - ECT2 - Operations"/>
    <m/>
    <m/>
    <m/>
    <m/>
    <m/>
    <m/>
    <m/>
    <x v="0"/>
    <x v="0"/>
    <n v="0"/>
    <n v="0"/>
    <n v="0"/>
    <n v="0"/>
    <m/>
  </r>
  <r>
    <s v="Federated ID"/>
    <s v="shbragg@montrose-env.com"/>
    <s v="montrose-env.com"/>
    <s v="shbragg@montrose-env.com"/>
    <s v="Shane"/>
    <s v="Bragg"/>
    <s v="US"/>
    <s v="6B381E46661541520A495FFE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dfitzgerald@montrose-env.com"/>
    <s v="montrose-env.com"/>
    <s v="dfitzgerald@montrose-env.com"/>
    <s v="Dan"/>
    <s v="Fitzgerald"/>
    <s v="US"/>
    <s v="1DD91E8266196E950A495C84@038d2aa263c9deeb495fea.e"/>
    <x v="1"/>
    <x v="0"/>
    <x v="0"/>
    <m/>
    <m/>
    <s v="USA - Stack - OH - G&amp;A"/>
    <m/>
    <m/>
    <m/>
    <m/>
    <s v="Acrobat Pro (VIPMP - 99C0A3088A102BD9CB4A)"/>
    <m/>
    <m/>
    <x v="36"/>
    <x v="36"/>
    <n v="14.333333333333334"/>
    <n v="0"/>
    <n v="0"/>
    <n v="14.333333333333334"/>
    <n v="1"/>
  </r>
  <r>
    <s v="Federated ID"/>
    <s v="TariqBaseer@montrose-env.com"/>
    <s v="montrose-env.com"/>
    <s v="tariqbaseer@montrose-env.com"/>
    <s v="Tariq"/>
    <s v="Baseer"/>
    <s v="US"/>
    <s v="6D2C1E84661D3F420A495FAE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DallasFitzgibbon@montrose-env.com"/>
    <s v="montrose-env.com"/>
    <s v="DallasFitzgibbon@montrose-env.com"/>
    <s v="Dallas"/>
    <s v="Fitzgibbon"/>
    <s v="US"/>
    <s v="712F1E4A661D5EEE0A495ED9@038d2aa263c9deeb495fea.e"/>
    <x v="0"/>
    <x v="0"/>
    <x v="0"/>
    <m/>
    <m/>
    <s v="USA - Environmental Consulting - Atlanta - Operations"/>
    <m/>
    <m/>
    <m/>
    <m/>
    <m/>
    <m/>
    <m/>
    <x v="0"/>
    <x v="0"/>
    <n v="0"/>
    <n v="0"/>
    <n v="0"/>
    <n v="0"/>
    <m/>
  </r>
  <r>
    <s v="Federated ID"/>
    <s v="RandaHorton@montrose-env.com"/>
    <s v="montrose-env.com"/>
    <s v="randahorton@montrose-env.com"/>
    <s v="Randa"/>
    <s v="Horton"/>
    <s v="US"/>
    <s v="9D371E95661EE8660A495FF0@038d2aa263c9deeb495fea.e"/>
    <x v="2"/>
    <x v="0"/>
    <x v="0"/>
    <m/>
    <m/>
    <s v="USA - Environmental Consulting - Sacramento - Operations"/>
    <m/>
    <m/>
    <m/>
    <m/>
    <s v="Acrobat Standard DC (VIPMP - 99C0A3088A102BD9CB4A)"/>
    <m/>
    <m/>
    <x v="1"/>
    <x v="1"/>
    <n v="8.6983333333333324"/>
    <n v="0"/>
    <n v="0"/>
    <n v="8.6983333333333324"/>
    <n v="1"/>
  </r>
  <r>
    <s v="Federated ID"/>
    <s v="brnicholson@montrose-env.com"/>
    <s v="montrose-env.com"/>
    <s v="brnicholson@montrose-env.com"/>
    <s v="Bruce"/>
    <s v="Nicholson"/>
    <s v="US"/>
    <s v="BE7A1E52662006E70A495F9F@038d2aa263c9deeb495fea.e"/>
    <x v="1"/>
    <x v="0"/>
    <x v="0"/>
    <m/>
    <m/>
    <s v="USA - Corp - Legal"/>
    <m/>
    <m/>
    <m/>
    <m/>
    <s v="Acrobat Pro (VIPMP - 99C0A3088A102BD9CB4A)"/>
    <m/>
    <m/>
    <x v="45"/>
    <x v="45"/>
    <n v="14.333333333333334"/>
    <n v="0"/>
    <n v="0"/>
    <n v="14.333333333333334"/>
    <n v="1"/>
  </r>
  <r>
    <s v="Federated ID"/>
    <s v="hlrichardson@montrose-env.com"/>
    <s v="montrose-env.com"/>
    <s v="hlrichardson@montrose-env.com"/>
    <s v="Homer"/>
    <s v="Richardson"/>
    <s v="US"/>
    <s v="DD8A1E4A66212EA50A495F95@038d2aa263c9deeb495fea.e"/>
    <x v="1"/>
    <x v="0"/>
    <x v="0"/>
    <m/>
    <m/>
    <s v="USA - Environmental Consulting OH - Finance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ashley.thomas@enthalpy.com"/>
    <s v="enthalpy.com"/>
    <s v="ashley.thomas@enthalpy.com"/>
    <s v="Ashley"/>
    <s v="Thomas"/>
    <s v="US"/>
    <s v="19EE1D7F662297F90A495F97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BrianWilson@montrose-env.com"/>
    <s v="montrose-env.com"/>
    <s v="BrianWilson@montrose-env.com"/>
    <s v="Brian"/>
    <s v="Wilson"/>
    <s v="US"/>
    <s v="64691D836626813A0A495FB3@038d2aa263c9deeb495fea.e"/>
    <x v="1"/>
    <x v="0"/>
    <x v="0"/>
    <m/>
    <m/>
    <s v="USA - Corp - Safety"/>
    <m/>
    <m/>
    <m/>
    <m/>
    <s v="Acrobat Pro (VIPMP - 99C0A3088A102BD9CB4A)"/>
    <m/>
    <m/>
    <x v="74"/>
    <x v="74"/>
    <n v="14.333333333333334"/>
    <n v="0"/>
    <n v="0"/>
    <n v="14.333333333333334"/>
    <n v="1"/>
  </r>
  <r>
    <s v="Federated ID"/>
    <s v="travisknight@montrose-env.com"/>
    <s v="montrose-env.com"/>
    <s v="travisknight@montrose-env.com"/>
    <s v="Travis"/>
    <s v="Knight"/>
    <s v="US"/>
    <s v="63E31D7B662693240A495E92@038d2aa263c9deeb495fea.e"/>
    <x v="0"/>
    <x v="0"/>
    <x v="0"/>
    <m/>
    <m/>
    <s v="USA - Environmental Consulting - Long Beach - Operations"/>
    <m/>
    <m/>
    <m/>
    <m/>
    <m/>
    <m/>
    <m/>
    <x v="0"/>
    <x v="0"/>
    <n v="0"/>
    <n v="0"/>
    <n v="0"/>
    <n v="0"/>
    <m/>
  </r>
  <r>
    <s v="Federated ID"/>
    <s v="FaithRagan@montrose-env.com"/>
    <s v="montrose-env.com"/>
    <s v="faithragan@montrose-env.com"/>
    <s v="Faith"/>
    <s v="Ragan"/>
    <s v="US"/>
    <s v="8D9A1DAB66282D590A495F9E@038d2aa263c9deeb495fea.e"/>
    <x v="1"/>
    <x v="1"/>
    <x v="1"/>
    <m/>
    <m/>
    <s v="USA - Corp - Sales"/>
    <m/>
    <m/>
    <m/>
    <m/>
    <s v="Acrobat Pro (VIPMP - 99C0A3088A102BD9CB4A),InDesign (VIPMP - 99C0A3088A102BD9CB4A),Photoshop (VIPMP - 99C0A3088A102BD9CB4A)"/>
    <m/>
    <m/>
    <x v="14"/>
    <x v="14"/>
    <n v="14.333333333333334"/>
    <n v="35.979166666666664"/>
    <n v="34.873750000000001"/>
    <n v="85.186250000000001"/>
    <n v="1"/>
  </r>
  <r>
    <s v="Federated ID"/>
    <s v="ryanposka@montrose-env.com"/>
    <s v="montrose-env.com"/>
    <s v="ryanposka@montrose-env.com"/>
    <s v="Ryan"/>
    <s v="Poska"/>
    <s v="US"/>
    <s v="90271D7F6628500C0A495ED6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JerryMcDonald@montrose-env.com"/>
    <s v="montrose-env.com"/>
    <s v="jerrymcdonald@montrose-env.com"/>
    <s v="Jerry"/>
    <s v="McDonald"/>
    <s v="US"/>
    <s v="AF4B1D9C66294A5C0A495EBA@038d2aa263c9deeb495fea.e"/>
    <x v="0"/>
    <x v="0"/>
    <x v="0"/>
    <m/>
    <m/>
    <s v="USA - Stack - Gulf Coast - Operations"/>
    <m/>
    <m/>
    <m/>
    <m/>
    <m/>
    <m/>
    <m/>
    <x v="0"/>
    <x v="0"/>
    <n v="0"/>
    <n v="0"/>
    <n v="0"/>
    <n v="0"/>
    <m/>
  </r>
  <r>
    <s v="Federated ID"/>
    <s v="fapichardo@montrose-env.com"/>
    <s v="montrose-env.com"/>
    <s v="fapichardo@montrose-env.com"/>
    <s v="Fabiola"/>
    <s v="Pichardo"/>
    <s v="US"/>
    <s v="C5481D81662A46FF0A495F89@038d2aa263c9deeb495fea.e"/>
    <x v="0"/>
    <x v="0"/>
    <x v="0"/>
    <m/>
    <m/>
    <s v="USA - Environmental Consulting OH - HR"/>
    <m/>
    <m/>
    <m/>
    <m/>
    <m/>
    <m/>
    <m/>
    <x v="0"/>
    <x v="0"/>
    <n v="0"/>
    <n v="0"/>
    <n v="0"/>
    <n v="0"/>
    <m/>
  </r>
  <r>
    <s v="Federated ID"/>
    <s v="PeterHilty@montrose-env.com"/>
    <s v="montrose-env.com"/>
    <s v="PeterHilty@montrose-env.com"/>
    <s v="Peter"/>
    <s v="Hilty"/>
    <s v="US"/>
    <s v="C9711DAB662A78A80A495F9E@038d2aa263c9deeb495fea.e"/>
    <x v="2"/>
    <x v="0"/>
    <x v="0"/>
    <m/>
    <m/>
    <s v="USA - Stack - Cleveland - Operations"/>
    <m/>
    <m/>
    <m/>
    <m/>
    <s v="Acrobat Standard DC (VIPMP - 99C0A3088A102BD9CB4A)"/>
    <m/>
    <m/>
    <x v="8"/>
    <x v="8"/>
    <n v="8.6983333333333324"/>
    <n v="0"/>
    <n v="0"/>
    <n v="8.6983333333333324"/>
    <n v="1"/>
  </r>
  <r>
    <s v="Federated ID"/>
    <s v="auadams@montrose-env.com"/>
    <s v="montrose-env.com"/>
    <s v="auadams@montrose-env.com"/>
    <s v="Autumn"/>
    <s v="Adams"/>
    <s v="US"/>
    <s v="C8A61DA4662A7B530A495C18@038d2aa263c9deeb495fea.e"/>
    <x v="1"/>
    <x v="0"/>
    <x v="0"/>
    <m/>
    <m/>
    <s v="USA - CTEH - Emergency Response - Operations"/>
    <m/>
    <m/>
    <m/>
    <m/>
    <s v="Acrobat Pro (VIPMP - 99C0A3088A102BD9CB4A)"/>
    <m/>
    <m/>
    <x v="96"/>
    <x v="96"/>
    <n v="14.333333333333334"/>
    <n v="0"/>
    <n v="0"/>
    <n v="14.333333333333334"/>
    <n v="1"/>
  </r>
  <r>
    <s v="Federated ID"/>
    <s v="pbauder@montrose-env.com"/>
    <s v="montrose-env.com"/>
    <s v="pbauder@montrose-env.com"/>
    <s v="Philip"/>
    <s v="Preston Bauder"/>
    <s v="US"/>
    <s v="CB6D1D80662A861F0A495ECC@038d2aa263c9deeb495fea.e"/>
    <x v="2"/>
    <x v="0"/>
    <x v="0"/>
    <m/>
    <m/>
    <s v="USA - Stack - Seattle - Operations"/>
    <m/>
    <m/>
    <m/>
    <m/>
    <s v="Acrobat Standard DC (VIPMP - 99C0A3088A102BD9CB4A)"/>
    <m/>
    <m/>
    <x v="4"/>
    <x v="4"/>
    <n v="8.6983333333333324"/>
    <n v="0"/>
    <n v="0"/>
    <n v="8.6983333333333324"/>
    <n v="1"/>
  </r>
  <r>
    <s v="Federated ID"/>
    <s v="mwallace@montrose-env.com"/>
    <s v="montrose-env.com"/>
    <s v="mwallace@montrose-env.com"/>
    <s v="Mike"/>
    <s v="Wallace"/>
    <s v="US"/>
    <s v="CE8A1DA6662A8FEF0A495F8B@038d2aa263c9deeb495fea.e"/>
    <x v="1"/>
    <x v="0"/>
    <x v="0"/>
    <m/>
    <m/>
    <s v="USA - Stack - Seattle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cshah@montrose-env.com"/>
    <s v="montrose-env.com"/>
    <s v="cshah@montrose-env.com"/>
    <s v="Charmi"/>
    <s v="Shah"/>
    <s v="US"/>
    <s v="3DCD1D7C662FD0FE0A495CDE@038d2aa263c9deeb495fea.e"/>
    <x v="1"/>
    <x v="0"/>
    <x v="0"/>
    <m/>
    <m/>
    <s v="USA - Stack - Power Start-Ups - Operations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JobyDunmire@montrose-env.com"/>
    <s v="montrose-env.com"/>
    <s v="JobyDunmire@montrose-env.com"/>
    <s v="Joby"/>
    <s v="Dunmire"/>
    <s v="US"/>
    <s v="63DD1D7A663119E50A495FB7@038d2aa263c9deeb495fea.e"/>
    <x v="1"/>
    <x v="0"/>
    <x v="0"/>
    <m/>
    <m/>
    <s v="USA - Stack - Great Plains - G&amp;A"/>
    <m/>
    <m/>
    <m/>
    <m/>
    <s v="Acrobat Pro (VIPMP - 99C0A3088A102BD9CB4A)"/>
    <m/>
    <m/>
    <x v="97"/>
    <x v="97"/>
    <n v="14.333333333333334"/>
    <n v="0"/>
    <n v="0"/>
    <n v="14.333333333333334"/>
    <n v="1"/>
  </r>
  <r>
    <s v="Federated ID"/>
    <s v="KhalidaHuseynov@montrose-env.com"/>
    <s v="montrose-env.com"/>
    <s v="KhalidaHuseynov@montrose-env.com"/>
    <s v="Khalida"/>
    <s v="Huseynov"/>
    <s v="US"/>
    <s v="6A4C1D9B663149630A495ED7@038d2aa263c9deeb495fea.e"/>
    <x v="1"/>
    <x v="0"/>
    <x v="0"/>
    <m/>
    <m/>
    <s v="CAN - Consulting &amp; Engineering OH - HR"/>
    <m/>
    <m/>
    <m/>
    <m/>
    <s v="Acrobat Pro (VIPMP - 99C0A3088A102BD9CB4A)"/>
    <m/>
    <m/>
    <x v="105"/>
    <x v="105"/>
    <n v="14.333333333333334"/>
    <n v="0"/>
    <n v="0"/>
    <n v="14.333333333333334"/>
    <n v="1"/>
  </r>
  <r>
    <s v="Federated ID"/>
    <s v="BansriPatel@enthalpy.com"/>
    <s v="enthalpy.com"/>
    <s v="BansriPatel@enthalpy.com"/>
    <s v="Bansri"/>
    <s v="Patel"/>
    <s v="US"/>
    <s v="9C2D1D756632930F0A495C9D@038d2aa263c9deeb495fea.e"/>
    <x v="1"/>
    <x v="0"/>
    <x v="0"/>
    <m/>
    <m/>
    <s v="USA - Env Lab - Deer Park - Operations"/>
    <m/>
    <m/>
    <m/>
    <m/>
    <s v="Acrobat Pro (VIPMP - 99C0A3088A102BD9CB4A)"/>
    <m/>
    <m/>
    <x v="80"/>
    <x v="80"/>
    <n v="14.333333333333334"/>
    <n v="0"/>
    <n v="0"/>
    <n v="14.333333333333334"/>
    <n v="1"/>
  </r>
  <r>
    <s v="Federated ID"/>
    <s v="Carrie.Skok@enthalpy.com"/>
    <s v="enthalpy.com"/>
    <s v="carrie.skok@enthalpy.com"/>
    <s v="Carrie"/>
    <s v="Skok"/>
    <s v="US"/>
    <s v="9FC61DA66632B6A90A495F8B@038d2aa263c9deeb495fea.e"/>
    <x v="1"/>
    <x v="4"/>
    <x v="3"/>
    <m/>
    <m/>
    <s v="USA - Env Lab - Mt Pleasant - Operations"/>
    <m/>
    <m/>
    <m/>
    <m/>
    <s v="Acrobat Pro (VIPMP - 99C0A3088A102BD9CB4A),Photoshop (VIPMP - 99C0A3088A102BD9CB4A),Premiere Pro (VIPMP - 99C0A3088A102BD9CB4A)"/>
    <m/>
    <m/>
    <x v="82"/>
    <x v="82"/>
    <n v="14.333333333333334"/>
    <n v="34.873750000000001"/>
    <n v="29.061666666666667"/>
    <n v="78.268750000000011"/>
    <n v="1"/>
  </r>
  <r>
    <s v="Federated ID"/>
    <s v="jlemaire@montrose-env.com"/>
    <s v="montrose-env.com"/>
    <s v="jlemaire@montrose-env.com"/>
    <s v="Josh"/>
    <s v="LeMaire"/>
    <s v="US"/>
    <s v="250C1D7C6633C2B10A495C23@038d2aa263c9deeb495fea.e"/>
    <x v="1"/>
    <x v="0"/>
    <x v="0"/>
    <m/>
    <m/>
    <s v="USA - Corp - Executive"/>
    <m/>
    <m/>
    <m/>
    <m/>
    <s v="Acrobat Pro (VIPMP - 99C0A3088A102BD9CB4A)"/>
    <m/>
    <m/>
    <x v="37"/>
    <x v="37"/>
    <n v="14.333333333333334"/>
    <n v="0"/>
    <n v="0"/>
    <n v="14.333333333333334"/>
    <n v="1"/>
  </r>
  <r>
    <s v="Federated ID"/>
    <s v="MarekDrogowski@montrose-env.com"/>
    <s v="montrose-env.com"/>
    <s v="MarekDrogowski@montrose-env.com"/>
    <s v="Marek"/>
    <s v="Drogowski"/>
    <s v="US"/>
    <s v="468F1DA56634F9650A495ECA@038d2aa263c9deeb495fea.e"/>
    <x v="1"/>
    <x v="0"/>
    <x v="0"/>
    <m/>
    <m/>
    <s v="USA - Stack - OH - Safety"/>
    <m/>
    <m/>
    <m/>
    <m/>
    <s v="Acrobat Pro (VIPMP - 99C0A3088A102BD9CB4A)"/>
    <m/>
    <m/>
    <x v="106"/>
    <x v="106"/>
    <n v="14.333333333333334"/>
    <n v="0"/>
    <n v="0"/>
    <n v="14.333333333333334"/>
    <n v="1"/>
  </r>
  <r>
    <s v="Federated ID"/>
    <s v="emma.cain@enthalpy.com"/>
    <s v="enthalpy.com"/>
    <s v="emma.cain@enthalpy.com"/>
    <s v="Emma"/>
    <s v="Cain"/>
    <s v="US"/>
    <s v="24457207663A4E950A495EFB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gpsmoot@montrose-env.com"/>
    <s v="montrose-env.com"/>
    <s v="gpsmoot@montrose-env.com"/>
    <s v="Gregory"/>
    <s v="Smoot"/>
    <s v="US"/>
    <s v="468A71D8663B90560A495E65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ext-RichardHuntwork@montrose-env.com"/>
    <s v="montrose-env.com"/>
    <s v="ext-richardhuntwork@montrose-env.com"/>
    <s v="Richard Hugh Connor"/>
    <s v="Huntwork"/>
    <s v="US"/>
    <s v="52C851F3663BDE070A495EDE@038d2aa263c9deeb495fea.e"/>
    <x v="0"/>
    <x v="0"/>
    <x v="0"/>
    <m/>
    <m/>
    <s v="USA - Env Lab - Wilmington - Operations"/>
    <m/>
    <m/>
    <m/>
    <m/>
    <m/>
    <m/>
    <m/>
    <x v="0"/>
    <x v="0"/>
    <n v="0"/>
    <n v="0"/>
    <n v="0"/>
    <n v="0"/>
    <m/>
  </r>
  <r>
    <s v="Federated ID"/>
    <s v="WandaBodnar@montrose-env.com"/>
    <s v="montrose-env.com"/>
    <s v="WandaBodnar@montrose-env.com"/>
    <s v="Wanda"/>
    <s v="Bodnar"/>
    <s v="US"/>
    <s v="80A16A52663CEBC80A495E0C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EricStone@montrose-env.com"/>
    <s v="montrose-env.com"/>
    <s v="ericstone@montrose-env.com"/>
    <s v="Eric"/>
    <s v="Stone"/>
    <s v="US"/>
    <s v="723D57C8663D11C80A495F98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kasey.skrivseth@enthalpy.com"/>
    <s v="enthalpy.com"/>
    <s v="kasey.skrivseth@enthalpy.com"/>
    <s v="Kasey"/>
    <s v="Skrivseth"/>
    <s v="US"/>
    <s v="93A6575D663E29E00A495E8D@038d2aa263c9deeb495fea.e"/>
    <x v="0"/>
    <x v="0"/>
    <x v="0"/>
    <m/>
    <m/>
    <s v="USA - Env Lab - San Diego - Operations"/>
    <m/>
    <m/>
    <m/>
    <m/>
    <m/>
    <m/>
    <m/>
    <x v="0"/>
    <x v="0"/>
    <n v="0"/>
    <n v="0"/>
    <n v="0"/>
    <n v="0"/>
    <m/>
  </r>
  <r>
    <s v="Federated ID"/>
    <s v="ChadRusso@montrose-env.com"/>
    <s v="montrose-env.com"/>
    <s v="ChadRusso@montrose-env.com"/>
    <s v="Chad"/>
    <s v="Russo"/>
    <s v="US"/>
    <s v="943D3245663E38490A495E51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panewman@ect2.com"/>
    <s v="ect2.com"/>
    <s v="panewman@ect2.com"/>
    <s v="Paul"/>
    <s v="Newman"/>
    <s v="US"/>
    <s v="9AC12DD8663E6F510A495FF8@038d2aa263c9deeb495fea.e"/>
    <x v="1"/>
    <x v="0"/>
    <x v="0"/>
    <m/>
    <m/>
    <s v="USA - ECT2 - OH - Sales"/>
    <m/>
    <m/>
    <m/>
    <m/>
    <s v="Acrobat Pro (VIPMP - 99C0A3088A102BD9CB4A)"/>
    <m/>
    <m/>
    <x v="88"/>
    <x v="88"/>
    <n v="14.333333333333334"/>
    <n v="0"/>
    <n v="0"/>
    <n v="14.333333333333334"/>
    <n v="1"/>
  </r>
  <r>
    <s v="Federated ID"/>
    <s v="AshleyElder@montrose-env.com"/>
    <s v="montrose-env.com"/>
    <s v="ashleyelder@montrose-env.com"/>
    <s v="Ashley"/>
    <s v="Elder"/>
    <s v="US"/>
    <s v="E3607207664267420A495EFB@038d2aa263c9deeb495fea.e"/>
    <x v="0"/>
    <x v="0"/>
    <x v="0"/>
    <m/>
    <m/>
    <s v="USA - Labs - OH - Sales"/>
    <m/>
    <m/>
    <m/>
    <m/>
    <m/>
    <m/>
    <m/>
    <x v="0"/>
    <x v="0"/>
    <n v="0"/>
    <n v="0"/>
    <n v="0"/>
    <n v="0"/>
    <m/>
  </r>
  <r>
    <s v="Federated ID"/>
    <s v="ElizabethFuchs@montrose-env.com"/>
    <s v="montrose-env.com"/>
    <s v="ElizabethFuchs@montrose-env.com"/>
    <s v="Elizabeth"/>
    <s v="Fuchs"/>
    <s v="US"/>
    <s v="15292CB9664372AB0A495C23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bnewman@ect2.com"/>
    <s v="ect2.com"/>
    <s v="bnewman@ect2.com"/>
    <s v="Brandon"/>
    <s v="Newman"/>
    <s v="US"/>
    <s v="33E606326644E9D40A495EA9@038d2aa263c9deeb495fea.e"/>
    <x v="2"/>
    <x v="0"/>
    <x v="0"/>
    <m/>
    <m/>
    <s v="USA - ECT2 - Operations"/>
    <m/>
    <m/>
    <m/>
    <m/>
    <s v="Acrobat Standard DC (VIPMP - 99C0A3088A102BD9CB4A)"/>
    <m/>
    <m/>
    <x v="10"/>
    <x v="10"/>
    <n v="8.6983333333333324"/>
    <n v="0"/>
    <n v="0"/>
    <n v="8.6983333333333324"/>
    <n v="1"/>
  </r>
  <r>
    <s v="Federated ID"/>
    <s v="LanceCarlosLopez@montrose-env.com"/>
    <s v="montrose-env.com"/>
    <s v="LanceCarlosLopez@montrose-env.com"/>
    <s v="Lance"/>
    <s v="Carlos Lopez"/>
    <s v="US"/>
    <s v="133A1FA9664744E70A495E98@038d2aa263c9deeb495fea.e"/>
    <x v="0"/>
    <x v="0"/>
    <x v="0"/>
    <m/>
    <m/>
    <s v="USA - Corp - Marketing"/>
    <m/>
    <m/>
    <m/>
    <m/>
    <m/>
    <m/>
    <m/>
    <x v="0"/>
    <x v="0"/>
    <n v="0"/>
    <n v="0"/>
    <n v="0"/>
    <n v="0"/>
    <m/>
  </r>
  <r>
    <s v="Federated ID"/>
    <s v="ext-MindyRice@montrose-env.com"/>
    <s v="montrose-env.com"/>
    <s v="ext-MindyRice@montrose-env.com"/>
    <s v="Mindy"/>
    <s v="Rice"/>
    <s v="US"/>
    <s v="183B1E3D66476F090A495CCE@038d2aa263c9deeb495fea.e"/>
    <x v="0"/>
    <x v="0"/>
    <x v="0"/>
    <m/>
    <m/>
    <s v="USA - Corp - Legal"/>
    <m/>
    <m/>
    <m/>
    <m/>
    <m/>
    <m/>
    <m/>
    <x v="0"/>
    <x v="0"/>
    <n v="0"/>
    <n v="0"/>
    <n v="0"/>
    <n v="0"/>
    <m/>
  </r>
  <r>
    <s v="Federated ID"/>
    <s v="JacksonDaly@montrose-env.com"/>
    <s v="montrose-env.com"/>
    <s v="JacksonDaly@montrose-env.com"/>
    <s v="Jackson"/>
    <s v="Daly"/>
    <s v="US"/>
    <s v="5C071E45664B3ECE0A495EB8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ivy.somocurcio@enthalpy.com"/>
    <s v="enthalpy.com"/>
    <s v="ivy.somocurcio@enthalpy.com"/>
    <s v="Ivy"/>
    <s v="Somocurcio"/>
    <s v="US"/>
    <s v="658B1E70664B8EF00A495FF0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DavidSmith1@montrose-env.com"/>
    <s v="montrose-env.com"/>
    <s v="DavidSmith1@montrose-env.com"/>
    <s v="David"/>
    <s v="Smith"/>
    <s v="US"/>
    <s v="8ACE1E41664CBD650A495FB3@038d2aa263c9deeb495fea.e"/>
    <x v="0"/>
    <x v="0"/>
    <x v="0"/>
    <m/>
    <m/>
    <s v="USA - Stack - Great Plains - Operations"/>
    <m/>
    <m/>
    <m/>
    <m/>
    <m/>
    <m/>
    <m/>
    <x v="0"/>
    <x v="0"/>
    <n v="0"/>
    <n v="0"/>
    <n v="0"/>
    <n v="0"/>
    <m/>
  </r>
  <r>
    <s v="Federated ID"/>
    <s v="KamilleEugenio@montrose-env.com"/>
    <s v="montrose-env.com"/>
    <s v="KamilleEugenio@montrose-env.com"/>
    <s v="Kamille"/>
    <s v="Eugenio"/>
    <s v="US"/>
    <s v="8C1D1E41664CC6100A495FB3@038d2aa263c9deeb495fea.e"/>
    <x v="1"/>
    <x v="0"/>
    <x v="0"/>
    <m/>
    <m/>
    <s v="USA - Stack - Santa Ana - Operations"/>
    <m/>
    <m/>
    <m/>
    <m/>
    <s v="Acrobat Pro (VIPMP - 99C0A3088A102BD9CB4A)"/>
    <m/>
    <m/>
    <x v="25"/>
    <x v="25"/>
    <n v="14.333333333333334"/>
    <n v="0"/>
    <n v="0"/>
    <n v="14.333333333333334"/>
    <n v="1"/>
  </r>
  <r>
    <s v="Federated ID"/>
    <s v="JosephLucas@montrose-env.com"/>
    <s v="montrose-env.com"/>
    <s v="JosephLucas@montrose-env.com"/>
    <s v="Joseph"/>
    <s v="Lucas"/>
    <s v="UD"/>
    <s v="88351E3D664CC7CD0A495E89@038d2aa263c9deeb495fea.e"/>
    <x v="2"/>
    <x v="0"/>
    <x v="0"/>
    <m/>
    <m/>
    <s v="USA - CTEH - Emergency Response - Operations"/>
    <m/>
    <m/>
    <m/>
    <m/>
    <s v="Acrobat Standard DC (VIPMP - 99C0A3088A102BD9CB4A)"/>
    <m/>
    <m/>
    <x v="107"/>
    <x v="107"/>
    <n v="8.6983333333333324"/>
    <n v="0"/>
    <n v="0"/>
    <n v="8.6983333333333324"/>
    <n v="1"/>
  </r>
  <r>
    <s v="Federated ID"/>
    <s v="WandaBodnar@enthalpy.com"/>
    <s v="enthalpy.com"/>
    <s v="WandaBodnar@enthalpy.com"/>
    <s v="Wanda"/>
    <s v="Bodnar"/>
    <s v="US"/>
    <s v="8D5B1E6B664CDDEF0A495CFE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KellyMoore@montrose-env.com"/>
    <s v="montrose-env.com"/>
    <s v="KellyMoore@montrose-env.com"/>
    <s v="Kelly"/>
    <s v="Moore"/>
    <s v="US"/>
    <s v="922C1E3B664D09EC0A495C2C@038d2aa263c9deeb495fea.e"/>
    <x v="2"/>
    <x v="0"/>
    <x v="0"/>
    <m/>
    <m/>
    <s v="USA - Environmental Consulting - Orlando - Operations"/>
    <m/>
    <m/>
    <m/>
    <m/>
    <s v="Acrobat Standard DC (VIPMP - 99C0A3088A102BD9CB4A)"/>
    <m/>
    <m/>
    <x v="28"/>
    <x v="28"/>
    <n v="8.6983333333333324"/>
    <n v="0"/>
    <n v="0"/>
    <n v="8.6983333333333324"/>
    <n v="1"/>
  </r>
  <r>
    <s v="Federated ID"/>
    <s v="kenkwong@montrose-env.com"/>
    <s v="montrose-env.com"/>
    <s v="kenkwong@montrose-env.com"/>
    <s v="Ken"/>
    <s v="Kwong"/>
    <s v="US"/>
    <s v="91D11E3B664D1A030A495C6F@038d2aa263c9deeb495fea.e"/>
    <x v="1"/>
    <x v="0"/>
    <x v="0"/>
    <m/>
    <m/>
    <s v="USA - LDAR - California - Operations"/>
    <m/>
    <m/>
    <m/>
    <m/>
    <s v="Acrobat Pro (VIPMP - 99C0A3088A102BD9CB4A)"/>
    <m/>
    <m/>
    <x v="108"/>
    <x v="108"/>
    <n v="14.333333333333334"/>
    <n v="0"/>
    <n v="0"/>
    <n v="14.333333333333334"/>
    <n v="1"/>
  </r>
  <r>
    <s v="Federated ID"/>
    <s v="AshleyPehan@montrose-env.com"/>
    <s v="montrose-env.com"/>
    <s v="AshleyPehan@montrose-env.com"/>
    <s v="Ashley"/>
    <s v="Pehan"/>
    <s v="US"/>
    <s v="A7BC1E49664DD9860A495F8D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eperez@montrose-env.com"/>
    <s v="montrose-env.com"/>
    <s v="jeperez@montrose-env.com"/>
    <s v="Jennifer"/>
    <s v="Perez"/>
    <s v="US"/>
    <s v="AE771E66664E17A40A495EB1@038d2aa263c9deeb495fea.e"/>
    <x v="1"/>
    <x v="0"/>
    <x v="0"/>
    <m/>
    <m/>
    <s v="USA - Environmental Consulting OH - HR"/>
    <m/>
    <m/>
    <m/>
    <m/>
    <s v="Acrobat Pro (VIPMP - 99C0A3088A102BD9CB4A)"/>
    <m/>
    <m/>
    <x v="83"/>
    <x v="83"/>
    <n v="14.333333333333334"/>
    <n v="0"/>
    <n v="0"/>
    <n v="14.333333333333334"/>
    <n v="1"/>
  </r>
  <r>
    <s v="Federated ID"/>
    <s v="noahalbers@montrose-env.com"/>
    <s v="montrose-env.com"/>
    <s v="noahalbers@montrose-env.com"/>
    <s v="Noah"/>
    <s v="Albers"/>
    <s v="US"/>
    <s v="B0011E41664E19E60A495FFA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jolyall@montrose-env.com"/>
    <s v="montrose-env.com"/>
    <s v="jolyall@montrose-env.com"/>
    <s v="Joshua"/>
    <s v="Lyall"/>
    <s v="US"/>
    <s v="B3A41E4F664E3DE00A495C24@038d2aa263c9deeb495fea.e"/>
    <x v="1"/>
    <x v="0"/>
    <x v="0"/>
    <m/>
    <m/>
    <s v="USA - LDAR - OH - G&amp;A"/>
    <m/>
    <m/>
    <m/>
    <m/>
    <s v="Acrobat Pro (VIPMP - 99C0A3088A102BD9CB4A)"/>
    <m/>
    <m/>
    <x v="49"/>
    <x v="49"/>
    <n v="14.333333333333334"/>
    <n v="0"/>
    <n v="0"/>
    <n v="14.333333333333334"/>
    <n v="1"/>
  </r>
  <r>
    <s v="Federated ID"/>
    <s v="BENJAMINSEIFERT@montrose-env.com"/>
    <s v="montrose-env.com"/>
    <s v="BENJAMINSEIFERT@montrose-env.com"/>
    <s v="Benjamin"/>
    <s v="Seifert"/>
    <s v="US"/>
    <s v="D4CA1E43664F5ED00A495EDD@038d2aa263c9deeb495fea.e"/>
    <x v="2"/>
    <x v="0"/>
    <x v="0"/>
    <m/>
    <m/>
    <s v="USA - Environmental Consulting - Valley Forge - Operations"/>
    <m/>
    <m/>
    <m/>
    <m/>
    <s v="Acrobat Standard DC (VIPMP - 99C0A3088A102BD9CB4A)"/>
    <m/>
    <m/>
    <x v="2"/>
    <x v="2"/>
    <n v="8.6983333333333324"/>
    <n v="0"/>
    <n v="0"/>
    <n v="8.6983333333333324"/>
    <n v="1"/>
  </r>
  <r>
    <s v="Federated ID"/>
    <s v="sophiakollias@montrose-env.com"/>
    <s v="montrose-env.com"/>
    <s v="sophiakollias@montrose-env.com"/>
    <s v="Sophia"/>
    <s v="Kollias"/>
    <s v="US"/>
    <s v="E1B41E68664FD5AD0A495C34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KaylaTheilig@montrose-env.com"/>
    <s v="montrose-env.com"/>
    <s v="kaylatheilig@montrose-env.com"/>
    <s v="Kayla"/>
    <s v="Theilig"/>
    <s v="US"/>
    <s v="02261FE26650D2820A495FC7@038d2aa263c9deeb495fea.e"/>
    <x v="0"/>
    <x v="0"/>
    <x v="0"/>
    <m/>
    <m/>
    <s v="USA - Advisory Services – Two Dot – Operations"/>
    <m/>
    <m/>
    <m/>
    <m/>
    <m/>
    <m/>
    <m/>
    <x v="0"/>
    <x v="0"/>
    <n v="0"/>
    <n v="0"/>
    <n v="0"/>
    <n v="0"/>
    <m/>
  </r>
  <r>
    <s v="Federated ID"/>
    <s v="kylegriffith@montrose-env.com"/>
    <s v="montrose-env.com"/>
    <s v="kylegriffith@montrose-env.com"/>
    <s v="Kyle"/>
    <s v="Griffith"/>
    <s v="US"/>
    <s v="8B151E3B665776FB0A495CFA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toddspivey@montrose-env.com"/>
    <s v="montrose-env.com"/>
    <s v="toddspivey@montrose-env.com"/>
    <s v="Todd"/>
    <s v="Spivey"/>
    <s v="UD"/>
    <s v="91291E6A6657AFF00A495ECD@038d2aa263c9deeb495fea.e"/>
    <x v="0"/>
    <x v="0"/>
    <x v="0"/>
    <m/>
    <m/>
    <s v="USA - Advisory Services - Two Dot - G&amp;A"/>
    <m/>
    <m/>
    <m/>
    <m/>
    <m/>
    <m/>
    <m/>
    <x v="0"/>
    <x v="0"/>
    <n v="0"/>
    <n v="0"/>
    <n v="0"/>
    <n v="0"/>
    <m/>
  </r>
  <r>
    <s v="Federated ID"/>
    <s v="ZellaNeal@ect2.com"/>
    <s v="ect2.com"/>
    <s v="Zellaneal@ect2.com"/>
    <s v="Zella"/>
    <s v="Neal"/>
    <s v="US"/>
    <s v="DBF11E44665A15750A495FDF@038d2aa263c9deeb495fea.e"/>
    <x v="2"/>
    <x v="0"/>
    <x v="0"/>
    <m/>
    <m/>
    <s v="USA - ECT2 - OH - Finance"/>
    <m/>
    <m/>
    <m/>
    <m/>
    <s v="Acrobat Standard DC (VIPMP - 99C0A3088A102BD9CB4A)"/>
    <m/>
    <m/>
    <x v="72"/>
    <x v="72"/>
    <n v="8.6983333333333324"/>
    <n v="0"/>
    <n v="0"/>
    <n v="8.6983333333333324"/>
    <n v="1"/>
  </r>
  <r>
    <s v="Federated ID"/>
    <s v="JulianneKnight@montrose-env.com"/>
    <s v="montrose-env.com"/>
    <s v="JulianneKnight@montrose-env.com"/>
    <s v="Julianne"/>
    <s v="Knight"/>
    <s v="US"/>
    <s v="46073E7B665B52D60A495F97@038d2aa263c9deeb495fea.e"/>
    <x v="0"/>
    <x v="0"/>
    <x v="0"/>
    <m/>
    <m/>
    <s v="USA - Stack - Southeast - Operations"/>
    <m/>
    <m/>
    <m/>
    <m/>
    <m/>
    <m/>
    <m/>
    <x v="0"/>
    <x v="0"/>
    <n v="0"/>
    <n v="0"/>
    <n v="0"/>
    <n v="0"/>
    <m/>
  </r>
  <r>
    <s v="Federated ID"/>
    <s v="ext-alanloud@montrose-env.com"/>
    <s v="montrose-env.com"/>
    <s v="ext-alanloud@montrose-env.com"/>
    <s v="Alan"/>
    <s v="Loud"/>
    <s v="US"/>
    <s v="646A1E6A665F2B980A495ECD@038d2aa263c9deeb495fea.e"/>
    <x v="0"/>
    <x v="0"/>
    <x v="0"/>
    <m/>
    <m/>
    <s v="USA - Advisory Services OH - Finance"/>
    <m/>
    <m/>
    <m/>
    <m/>
    <m/>
    <m/>
    <m/>
    <x v="0"/>
    <x v="0"/>
    <n v="0"/>
    <n v="0"/>
    <n v="0"/>
    <n v="0"/>
    <m/>
  </r>
  <r>
    <s v="Federated ID"/>
    <s v="emconner@montrose-env.com"/>
    <s v="montrose-env.com"/>
    <s v="emconner@montrose-env.com"/>
    <s v="Emma"/>
    <s v="Conner"/>
    <s v="US"/>
    <s v="63E71E3E665F40590A495E6D@038d2aa263c9deeb495fea.e"/>
    <x v="1"/>
    <x v="0"/>
    <x v="0"/>
    <m/>
    <m/>
    <s v="USA - ECT2 - OH - HR"/>
    <m/>
    <m/>
    <m/>
    <m/>
    <s v="Acrobat Pro (VIPMP - 99C0A3088A102BD9CB4A)"/>
    <m/>
    <m/>
    <x v="109"/>
    <x v="109"/>
    <n v="14.333333333333334"/>
    <n v="0"/>
    <n v="0"/>
    <n v="14.333333333333334"/>
    <n v="1"/>
  </r>
  <r>
    <s v="Federated ID"/>
    <s v="MarkKeyes@montrose-env.com"/>
    <s v="montrose-env.com"/>
    <s v="markkeyes@montrose-env.com"/>
    <s v="Mark"/>
    <s v="Keyes"/>
    <s v="US"/>
    <s v="6C7D1E4F665F52970A495C24@038d2aa263c9deeb495fea.e"/>
    <x v="1"/>
    <x v="0"/>
    <x v="0"/>
    <m/>
    <m/>
    <s v="USA - Advisory Services – Two Dot –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caburns@montrose-env.com"/>
    <s v="montrose-env.com"/>
    <s v="caburns@montrose-env.com"/>
    <s v="Carrie"/>
    <s v="Burns"/>
    <s v="US"/>
    <s v="7A6F1E49665F9EE80A495EE5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NicholeWollesen@montrose-env.com"/>
    <s v="montrose-env.com"/>
    <s v="NicholeWollesen@montrose-env.com"/>
    <s v="Nichole"/>
    <s v="Wollesen"/>
    <s v="US"/>
    <s v="900D1FB4666072FC0A495E5C@038d2aa263c9deeb495fea.e"/>
    <x v="1"/>
    <x v="0"/>
    <x v="0"/>
    <m/>
    <m/>
    <s v="USA - Advisory Services – Two Dot –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MatthewD'Anna@montrose-env.com"/>
    <s v="montrose-env.com"/>
    <s v="MatthewD'Anna@montrose-env.com"/>
    <s v="Matthew"/>
    <s v="D'Anna"/>
    <s v="US"/>
    <s v="97511E4E666094440A495EA1@038d2aa263c9deeb495fea.e"/>
    <x v="2"/>
    <x v="0"/>
    <x v="0"/>
    <m/>
    <m/>
    <s v="USA - Stack - Chicago - Operations"/>
    <m/>
    <m/>
    <m/>
    <m/>
    <s v="Acrobat Standard DC (VIPMP - 99C0A3088A102BD9CB4A)"/>
    <m/>
    <m/>
    <x v="12"/>
    <x v="12"/>
    <n v="8.6983333333333324"/>
    <n v="0"/>
    <n v="0"/>
    <n v="8.6983333333333324"/>
    <n v="1"/>
  </r>
  <r>
    <s v="Federated ID"/>
    <s v="KyleJohnson@montrose-env.com"/>
    <s v="montrose-env.com"/>
    <s v="KyleJohnson@montrose-env.com"/>
    <s v="Kyle"/>
    <s v="Johnson"/>
    <s v="US"/>
    <s v="97E91E6A6660AA2F0A495ECD@038d2aa263c9deeb495fea.e"/>
    <x v="1"/>
    <x v="0"/>
    <x v="0"/>
    <m/>
    <m/>
    <s v="USA - Advisory Services – Two Dot –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measter@montrose-env.com"/>
    <s v="montrose-env.com"/>
    <s v="measter@montrose-env.com"/>
    <s v="Michael"/>
    <s v="Easter"/>
    <s v="US"/>
    <s v="9C9B1F326660C1C20A495FED@038d2aa263c9deeb495fea.e"/>
    <x v="1"/>
    <x v="0"/>
    <x v="0"/>
    <m/>
    <m/>
    <s v="USA - Stack - Gulf Coast - Operations"/>
    <m/>
    <m/>
    <m/>
    <m/>
    <s v="Acrobat Pro (VIPMP - 99C0A3088A102BD9CB4A)"/>
    <m/>
    <m/>
    <x v="60"/>
    <x v="60"/>
    <n v="14.333333333333334"/>
    <n v="0"/>
    <n v="0"/>
    <n v="14.333333333333334"/>
    <n v="1"/>
  </r>
  <r>
    <s v="Federated ID"/>
    <s v="scwerner@montrose-env.com"/>
    <s v="montrose-env.com"/>
    <s v="scwerner@montrose-env.com"/>
    <s v="Scott"/>
    <s v="Werner"/>
    <s v="US"/>
    <s v="B6351E466661A1EE0A495FB6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cekrepps@montrose-env.com"/>
    <s v="montrose-env.com"/>
    <s v="cekrepps@montrose-env.com"/>
    <s v="Courtney"/>
    <s v="Krepps"/>
    <s v="US"/>
    <s v="BF821E426661E2320A495E67@038d2aa263c9deeb495fea.e"/>
    <x v="1"/>
    <x v="0"/>
    <x v="0"/>
    <m/>
    <m/>
    <s v="USA - Stack - Northeast - Operations"/>
    <m/>
    <m/>
    <m/>
    <m/>
    <s v="Acrobat Pro (VIPMP - 99C0A3088A102BD9CB4A)"/>
    <m/>
    <m/>
    <x v="84"/>
    <x v="84"/>
    <n v="14.333333333333334"/>
    <n v="0"/>
    <n v="0"/>
    <n v="14.333333333333334"/>
    <n v="1"/>
  </r>
  <r>
    <s v="Federated ID"/>
    <s v="SusanBaden@montrose-env.com"/>
    <s v="montrose-env.com"/>
    <s v="SusanBaden@montrose-env.com"/>
    <s v="Susan"/>
    <s v="Baden"/>
    <s v="US"/>
    <s v="193F1D54666323320A495FBD@038d2aa263c9deeb495fea.e"/>
    <x v="2"/>
    <x v="0"/>
    <x v="0"/>
    <m/>
    <m/>
    <s v="USA - Advisory Services - Two Dot - Operations"/>
    <m/>
    <m/>
    <m/>
    <m/>
    <s v="Acrobat Standard DC (VIPMP - 99C0A3088A102BD9CB4A)"/>
    <m/>
    <m/>
    <x v="110"/>
    <x v="110"/>
    <n v="8.6983333333333324"/>
    <n v="0"/>
    <n v="0"/>
    <n v="8.6983333333333324"/>
    <n v="1"/>
  </r>
  <r>
    <s v="Federated ID"/>
    <s v="KeenanWinger@montrose-env.com"/>
    <s v="montrose-env.com"/>
    <s v="keenanwinger@montrose-env.com"/>
    <s v="Keenan"/>
    <s v="Winger"/>
    <s v="US"/>
    <s v="1CCE1D8F66632AF10A495FE9@038d2aa263c9deeb495fea.e"/>
    <x v="1"/>
    <x v="0"/>
    <x v="0"/>
    <m/>
    <m/>
    <s v="USA - Advisory Services – Two Dot –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RichardHagberg@montrose-env.com"/>
    <s v="montrose-env.com"/>
    <s v="richardhagberg@montrose-env.com"/>
    <s v="Richard"/>
    <s v="Hagberg"/>
    <s v="US"/>
    <s v="6C1A1DBF666704000A495C06@038d2aa263c9deeb495fea.e"/>
    <x v="0"/>
    <x v="0"/>
    <x v="0"/>
    <m/>
    <m/>
    <s v="USA - Environmental Consulting - Orlando - Operations"/>
    <m/>
    <m/>
    <m/>
    <m/>
    <m/>
    <m/>
    <m/>
    <x v="0"/>
    <x v="0"/>
    <n v="0"/>
    <n v="0"/>
    <n v="0"/>
    <n v="0"/>
    <m/>
  </r>
  <r>
    <s v="Federated ID"/>
    <s v="OliviaRosario@montrose-env.com"/>
    <s v="montrose-env.com"/>
    <s v="oliviarosario@montrose-env.com"/>
    <s v="Olivia"/>
    <s v="Rosario"/>
    <s v="US"/>
    <s v="717E1D76666720DC0A495FBF@038d2aa263c9deeb495fea.e"/>
    <x v="1"/>
    <x v="0"/>
    <x v="0"/>
    <m/>
    <m/>
    <s v="USA - Stack - Chicago - Operations"/>
    <m/>
    <m/>
    <m/>
    <m/>
    <s v="Acrobat Pro (VIPMP - 99C0A3088A102BD9CB4A)"/>
    <m/>
    <m/>
    <x v="5"/>
    <x v="5"/>
    <n v="14.333333333333334"/>
    <n v="0"/>
    <n v="0"/>
    <n v="14.333333333333334"/>
    <n v="1"/>
  </r>
  <r>
    <s v="Federated ID"/>
    <s v="BrittnyAguiar@montrose-env.com"/>
    <s v="montrose-env.com"/>
    <s v="BrittnyAguiar@montrose-env.com"/>
    <s v="Brittny"/>
    <s v="Aguiar"/>
    <s v="US"/>
    <s v="70CE1D56666729200A495FD9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WarrenJohnson@montrose-env.com"/>
    <s v="montrose-env.com"/>
    <s v="WarrenJohnson@montrose-env.com"/>
    <s v="Warren"/>
    <s v="Johnson"/>
    <s v="US"/>
    <s v="7A101D4D66675CE30A495EBC@038d2aa263c9deeb495fea.e"/>
    <x v="2"/>
    <x v="0"/>
    <x v="0"/>
    <m/>
    <m/>
    <s v="USA - Environmental Consulting - Atlanta - Operations"/>
    <m/>
    <m/>
    <m/>
    <m/>
    <s v="Acrobat Standard DC (VIPMP - 99C0A3088A102BD9CB4A)"/>
    <m/>
    <m/>
    <x v="78"/>
    <x v="78"/>
    <n v="8.6983333333333324"/>
    <n v="0"/>
    <n v="0"/>
    <n v="8.6983333333333324"/>
    <n v="1"/>
  </r>
  <r>
    <s v="Federated ID"/>
    <s v="danielrosie@montrose-env.com"/>
    <s v="montrose-env.com"/>
    <s v="DanielRosie@montrose-env.com"/>
    <s v="Daniel"/>
    <s v="Rosie"/>
    <s v="US"/>
    <s v="93961D52666837250A495FA7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MariaSpadaro@montrose-env.com"/>
    <s v="montrose-env.com"/>
    <s v="MariaSpadaro@montrose-env.com"/>
    <s v="Maria"/>
    <s v="Spadaro"/>
    <s v="US"/>
    <s v="A5991D4F6668AD8A0A495FC9@038d2aa263c9deeb495fea.e"/>
    <x v="0"/>
    <x v="0"/>
    <x v="0"/>
    <m/>
    <m/>
    <s v="USA - Sensible EDP - OH - Sales"/>
    <m/>
    <m/>
    <m/>
    <m/>
    <m/>
    <m/>
    <m/>
    <x v="0"/>
    <x v="0"/>
    <n v="0"/>
    <n v="0"/>
    <n v="0"/>
    <n v="0"/>
    <m/>
  </r>
  <r>
    <s v="Federated ID"/>
    <s v="LeilaniSilen@montrose-env.com"/>
    <s v="montrose-env.com"/>
    <s v="LeilaniSilen@montrose-env.com"/>
    <s v="Leilani"/>
    <s v="Silen"/>
    <s v="US"/>
    <s v="27001D58666C74020A495E9E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SabrinaSoria@montrose-env.com"/>
    <s v="montrose-env.com"/>
    <s v="SabrinaSoria@montrose-env.com"/>
    <s v="Sabrina"/>
    <s v="Soria"/>
    <s v="US"/>
    <s v="299B1D49666CA1B10A495F8A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LianaDavis@enthalpy.com"/>
    <s v="enthalpy.com"/>
    <s v="lianadavis@enthalpy.com"/>
    <s v="Liana"/>
    <s v="Davis"/>
    <s v="US"/>
    <s v="30E61D52666CA30C0A495CA8@038d2aa263c9deeb495fea.e"/>
    <x v="1"/>
    <x v="0"/>
    <x v="0"/>
    <m/>
    <m/>
    <s v="USA - Labs - OH - Finance"/>
    <m/>
    <m/>
    <m/>
    <m/>
    <s v="Acrobat Pro (VIPMP - 99C0A3088A102BD9CB4A)"/>
    <m/>
    <m/>
    <x v="42"/>
    <x v="42"/>
    <n v="14.333333333333334"/>
    <n v="0"/>
    <n v="0"/>
    <n v="14.333333333333334"/>
    <n v="1"/>
  </r>
  <r>
    <s v="Federated ID"/>
    <s v="sasoria@montrose-env.com"/>
    <s v="montrose-env.com"/>
    <s v="sasoria@montrose-env.com"/>
    <s v="Sabrina"/>
    <s v="Soria"/>
    <s v="US"/>
    <s v="28361D6A666CAC5E0A495CA7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rebeccagilbert@montrose-env.com"/>
    <s v="montrose-env.com"/>
    <s v="rebeccagilbert@montrose-env.com"/>
    <s v="Rebecca"/>
    <s v="Gilbert"/>
    <s v="US"/>
    <s v="2F691D7C666CCE980A495E4D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mvanderslice@montrose-env.com"/>
    <s v="montrose-env.com"/>
    <s v="mvanderslice@montrose-env.com"/>
    <s v="Michael"/>
    <s v="Vanderslice"/>
    <s v="US"/>
    <s v="7BD51D52667048F70A495EBD@038d2aa263c9deeb495fea.e"/>
    <x v="1"/>
    <x v="0"/>
    <x v="0"/>
    <m/>
    <m/>
    <s v="USA - Environmental Consulting - Wilmington DE - Sales &amp; Marketing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SeanKittle@montrose-env.com"/>
    <s v="montrose-env.com"/>
    <s v="SeanKittle@montrose-env.com"/>
    <s v="Sean"/>
    <s v="Kittle"/>
    <s v="US"/>
    <s v="BF701D526671A4370A495CA8@038d2aa263c9deeb495fea.e"/>
    <x v="1"/>
    <x v="0"/>
    <x v="0"/>
    <m/>
    <m/>
    <s v="USA - Stack - OH - G&amp;A"/>
    <m/>
    <m/>
    <m/>
    <m/>
    <s v="Acrobat Pro (VIPMP - 99C0A3088A102BD9CB4A)"/>
    <m/>
    <m/>
    <x v="36"/>
    <x v="36"/>
    <n v="14.333333333333334"/>
    <n v="0"/>
    <n v="0"/>
    <n v="14.333333333333334"/>
    <n v="1"/>
  </r>
  <r>
    <s v="Federated ID"/>
    <s v="johnkusowski@montrose-env.com"/>
    <s v="montrose-env.com"/>
    <s v="johnkusowski@montrose-env.com"/>
    <s v="John"/>
    <s v="Kusowski"/>
    <s v="US"/>
    <s v="DDF51D4F6672DAC30A495C10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AnnaStrack@montrose-env.com"/>
    <s v="montrose-env.com"/>
    <s v="annastrack@montrose-env.com"/>
    <s v="Anna"/>
    <s v="Strack"/>
    <s v="US"/>
    <s v="F0CA1D5C6673343A0A495F99@038d2aa263c9deeb495fea.e"/>
    <x v="1"/>
    <x v="0"/>
    <x v="0"/>
    <m/>
    <m/>
    <s v="USA - Corp - Marketing"/>
    <m/>
    <m/>
    <m/>
    <m/>
    <s v="Acrobat Pro (VIPMP - 99C0A3088A102BD9CB4A)"/>
    <m/>
    <m/>
    <x v="35"/>
    <x v="35"/>
    <n v="14.333333333333334"/>
    <n v="0"/>
    <n v="0"/>
    <n v="14.333333333333334"/>
    <n v="1"/>
  </r>
  <r>
    <s v="Federated ID"/>
    <s v="EssielOrona@montrose-env.com"/>
    <s v="montrose-env.com"/>
    <s v="essielorona@montrose-env.com"/>
    <s v="Essiel"/>
    <s v="Orona"/>
    <s v="US"/>
    <s v="123E1D51667439A00A495EB3@038d2aa263c9deeb495fea.e"/>
    <x v="1"/>
    <x v="0"/>
    <x v="0"/>
    <m/>
    <m/>
    <s v="USA - Sensible EDP - Austin - Operations"/>
    <m/>
    <m/>
    <m/>
    <m/>
    <s v="Acrobat Pro (VIPMP - 99C0A3088A102BD9CB4A)"/>
    <m/>
    <m/>
    <x v="61"/>
    <x v="61"/>
    <n v="14.333333333333334"/>
    <n v="0"/>
    <n v="0"/>
    <n v="14.333333333333334"/>
    <n v="1"/>
  </r>
  <r>
    <s v="Federated ID"/>
    <s v="KimQuinn@montrose-env.com"/>
    <s v="montrose-env.com"/>
    <s v="KimQuinn@montrose-env.com"/>
    <s v="Kim"/>
    <s v="Quinn"/>
    <s v="US"/>
    <s v="21241D4C66748FCF0A495CFC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AshleyPehan@enthalpy.com"/>
    <s v="enthalpy.com"/>
    <s v="AshleyPehan@enthalpy.com"/>
    <s v="Ashley"/>
    <s v="Pehan"/>
    <s v="US"/>
    <s v="79471E406679C30C0A495FC6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mariahlebsock@montrose-env.com"/>
    <s v="montrose-env.com"/>
    <s v="amariahlebsock@montrose-env.com"/>
    <s v="Amariah"/>
    <s v="Lebsock"/>
    <s v="US"/>
    <s v="81641E34667A141D0A495FE8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emilybradford@montrose-env.com"/>
    <s v="montrose-env.com"/>
    <s v="emilybradford@montrose-env.com"/>
    <s v="Emily"/>
    <s v="Bradford"/>
    <s v="US"/>
    <s v="8F881E48667A9C120A495FDE@038d2aa263c9deeb495fea.e"/>
    <x v="0"/>
    <x v="0"/>
    <x v="0"/>
    <m/>
    <m/>
    <s v="USA - Eco Services - Environmental Intelligence - Operations"/>
    <m/>
    <m/>
    <m/>
    <m/>
    <m/>
    <m/>
    <m/>
    <x v="0"/>
    <x v="0"/>
    <n v="0"/>
    <n v="0"/>
    <n v="0"/>
    <n v="0"/>
    <m/>
  </r>
  <r>
    <s v="Federated ID"/>
    <s v="jojones@montrose-env.com"/>
    <s v="montrose-env.com"/>
    <s v="jojones@montrose-env.com"/>
    <s v="Jody"/>
    <s v="Jones"/>
    <s v="US"/>
    <s v="EED31E61667D77900A495F84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AlyssaBustos@enthalpy.com"/>
    <s v="enthalpy.com"/>
    <s v="AlyssaBustos@enthalpy.com"/>
    <s v="Alyssa"/>
    <s v="Bustos"/>
    <s v="US"/>
    <s v="720C1E566682B1E50A495FCB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GracynFord@enthalpy.com"/>
    <s v="enthalpy.com"/>
    <s v="GracynFord@enthalpy.com"/>
    <s v="Gracyn"/>
    <s v="Ford"/>
    <s v="US"/>
    <s v="77EB1E2B6682B5990A495C90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LaurenDowling@montrose-env.com"/>
    <s v="montrose-env.com"/>
    <s v="LaurenDowling@montrose-env.com"/>
    <s v="Lauren"/>
    <s v="Dowling"/>
    <s v="US"/>
    <s v="67F01E38668BFDE50A495E3F@038d2aa263c9deeb495fea.e"/>
    <x v="1"/>
    <x v="0"/>
    <x v="0"/>
    <m/>
    <m/>
    <s v="USA - Corp - Marketing"/>
    <m/>
    <m/>
    <m/>
    <m/>
    <s v="Acrobat Pro (VIPMP - 99C0A3088A102BD9CB4A)"/>
    <m/>
    <m/>
    <x v="44"/>
    <x v="44"/>
    <n v="14.333333333333334"/>
    <n v="0"/>
    <n v="0"/>
    <n v="14.333333333333334"/>
    <n v="1"/>
  </r>
  <r>
    <s v="Federated ID"/>
    <s v="ErikaRodriguez@montrose-env.com"/>
    <s v="montrose-env.com"/>
    <s v="ErikaRodriguez@montrose-env.com"/>
    <s v="Erika"/>
    <s v="Rodriguez"/>
    <s v="US"/>
    <s v="6C2D1E3F668C1B170A495FD0@038d2aa263c9deeb495fea.e"/>
    <x v="1"/>
    <x v="0"/>
    <x v="0"/>
    <m/>
    <m/>
    <s v="USA - Corp - Internal Audit"/>
    <m/>
    <m/>
    <m/>
    <m/>
    <s v="Acrobat Pro (VIPMP - 99C0A3088A102BD9CB4A)"/>
    <m/>
    <m/>
    <x v="62"/>
    <x v="62"/>
    <n v="14.333333333333334"/>
    <n v="0"/>
    <n v="0"/>
    <n v="14.333333333333334"/>
    <n v="1"/>
  </r>
  <r>
    <s v="Federated ID"/>
    <s v="LucasSnider@montrose-env.com"/>
    <s v="montrose-env.com"/>
    <s v="LucasSnider@montrose-env.com"/>
    <s v="Lucas"/>
    <s v="Snider"/>
    <s v="US"/>
    <s v="80B01E47668D16BE0A495FA3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NellySagastume@montrose-env.com"/>
    <s v="montrose-env.com"/>
    <s v="nellysagastume@montrose-env.com"/>
    <s v="Nelly"/>
    <s v="Sagastume"/>
    <s v="US"/>
    <s v="A3B81E2E668D96800A495FF3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epwhite@montrose-env.com"/>
    <s v="montrose-env.com"/>
    <s v="epwhite@montrose-env.com"/>
    <s v="Eric"/>
    <s v="White"/>
    <s v="US"/>
    <s v="C3FC1E40668EB37E0A495FC6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IsabellaRodriguez@montrose-env.com"/>
    <s v="montrose-env.com"/>
    <s v="IsabellaRodriguez@montrose-env.com"/>
    <s v="Isabella"/>
    <s v="Rodriguez"/>
    <s v="US"/>
    <s v="C3601E42668ED52B0A495FB6@038d2aa263c9deeb495fea.e"/>
    <x v="1"/>
    <x v="0"/>
    <x v="0"/>
    <s v="System"/>
    <m/>
    <m/>
    <m/>
    <m/>
    <m/>
    <m/>
    <s v="Acrobat Pro (VIPMP - 99C0A3088A102BD9CB4A)"/>
    <m/>
    <m/>
    <x v="55"/>
    <x v="55"/>
    <n v="14.333333333333334"/>
    <n v="0"/>
    <n v="0"/>
    <n v="14.333333333333334"/>
    <n v="1"/>
  </r>
  <r>
    <s v="Federated ID"/>
    <s v="nancycarpenter@montrose-env.com"/>
    <s v="montrose-env.com"/>
    <s v="nancycarpenter@montrose-env.com"/>
    <s v="Nancy"/>
    <s v="Carpenter"/>
    <s v="US"/>
    <s v="CBAD1E41668ED5F90A495CC2@038d2aa263c9deeb495fea.e"/>
    <x v="1"/>
    <x v="0"/>
    <x v="0"/>
    <m/>
    <m/>
    <s v="USA - Environmental Consulting OH - Finance"/>
    <m/>
    <m/>
    <m/>
    <m/>
    <s v="Acrobat Pro (VIPMP - 99C0A3088A102BD9CB4A)"/>
    <m/>
    <m/>
    <x v="111"/>
    <x v="111"/>
    <n v="14.333333333333334"/>
    <n v="0"/>
    <n v="0"/>
    <n v="14.333333333333334"/>
    <n v="1"/>
  </r>
  <r>
    <s v="Federated ID"/>
    <s v="stquach@montrose-env.com"/>
    <s v="montrose-env.com"/>
    <s v="stquach@montrose-env.com"/>
    <s v="Steven"/>
    <s v="Quach"/>
    <s v="US"/>
    <s v="D12B1E5E668F29A30A495E8D@038d2aa263c9deeb495fea.e"/>
    <x v="0"/>
    <x v="0"/>
    <x v="0"/>
    <m/>
    <m/>
    <s v="USA - Corp - Finance"/>
    <m/>
    <m/>
    <m/>
    <m/>
    <m/>
    <m/>
    <m/>
    <x v="0"/>
    <x v="0"/>
    <n v="0"/>
    <n v="0"/>
    <n v="0"/>
    <n v="0"/>
    <m/>
  </r>
  <r>
    <s v="Federated ID"/>
    <s v="kenneth.bell@enthalpy.com"/>
    <s v="enthalpy.com"/>
    <s v="kenneth.bell@enthalpy.com"/>
    <s v="Kenneth"/>
    <s v="Bell"/>
    <s v="US"/>
    <s v="F0241E4266902B870A495E2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ChristianJunghanss@ect2.com"/>
    <s v="ect2.com"/>
    <s v="christianjunghanss@ect2.com"/>
    <s v="Christian"/>
    <s v="Junghanss"/>
    <s v="US"/>
    <s v="1C5A1E3466915D940A495CE2@038d2aa263c9deeb495fea.e"/>
    <x v="2"/>
    <x v="0"/>
    <x v="0"/>
    <m/>
    <m/>
    <s v="USA - ECT2 - OH - Finance"/>
    <m/>
    <m/>
    <m/>
    <m/>
    <s v="Acrobat Standard DC (VIPMP - 99C0A3088A102BD9CB4A)"/>
    <m/>
    <m/>
    <x v="72"/>
    <x v="72"/>
    <n v="8.6983333333333324"/>
    <n v="0"/>
    <n v="0"/>
    <n v="8.6983333333333324"/>
    <n v="1"/>
  </r>
  <r>
    <s v="Federated ID"/>
    <s v="lechavarria@montrose-env.com"/>
    <s v="montrose-env.com"/>
    <s v="lechavarria@montrose-env.com"/>
    <s v="Leslye"/>
    <s v="Echavarria"/>
    <s v="US"/>
    <s v="0F9A1E83669173B10A495E6D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MelissaSaintJames@montrose-env.com"/>
    <s v="montrose-env.com"/>
    <s v="melissasaintjames@montrose-env.com"/>
    <s v="Melissa"/>
    <s v="Saint James"/>
    <s v="US"/>
    <s v="6E631E40669572B50A495FC6@038d2aa263c9deeb495fea.e"/>
    <x v="0"/>
    <x v="0"/>
    <x v="0"/>
    <m/>
    <m/>
    <s v="USA - Environmental Consulting - Orlando - Operations"/>
    <m/>
    <m/>
    <m/>
    <m/>
    <m/>
    <m/>
    <m/>
    <x v="0"/>
    <x v="0"/>
    <n v="0"/>
    <n v="0"/>
    <n v="0"/>
    <n v="0"/>
    <m/>
  </r>
  <r>
    <s v="Federated ID"/>
    <s v="fatoro@montrose-env.com"/>
    <s v="montrose-env.com"/>
    <s v="fatoro@montrose-env.com"/>
    <s v="Fabiana"/>
    <s v="Toro"/>
    <s v="US"/>
    <s v="94861E24669661EF0A495FF2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cbusse@montrose-env.com"/>
    <s v="montrose-env.com"/>
    <s v="cbusse@montrose-env.com"/>
    <s v="Cathy"/>
    <s v="Busse"/>
    <s v="US"/>
    <s v="924F1E6A669676D70A495EA6@038d2aa263c9deeb495fea.e"/>
    <x v="1"/>
    <x v="0"/>
    <x v="0"/>
    <m/>
    <m/>
    <s v="USA - Stack - OH - Finance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dsmith@montrose-env.com"/>
    <s v="montrose-env.com"/>
    <s v="dsmith@montrose-env.com"/>
    <s v="David"/>
    <s v="Smith"/>
    <s v="US"/>
    <s v="8D681E6166967AC20A495F84@038d2aa263c9deeb495fea.e"/>
    <x v="1"/>
    <x v="0"/>
    <x v="0"/>
    <m/>
    <m/>
    <s v="USA - Stack - Great Plains - Operations"/>
    <m/>
    <m/>
    <m/>
    <m/>
    <s v="Acrobat Pro (VIPMP - 99C0A3088A102BD9CB4A)"/>
    <m/>
    <m/>
    <x v="79"/>
    <x v="79"/>
    <n v="14.333333333333334"/>
    <n v="0"/>
    <n v="0"/>
    <n v="14.333333333333334"/>
    <n v="1"/>
  </r>
  <r>
    <s v="Federated ID"/>
    <s v="AdrianneGriffin@montrose-env.com"/>
    <s v="montrose-env.com"/>
    <s v="AdrianneGriffin@montrose-env.com"/>
    <s v="Adrianne"/>
    <s v="Griffin"/>
    <s v="US"/>
    <s v="10961D72669799690A495FBC@038d2aa263c9deeb495fea.e"/>
    <x v="1"/>
    <x v="0"/>
    <x v="0"/>
    <m/>
    <m/>
    <s v="USA - Corp - Finance"/>
    <m/>
    <m/>
    <m/>
    <m/>
    <s v="Acrobat Pro (VIPMP - 99C0A3088A102BD9CB4A)"/>
    <m/>
    <m/>
    <x v="112"/>
    <x v="112"/>
    <n v="14.333333333333334"/>
    <n v="0"/>
    <n v="0"/>
    <n v="14.333333333333334"/>
    <n v="1"/>
  </r>
  <r>
    <s v="Federated ID"/>
    <s v="MasonMeyers@montrose-env.com"/>
    <s v="montrose-env.com"/>
    <s v="masonmeyers@montrose-env.com"/>
    <s v="Mason"/>
    <s v="Meyers"/>
    <s v="US"/>
    <s v="1B961D456697D4A10A495E7A@038d2aa263c9deeb495fea.e"/>
    <x v="0"/>
    <x v="0"/>
    <x v="0"/>
    <m/>
    <m/>
    <s v="USA - Environmental Consulting - Nashville - Operations"/>
    <m/>
    <m/>
    <m/>
    <m/>
    <m/>
    <m/>
    <m/>
    <x v="0"/>
    <x v="0"/>
    <n v="0"/>
    <n v="0"/>
    <n v="0"/>
    <n v="0"/>
    <m/>
  </r>
  <r>
    <s v="Federated ID"/>
    <s v="trburnetteadmin@montrose-env.com"/>
    <s v="montrose-env.com"/>
    <s v="trburnetteadmin@montrose-env.com"/>
    <s v="Tristan"/>
    <s v="Burnette Admin"/>
    <s v="US"/>
    <s v="204F1D6F6697E1510A495F94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kikondratenkoadmin@montrose-env.com"/>
    <s v="montrose-env.com"/>
    <s v="kikondratenkoadmin@montrose-env.com"/>
    <s v="Kirill"/>
    <s v="Kondratenko Admin"/>
    <s v="US"/>
    <s v="1F961D416697E3670A495FBE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aglenn@montrose-env.com"/>
    <s v="montrose-env.com"/>
    <s v="AGlenn@montrose-env.com"/>
    <s v="Amanda"/>
    <s v="Glenn"/>
    <s v="US"/>
    <s v="1FEF1D586697E4780A495CB1@038d2aa263c9deeb495fea.e"/>
    <x v="1"/>
    <x v="0"/>
    <x v="0"/>
    <m/>
    <m/>
    <s v="USA - Environmental Consulting OH - Financ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JamesBond@montrose-env.com"/>
    <s v="montrose-env.com"/>
    <s v="jamesbond@montrose-env.com"/>
    <s v="James"/>
    <s v="Bond"/>
    <s v="US"/>
    <s v="1F6A1D726697E4790A495FBC@038d2aa263c9deeb495fea.e"/>
    <x v="1"/>
    <x v="0"/>
    <x v="0"/>
    <m/>
    <m/>
    <s v="USA - Environmental Consulting OH - Financ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NathanVelek@montrose-env.com"/>
    <s v="montrose-env.com"/>
    <s v="NathanVelek@montrose-env.com"/>
    <s v="Nathan"/>
    <s v="Velek"/>
    <s v="US"/>
    <s v="20F91D6F6697E4790A495F94@038d2aa263c9deeb495fea.e"/>
    <x v="1"/>
    <x v="0"/>
    <x v="0"/>
    <m/>
    <m/>
    <s v="USA - Environmental Consulting OH - Financ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AustinCook@montrose-env.com"/>
    <s v="montrose-env.com"/>
    <s v="austincook@montrose-env.com"/>
    <s v="Austin"/>
    <s v="Cook"/>
    <s v="US"/>
    <s v="1D7B1D476697E4790A495F8E@038d2aa263c9deeb495fea.e"/>
    <x v="1"/>
    <x v="0"/>
    <x v="0"/>
    <m/>
    <m/>
    <s v="USA - Environmental Consulting OH - Financ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RitaJones@montrose-env.com"/>
    <s v="montrose-env.com"/>
    <s v="ritajones@montrose-env.com"/>
    <s v="Rita"/>
    <s v="Jones"/>
    <s v="US"/>
    <s v="1EEC1D476697E47A0A495E33@038d2aa263c9deeb495fea.e"/>
    <x v="0"/>
    <x v="0"/>
    <x v="0"/>
    <m/>
    <m/>
    <s v="USA - Environmental Consulting OH - Finance"/>
    <m/>
    <m/>
    <m/>
    <m/>
    <m/>
    <m/>
    <m/>
    <x v="0"/>
    <x v="0"/>
    <n v="0"/>
    <n v="0"/>
    <n v="0"/>
    <n v="0"/>
    <m/>
  </r>
  <r>
    <s v="Federated ID"/>
    <s v="AshleyBrumett@montrose-env.com"/>
    <s v="montrose-env.com"/>
    <s v="ashleybrumett@montrose-env.com"/>
    <s v="Ashley"/>
    <s v="Brumett"/>
    <s v="US"/>
    <s v="1ECA1D716697E47A0A495CEF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kiasbury@montrose-env.com"/>
    <s v="montrose-env.com"/>
    <s v="kiasbury@montrose-env.com"/>
    <s v="Kimberly"/>
    <s v="Asbury"/>
    <s v="US"/>
    <s v="26C61D4A6698181F0A495CB8@038d2aa263c9deeb495fea.e"/>
    <x v="0"/>
    <x v="0"/>
    <x v="0"/>
    <m/>
    <m/>
    <s v="USA - Environmental Consulting - Oakland - Operations"/>
    <m/>
    <m/>
    <m/>
    <m/>
    <m/>
    <m/>
    <m/>
    <x v="0"/>
    <x v="0"/>
    <n v="0"/>
    <n v="0"/>
    <n v="0"/>
    <n v="0"/>
    <m/>
  </r>
  <r>
    <s v="Federated ID"/>
    <s v="fkia@montrose-env.com"/>
    <s v="montrose-env.com"/>
    <s v="fkia@montrose-env.com"/>
    <s v="Farideh"/>
    <s v="Kia"/>
    <s v="US"/>
    <s v="264E1D8066981DAE0A495FE1@038d2aa263c9deeb495fea.e"/>
    <x v="1"/>
    <x v="0"/>
    <x v="0"/>
    <m/>
    <m/>
    <s v="USA - Environmental Consulting - Santa Ana (Rem)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kahorn@montrose-env.com"/>
    <s v="montrose-env.com"/>
    <s v="katherinehorn@montrose-env.com"/>
    <s v="Katherine"/>
    <s v="Horn"/>
    <s v="US"/>
    <s v="5BD81D4766993AD70A495E33@038d2aa263c9deeb495fea.e"/>
    <x v="2"/>
    <x v="0"/>
    <x v="0"/>
    <m/>
    <m/>
    <s v="USA - Advisory Services - Risk Management Solutions - Operations"/>
    <m/>
    <m/>
    <m/>
    <m/>
    <s v="Acrobat Standard DC (VIPMP - 99C0A3088A102BD9CB4A)"/>
    <m/>
    <m/>
    <x v="73"/>
    <x v="73"/>
    <n v="8.6983333333333324"/>
    <n v="0"/>
    <n v="0"/>
    <n v="8.6983333333333324"/>
    <n v="1"/>
  </r>
  <r>
    <s v="Federated ID"/>
    <s v="AnnaGrisamore@montrose-env.com"/>
    <s v="montrose-env.com"/>
    <s v="AnnaGrisamore@montrose-env.com"/>
    <s v="Anna"/>
    <s v="Grisamore"/>
    <s v="US"/>
    <s v="8F271D4C669AACEA0A495C23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MatthewRies@montrose-env.com"/>
    <s v="montrose-env.com"/>
    <s v="MatthewRies@montrose-env.com"/>
    <s v="Matthew"/>
    <s v="Ries"/>
    <s v="US"/>
    <s v="92421D74669AAD200A495FD8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VladimirRaskin@montrose-env.com"/>
    <s v="montrose-env.com"/>
    <s v="VladimirRaskin@montrose-env.com"/>
    <s v="Vladimir"/>
    <s v="Raskin"/>
    <s v="US"/>
    <s v="E8A61D47669EC13F0A495E33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CameronWright@enthalpy.com"/>
    <s v="enthalpy.com"/>
    <s v="CameronWright@enthalpy.com"/>
    <s v="Cameron"/>
    <s v="Wright"/>
    <s v="US"/>
    <s v="16EF1D4D669FE6B50A495C14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taonorato@montrose-env.com"/>
    <s v="montrose-env.com"/>
    <s v="taonorato@montrose-env.com"/>
    <s v="Tammy"/>
    <s v="Onorato"/>
    <s v="US"/>
    <s v="1DF61E6166A003F60A495E5B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jhicks@montrose-env.com"/>
    <s v="montrose-env.com"/>
    <s v="jhicks@montrose-env.com"/>
    <s v="Jeremiah"/>
    <s v="Hicks"/>
    <s v="US"/>
    <s v="1D601D6766A019A50A495FC3@038d2aa263c9deeb495fea.e"/>
    <x v="1"/>
    <x v="0"/>
    <x v="0"/>
    <m/>
    <m/>
    <s v="USA - Stack - Cleveland - Operations"/>
    <m/>
    <m/>
    <m/>
    <m/>
    <s v="Acrobat Pro (VIPMP - 99C0A3088A102BD9CB4A)"/>
    <m/>
    <m/>
    <x v="8"/>
    <x v="8"/>
    <n v="14.333333333333334"/>
    <n v="0"/>
    <n v="0"/>
    <n v="14.333333333333334"/>
    <n v="1"/>
  </r>
  <r>
    <s v="Federated ID"/>
    <s v="JessieHearne@montrose-env.com"/>
    <s v="montrose-env.com"/>
    <s v="jessiehearne@montrose-env.com"/>
    <s v="Jessie"/>
    <s v="Hearne"/>
    <s v="US"/>
    <s v="20A81D6C66A039A20A495ECC@038d2aa263c9deeb495fea.e"/>
    <x v="2"/>
    <x v="0"/>
    <x v="0"/>
    <m/>
    <m/>
    <s v="AUS - ECT2 - OH - HR"/>
    <m/>
    <m/>
    <m/>
    <m/>
    <s v="Acrobat Standard DC (VIPMP - 99C0A3088A102BD9CB4A)"/>
    <m/>
    <m/>
    <x v="114"/>
    <x v="114"/>
    <n v="8.6983333333333324"/>
    <n v="0"/>
    <n v="0"/>
    <n v="8.6983333333333324"/>
    <n v="1"/>
  </r>
  <r>
    <s v="Federated ID"/>
    <s v="ravelazquezrivera@montrose-env.com"/>
    <s v="montrose-env.com"/>
    <s v="Ravelazquezrivera@montrose-env.com"/>
    <s v="Rafael"/>
    <s v="Velazquez Rivera"/>
    <s v="US"/>
    <s v="3D261D4866A1165F0A495FA8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atestoff@montrose-env.com"/>
    <s v="montrose-env.com"/>
    <s v="atestoff@montrose-env.com"/>
    <s v="Alex"/>
    <s v="Testoff"/>
    <s v="US"/>
    <s v="69B71D4766A25B210A495E33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Adobe ID"/>
    <s v="trburnetteadmin@USMontrose.onmicrosoft.com"/>
    <s v="USMontrose.onmicrosoft.com"/>
    <s v="trburnetteadmin@USMontrose.onmicrosoft.com"/>
    <s v="Tristan"/>
    <s v="Burnette Admin"/>
    <s v="UD"/>
    <s v="6FEE1D4F66A26C3E0A495C84@038d2aa263c9deeb495fea.e"/>
    <x v="0"/>
    <x v="0"/>
    <x v="0"/>
    <m/>
    <m/>
    <s v="USA - Corp - IT"/>
    <m/>
    <m/>
    <m/>
    <m/>
    <m/>
    <m/>
    <m/>
    <x v="0"/>
    <x v="0"/>
    <n v="0"/>
    <n v="0"/>
    <n v="0"/>
    <n v="0"/>
    <m/>
  </r>
  <r>
    <s v="Federated ID"/>
    <s v="kylapic@montrose-env.com"/>
    <s v="montrose-env.com"/>
    <s v="kylapic@montrose-env.com"/>
    <s v="Kyle"/>
    <s v="Lapic"/>
    <s v="US"/>
    <s v="4AD51D7366AA2CA00A495EAB@038d2aa263c9deeb495fea.e"/>
    <x v="1"/>
    <x v="0"/>
    <x v="0"/>
    <m/>
    <m/>
    <s v="USA - Environmental Consulting - Orlando - Operations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damaez@montrose-env.com"/>
    <s v="montrose-env.com"/>
    <s v="damaez@montrose-env.com"/>
    <s v="David"/>
    <s v="Maez"/>
    <s v="US"/>
    <s v="55EF1D4F66AA6BFB0A495CCB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lcfabian@montrose-env.com"/>
    <s v="montrose-env.com"/>
    <s v="lcfabian@montrose-env.com"/>
    <s v="Lucia"/>
    <s v="Fabian"/>
    <s v="US"/>
    <s v="56E91E6166AA74AB0A495E5B@038d2aa263c9deeb495fea.e"/>
    <x v="1"/>
    <x v="0"/>
    <x v="0"/>
    <m/>
    <m/>
    <s v="USA - Corp - Global Business Services"/>
    <m/>
    <m/>
    <m/>
    <m/>
    <s v="Acrobat Pro (VIPMP - 99C0A3088A102BD9CB4A)"/>
    <m/>
    <m/>
    <x v="65"/>
    <x v="65"/>
    <n v="14.333333333333334"/>
    <n v="0"/>
    <n v="0"/>
    <n v="14.333333333333334"/>
    <n v="1"/>
  </r>
  <r>
    <s v="Federated ID"/>
    <s v="gechiong@montrose-env.com"/>
    <s v="montrose-env.com"/>
    <s v="gechiong@montrose-env.com"/>
    <s v="Genevieve"/>
    <s v="Chiong"/>
    <s v="US"/>
    <s v="8B6C1D4F66AB9A150A495F85@038d2aa263c9deeb495fea.e"/>
    <x v="5"/>
    <x v="0"/>
    <x v="0"/>
    <m/>
    <m/>
    <s v="USA - Environmental Consulting - Environmental Intelligence - Operations"/>
    <m/>
    <m/>
    <m/>
    <m/>
    <s v="Illustrator (VIPMP - 99C0A3088A102BD9CB4A)"/>
    <m/>
    <m/>
    <x v="3"/>
    <x v="3"/>
    <n v="36.357500000000002"/>
    <n v="0"/>
    <n v="0"/>
    <n v="36.357500000000002"/>
    <n v="1"/>
  </r>
  <r>
    <s v="Federated ID"/>
    <s v="BuddyWright@montrose-env.com"/>
    <s v="montrose-env.com"/>
    <s v="buddywright@montrose-env.com"/>
    <s v="Buddy"/>
    <s v="Wright"/>
    <s v="US"/>
    <s v="97B01D5066ABEE810A495C2F@038d2aa263c9deeb495fea.e"/>
    <x v="0"/>
    <x v="0"/>
    <x v="0"/>
    <m/>
    <m/>
    <s v="USA - RNG - Operations"/>
    <m/>
    <m/>
    <m/>
    <m/>
    <m/>
    <m/>
    <m/>
    <x v="0"/>
    <x v="0"/>
    <n v="0"/>
    <n v="0"/>
    <n v="0"/>
    <n v="0"/>
    <m/>
  </r>
  <r>
    <s v="Federated ID"/>
    <s v="jocaspary@montrose-env.com"/>
    <s v="montrose-env.com"/>
    <s v="jocaspary@montrose-env.com"/>
    <s v="Jorge"/>
    <s v="Caspary"/>
    <s v="US"/>
    <s v="2C7852D966AD25880A495CBA@038d2aa263c9deeb495fea.e"/>
    <x v="1"/>
    <x v="0"/>
    <x v="0"/>
    <m/>
    <m/>
    <s v="USA - Environmental Consulting - Orlando - Operations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miguel.gamboa@enthalpy.com"/>
    <s v="enthalpy.com"/>
    <s v="miguel.gamboa@enthalpy.com"/>
    <s v="Miguel"/>
    <s v="Gamboa"/>
    <s v="US"/>
    <s v="36C952A466AD78AD0A495C71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aismith@montrose-env.com"/>
    <s v="montrose-env.com"/>
    <s v="aismith@montrose-env.com"/>
    <s v="Ainisha"/>
    <s v="Smith"/>
    <s v="US"/>
    <s v="885F772666B10A0C0A495FD5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nallelygarza@enthalpy.com"/>
    <s v="enthalpy.com"/>
    <s v="nallelygarza@enthalpy.com"/>
    <s v="Nallely"/>
    <s v="Garza"/>
    <s v="US"/>
    <s v="8FC6616F66B128300A495E82@038d2aa263c9deeb495fea.e"/>
    <x v="1"/>
    <x v="0"/>
    <x v="0"/>
    <m/>
    <m/>
    <s v="USA - Env Lab - Deer Park - Operations"/>
    <m/>
    <m/>
    <m/>
    <m/>
    <s v="Acrobat Pro (VIPMP - 99C0A3088A102BD9CB4A)"/>
    <m/>
    <m/>
    <x v="80"/>
    <x v="80"/>
    <n v="14.333333333333334"/>
    <n v="0"/>
    <n v="0"/>
    <n v="14.333333333333334"/>
    <n v="1"/>
  </r>
  <r>
    <s v="Federated ID"/>
    <s v="ErinWilson@montrose-env.com"/>
    <s v="montrose-env.com"/>
    <s v="ErinWilson@montrose-env.com"/>
    <s v="Erin"/>
    <s v="Wilson"/>
    <s v="US"/>
    <s v="C19F616F66B26E780A495E82@038d2aa263c9deeb495fea.e"/>
    <x v="0"/>
    <x v="0"/>
    <x v="0"/>
    <m/>
    <m/>
    <s v="USA - Environmental Consulting - Robbinsville - Operations"/>
    <m/>
    <m/>
    <m/>
    <m/>
    <m/>
    <m/>
    <m/>
    <x v="0"/>
    <x v="0"/>
    <n v="0"/>
    <n v="0"/>
    <n v="0"/>
    <n v="0"/>
    <m/>
  </r>
  <r>
    <s v="Federated ID"/>
    <s v="RowanGriffiths@montrose-env.com"/>
    <s v="montrose-env.com"/>
    <s v="RowanGriffiths@montrose-env.com"/>
    <s v="Rowan"/>
    <s v="Griffiths"/>
    <s v="UD"/>
    <s v="E1FB04C766B350CE0A495FD6@038d2aa263c9deeb495fea.e"/>
    <x v="2"/>
    <x v="0"/>
    <x v="0"/>
    <m/>
    <m/>
    <s v="USA - ECT2 - Operations"/>
    <m/>
    <m/>
    <m/>
    <m/>
    <s v="Acrobat Standard DC (VIPMP - 99C0A3088A102BD9CB4A)"/>
    <m/>
    <m/>
    <x v="10"/>
    <x v="10"/>
    <n v="8.6983333333333324"/>
    <n v="0"/>
    <n v="0"/>
    <n v="8.6983333333333324"/>
    <n v="1"/>
  </r>
  <r>
    <s v="Federated ID"/>
    <s v="robogert@montrose-env.com"/>
    <s v="montrose-env.com"/>
    <s v="robogert@montrose-env.com"/>
    <s v="Robert"/>
    <s v="Bogert"/>
    <s v="US"/>
    <s v="E3EB5C1966B36F550A495CAC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AndrewBradley@montrose-env.com"/>
    <s v="montrose-env.com"/>
    <s v="Andrewbradley@montrose-env.com"/>
    <s v="Andrew"/>
    <s v="Bradley"/>
    <s v="US"/>
    <s v="DD6B1DAF66B4FB970A495F9A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jmather@montrose-env.com"/>
    <s v="montrose-env.com"/>
    <s v="jmather@montrose-env.com"/>
    <s v="Jennifer"/>
    <s v="Mather"/>
    <s v="US"/>
    <s v="2B48623066B50C860A495E0C@038d2aa263c9deeb495fea.e"/>
    <x v="1"/>
    <x v="0"/>
    <x v="0"/>
    <m/>
    <m/>
    <s v="USA - Environmental Consulting - Robbinsville - G&amp;A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EvelynMauger@enthalpy.com"/>
    <s v="enthalpy.com"/>
    <s v="evelynmauger@enthalpy.com"/>
    <s v="Evelyn"/>
    <s v="Mauger"/>
    <s v="US"/>
    <s v="56685DD166B6459F0A495EA1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ShaneHart@montrose-env.com"/>
    <s v="montrose-env.com"/>
    <s v="ShaneHart@montrose-env.com"/>
    <s v="Shane"/>
    <s v="Hart"/>
    <s v="US"/>
    <s v="AD5607F766BA30770A495FAA@038d2aa263c9deeb495fea.e"/>
    <x v="2"/>
    <x v="0"/>
    <x v="0"/>
    <m/>
    <m/>
    <s v="USA - OGI - G&amp;A"/>
    <m/>
    <m/>
    <m/>
    <m/>
    <s v="Acrobat Standard DC (VIPMP - 99C0A3088A102BD9CB4A)"/>
    <m/>
    <m/>
    <x v="30"/>
    <x v="30"/>
    <n v="8.6983333333333324"/>
    <n v="0"/>
    <n v="0"/>
    <n v="8.6983333333333324"/>
    <n v="1"/>
  </r>
  <r>
    <s v="Federated ID"/>
    <s v="aspeoples@montrose-env.com"/>
    <s v="montrose-env.com"/>
    <s v="aspeoples@montrose-env.com"/>
    <s v="Ashley"/>
    <s v="Peoples"/>
    <s v="US"/>
    <s v="ABCD6E4166BA312C0A495FDB@038d2aa263c9deeb495fea.e"/>
    <x v="1"/>
    <x v="0"/>
    <x v="0"/>
    <m/>
    <m/>
    <s v="USA - CTEH OH - G&amp;A"/>
    <m/>
    <m/>
    <m/>
    <m/>
    <s v="Acrobat Pro (VIPMP - 99C0A3088A102BD9CB4A)"/>
    <m/>
    <m/>
    <x v="115"/>
    <x v="115"/>
    <n v="14.333333333333334"/>
    <n v="0"/>
    <n v="0"/>
    <n v="14.333333333333334"/>
    <n v="1"/>
  </r>
  <r>
    <s v="Federated ID"/>
    <s v="EricWentz@montrose-env.com"/>
    <s v="montrose-env.com"/>
    <s v="EricWentz@montrose-env.com"/>
    <s v="Eric"/>
    <s v="Wentz"/>
    <s v="US"/>
    <s v="DAD7627166BB74400A495FFA@038d2aa263c9deeb495fea.e"/>
    <x v="1"/>
    <x v="0"/>
    <x v="0"/>
    <m/>
    <m/>
    <s v="USA - Stack - Gulf Coast - G&amp;A"/>
    <m/>
    <m/>
    <m/>
    <m/>
    <s v="Acrobat Pro (VIPMP - 99C0A3088A102BD9CB4A)"/>
    <m/>
    <m/>
    <x v="41"/>
    <x v="41"/>
    <n v="14.333333333333334"/>
    <n v="0"/>
    <n v="0"/>
    <n v="14.333333333333334"/>
    <n v="1"/>
  </r>
  <r>
    <s v="Federated ID"/>
    <s v="jewilkerson@montrose-env.com"/>
    <s v="montrose-env.com"/>
    <s v="jewilkerson@montrose-env.com"/>
    <s v="Jessica"/>
    <s v="Wilkerson"/>
    <s v="US"/>
    <s v="EDB160D266BB9CCD0A495E7B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mabavishi@montrose-env.com"/>
    <s v="montrose-env.com"/>
    <s v="mabavishi@montrose-env.com"/>
    <s v="Maulik"/>
    <s v="Bavishi"/>
    <s v="US"/>
    <s v="032B1E5766BD3AFD0A495EB5@038d2aa263c9deeb495fea.e"/>
    <x v="1"/>
    <x v="0"/>
    <x v="0"/>
    <m/>
    <m/>
    <s v="USA - Environmental Consulting - Santa Ana (Rem)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lkeil@montrose-env.com"/>
    <s v="montrose-env.com"/>
    <s v="lkeil@montrose-env.com"/>
    <s v="Lisa"/>
    <s v="Keil"/>
    <s v="US"/>
    <s v="600E1E8866BF92DB0A495E11@038d2aa263c9deeb495fea.e"/>
    <x v="1"/>
    <x v="0"/>
    <x v="0"/>
    <m/>
    <m/>
    <s v="USA - Environmental Consulting - Robbinsville - G&amp;A"/>
    <m/>
    <m/>
    <m/>
    <m/>
    <s v="Acrobat Pro (VIPMP - 99C0A3088A102BD9CB4A)"/>
    <m/>
    <m/>
    <x v="7"/>
    <x v="7"/>
    <n v="14.333333333333334"/>
    <n v="0"/>
    <n v="0"/>
    <n v="14.333333333333334"/>
    <n v="1"/>
  </r>
  <r>
    <s v="Federated ID"/>
    <s v="yvhutcherson@montrose-env.com"/>
    <s v="montrose-env.com"/>
    <s v="yvhutcherson@montrose-env.com"/>
    <s v="Yvette"/>
    <s v="Hutcherson"/>
    <s v="US"/>
    <s v="C0AA1E7F66C34DE70A495CC9@038d2aa263c9deeb495fea.e"/>
    <x v="1"/>
    <x v="0"/>
    <x v="0"/>
    <m/>
    <m/>
    <s v="USA - Stack - Gulf Coast - G&amp;A"/>
    <m/>
    <m/>
    <m/>
    <m/>
    <s v="Acrobat Pro (VIPMP - 99C0A3088A102BD9CB4A)"/>
    <m/>
    <m/>
    <x v="41"/>
    <x v="41"/>
    <n v="14.333333333333334"/>
    <n v="0"/>
    <n v="0"/>
    <n v="14.333333333333334"/>
    <n v="1"/>
  </r>
  <r>
    <s v="Federated ID"/>
    <s v="RicardoMercado@montrose-env.com"/>
    <s v="montrose-env.com"/>
    <s v="ricardomercado@montrose-env.com"/>
    <s v="Ricardo"/>
    <s v="Mercado"/>
    <s v="US"/>
    <s v="C9C91E5766C3766B0A495FE0@038d2aa263c9deeb495fea.e"/>
    <x v="1"/>
    <x v="0"/>
    <x v="0"/>
    <m/>
    <m/>
    <s v="USA - Corp - Global Business Services"/>
    <m/>
    <m/>
    <m/>
    <m/>
    <s v="Acrobat Pro (VIPMP - 99C0A3088A102BD9CB4A)"/>
    <m/>
    <m/>
    <x v="116"/>
    <x v="116"/>
    <n v="14.333333333333334"/>
    <n v="0"/>
    <n v="0"/>
    <n v="14.333333333333334"/>
    <n v="1"/>
  </r>
  <r>
    <s v="Federated ID"/>
    <s v="josuzuki@montrose-env.com"/>
    <s v="montrose-env.com"/>
    <s v="josuzuki@montrose-env.com"/>
    <s v="Joshua"/>
    <s v="Suzuki"/>
    <s v="US"/>
    <s v="CD191FCF66C3854A0A495FE6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linanry@montrose-env.com"/>
    <s v="montrose-env.com"/>
    <s v="linanry@montrose-env.com"/>
    <s v="Lindsey"/>
    <s v="Nanry"/>
    <s v="US"/>
    <s v="10E31D6366C4BEBE0A495EB8@038d2aa263c9deeb495fea.e"/>
    <x v="1"/>
    <x v="0"/>
    <x v="0"/>
    <m/>
    <m/>
    <s v="USA - Environmental Consulting - Environmental Intelligence - G&amp;A"/>
    <m/>
    <m/>
    <m/>
    <m/>
    <s v="Acrobat Pro (VIPMP - 99C0A3088A102BD9CB4A)"/>
    <m/>
    <m/>
    <x v="63"/>
    <x v="63"/>
    <n v="14.333333333333334"/>
    <n v="0"/>
    <n v="0"/>
    <n v="14.333333333333334"/>
    <n v="1"/>
  </r>
  <r>
    <s v="Federated ID"/>
    <s v="ryradonski@montrose-env.com"/>
    <s v="montrose-env.com"/>
    <s v="ryradonski@montrose-env.com"/>
    <s v="Ryan"/>
    <s v="Radonski"/>
    <s v="US"/>
    <s v="17981E7B66C4E4660A495EDA@038d2aa263c9deeb495fea.e"/>
    <x v="1"/>
    <x v="0"/>
    <x v="0"/>
    <m/>
    <m/>
    <s v="USA - Stack - Seattle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smoldovanyi@montrose-env.com"/>
    <s v="montrose-env.com"/>
    <s v="smoldovanyi@montrose-env.com"/>
    <s v="Stephen"/>
    <s v="Moldovanyi"/>
    <s v="US"/>
    <s v="34D41E7B66C5BB690A495EDA@038d2aa263c9deeb495fea.e"/>
    <x v="1"/>
    <x v="0"/>
    <x v="0"/>
    <m/>
    <m/>
    <s v="USA - OGI - Operations"/>
    <m/>
    <m/>
    <m/>
    <m/>
    <s v="Acrobat Pro (VIPMP - 99C0A3088A102BD9CB4A)"/>
    <m/>
    <m/>
    <x v="30"/>
    <x v="30"/>
    <n v="14.333333333333334"/>
    <n v="0"/>
    <n v="0"/>
    <n v="14.333333333333334"/>
    <n v="1"/>
  </r>
  <r>
    <s v="Federated ID"/>
    <s v="janix@montrose-env.com"/>
    <s v="montrose-env.com"/>
    <s v="janix@montrose-env.com"/>
    <s v="Jaclyn"/>
    <s v="Nix"/>
    <s v="US"/>
    <s v="40041D8566C5F1C60A495FF6@038d2aa263c9deeb495fea.e"/>
    <x v="1"/>
    <x v="0"/>
    <x v="0"/>
    <m/>
    <m/>
    <s v="USA - Environmental Consulting - Nashville - Operations"/>
    <m/>
    <m/>
    <m/>
    <m/>
    <s v="Acrobat Pro (VIPMP - 99C0A3088A102BD9CB4A)"/>
    <m/>
    <m/>
    <x v="117"/>
    <x v="117"/>
    <n v="14.333333333333334"/>
    <n v="0"/>
    <n v="0"/>
    <n v="14.333333333333334"/>
    <n v="1"/>
  </r>
  <r>
    <s v="Federated ID"/>
    <s v="VahikAboolian@montrose-env.com"/>
    <s v="montrose-env.com"/>
    <s v="VahikAboolian@montrose-env.com"/>
    <s v="Vahik"/>
    <s v="Aboolian"/>
    <s v="US"/>
    <s v="432A1E8F66C617AF0A495F8B@038d2aa263c9deeb495fea.e"/>
    <x v="2"/>
    <x v="0"/>
    <x v="0"/>
    <m/>
    <m/>
    <s v="USA - ECT2 O&amp;M - Operations"/>
    <m/>
    <m/>
    <m/>
    <m/>
    <s v="Acrobat Standard DC (VIPMP - 99C0A3088A102BD9CB4A)"/>
    <m/>
    <m/>
    <x v="10"/>
    <x v="10"/>
    <n v="8.6983333333333324"/>
    <n v="0"/>
    <n v="0"/>
    <n v="8.6983333333333324"/>
    <n v="1"/>
  </r>
  <r>
    <s v="Federated ID"/>
    <s v="paul.henige@enthalpy.com"/>
    <s v="enthalpy.com"/>
    <s v="paul.henige@enthalpy.com"/>
    <s v="Paul"/>
    <s v="Henige"/>
    <s v="US"/>
    <s v="4EAC1D5B66C642440A495CC8@038d2aa263c9deeb495fea.e"/>
    <x v="1"/>
    <x v="0"/>
    <x v="0"/>
    <m/>
    <m/>
    <s v="USA - Labs - OH - Sales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lquigley@montrose-env.com"/>
    <s v="montrose-env.com"/>
    <s v="lquigley@montrose-env.com"/>
    <s v="Linda"/>
    <s v="Quigley"/>
    <s v="US"/>
    <s v="51E91E5A66C64C060A495C57@038d2aa263c9deeb495fea.e"/>
    <x v="2"/>
    <x v="0"/>
    <x v="0"/>
    <m/>
    <m/>
    <s v="USA - Sensible EDP - Pinebrook - Operations"/>
    <m/>
    <m/>
    <m/>
    <m/>
    <s v="Acrobat Standard DC (VIPMP - 99C0A3088A102BD9CB4A)"/>
    <m/>
    <m/>
    <x v="86"/>
    <x v="86"/>
    <n v="8.6983333333333324"/>
    <n v="0"/>
    <n v="0"/>
    <n v="8.6983333333333324"/>
    <n v="1"/>
  </r>
  <r>
    <s v="Federated ID"/>
    <s v="dhopkins@montrose-env.com"/>
    <s v="montrose-env.com"/>
    <s v="dhopkins@montrose-env.com"/>
    <s v="David"/>
    <s v="Hopkins"/>
    <s v="US"/>
    <s v="4EDD1E5A66C64C060A495EC5@038d2aa263c9deeb495fea.e"/>
    <x v="2"/>
    <x v="0"/>
    <x v="0"/>
    <m/>
    <m/>
    <s v="USA - Sensible EDP - Pinebrook - Operations"/>
    <m/>
    <m/>
    <m/>
    <m/>
    <s v="Acrobat Standard DC (VIPMP - 99C0A3088A102BD9CB4A)"/>
    <m/>
    <m/>
    <x v="86"/>
    <x v="86"/>
    <n v="8.6983333333333324"/>
    <n v="0"/>
    <n v="0"/>
    <n v="8.6983333333333324"/>
    <n v="1"/>
  </r>
  <r>
    <s v="Federated ID"/>
    <s v="sabarishselvarajan@montrose-env.com"/>
    <s v="montrose-env.com"/>
    <s v="sabarishselvarajan@montrose-env.com"/>
    <s v="Sabarish"/>
    <s v="Selvarajan"/>
    <s v="US"/>
    <s v="55DD1E8866C64C070A495C2F@038d2aa263c9deeb495fea.e"/>
    <x v="2"/>
    <x v="0"/>
    <x v="0"/>
    <m/>
    <m/>
    <s v="USA - Sensible EDP - Pinebrook - Operations"/>
    <m/>
    <m/>
    <m/>
    <m/>
    <s v="Acrobat Standard DC (VIPMP - 99C0A3088A102BD9CB4A)"/>
    <m/>
    <m/>
    <x v="86"/>
    <x v="86"/>
    <n v="8.6983333333333324"/>
    <n v="0"/>
    <n v="0"/>
    <n v="8.6983333333333324"/>
    <n v="1"/>
  </r>
  <r>
    <s v="Federated ID"/>
    <s v="hever.miranda@enthalpy.com"/>
    <s v="enthalpy.com"/>
    <s v="hever.miranda@enthalpy.com"/>
    <s v="Hever"/>
    <s v="Miranda"/>
    <s v="US"/>
    <s v="817A1E5F66C766CE0A495EEE@038d2aa263c9deeb495fea.e"/>
    <x v="0"/>
    <x v="0"/>
    <x v="0"/>
    <m/>
    <m/>
    <s v="USA - Env Lab - San Diego - Operations"/>
    <m/>
    <m/>
    <m/>
    <m/>
    <m/>
    <m/>
    <m/>
    <x v="0"/>
    <x v="0"/>
    <n v="0"/>
    <n v="0"/>
    <n v="0"/>
    <n v="0"/>
    <m/>
  </r>
  <r>
    <s v="Federated ID"/>
    <s v="scrobinson@montrose-env.com"/>
    <s v="montrose-env.com"/>
    <s v="scrobinson@montrose-env.com"/>
    <s v="Samantha"/>
    <s v="Robinson"/>
    <s v="US"/>
    <s v="8C841E6466C784FE0A495FD4@038d2aa263c9deeb495fea.e"/>
    <x v="1"/>
    <x v="0"/>
    <x v="0"/>
    <m/>
    <m/>
    <s v="USA - ECT2 - OH - Finance"/>
    <m/>
    <m/>
    <m/>
    <m/>
    <s v="Acrobat Pro (VIPMP - 99C0A3088A102BD9CB4A)"/>
    <m/>
    <m/>
    <x v="72"/>
    <x v="72"/>
    <n v="14.333333333333334"/>
    <n v="0"/>
    <n v="0"/>
    <n v="14.333333333333334"/>
    <n v="1"/>
  </r>
  <r>
    <s v="Federated ID"/>
    <s v="dwingler@montrose-env.com"/>
    <s v="montrose-env.com"/>
    <s v="dwingler@montrose-env.com"/>
    <s v="Dale"/>
    <s v="Wingler"/>
    <s v="US"/>
    <s v="BC4A1E6166C8A53F0A495C16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JamalSims@montrose-env.com"/>
    <s v="montrose-env.com"/>
    <s v="JamalSims@montrose-env.com"/>
    <s v="Jamal"/>
    <s v="Sims"/>
    <s v="US"/>
    <s v="CAF51E5F66C8EF990A495EEE@038d2aa263c9deeb495fea.e"/>
    <x v="1"/>
    <x v="0"/>
    <x v="0"/>
    <m/>
    <m/>
    <s v="USA - Environmental Consulting OH - Safety"/>
    <m/>
    <m/>
    <m/>
    <m/>
    <s v="Acrobat Pro (VIPMP - 99C0A3088A102BD9CB4A)"/>
    <m/>
    <m/>
    <x v="77"/>
    <x v="77"/>
    <n v="14.333333333333334"/>
    <n v="0"/>
    <n v="0"/>
    <n v="14.333333333333334"/>
    <n v="1"/>
  </r>
  <r>
    <s v="Federated ID"/>
    <s v="ChristopherSoden@enthalpy.com"/>
    <s v="enthalpy.com"/>
    <s v="ChristopherSoden@enthalpy.com"/>
    <s v="Christopher"/>
    <s v="Soden"/>
    <s v="US"/>
    <s v="4A961D5966CDA9910A495F8D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susan.grier@enthalpy.com"/>
    <s v="enthalpy.com"/>
    <s v="susan.grier@enthalpy.com"/>
    <s v="Susan"/>
    <s v="Grier"/>
    <s v="US"/>
    <s v="59051E7C66CDBFFB0A495E2E@038d2aa263c9deeb495fea.e"/>
    <x v="1"/>
    <x v="0"/>
    <x v="0"/>
    <m/>
    <m/>
    <s v="USA - Labs - OH - HR"/>
    <m/>
    <m/>
    <m/>
    <m/>
    <s v="Acrobat Pro (VIPMP - 99C0A3088A102BD9CB4A)"/>
    <m/>
    <m/>
    <x v="20"/>
    <x v="20"/>
    <n v="14.333333333333334"/>
    <n v="0"/>
    <n v="0"/>
    <n v="14.333333333333334"/>
    <n v="1"/>
  </r>
  <r>
    <s v="Federated ID"/>
    <s v="jmay@montrose-env.com"/>
    <s v="montrose-env.com"/>
    <s v="jmay@montrose-env.com"/>
    <s v="Jeffrey"/>
    <s v="May"/>
    <s v="US"/>
    <s v="68991E5A66CE08170A495CC6@038d2aa263c9deeb495fea.e"/>
    <x v="1"/>
    <x v="0"/>
    <x v="0"/>
    <m/>
    <m/>
    <s v="USA - Labs - OH - IT"/>
    <m/>
    <m/>
    <m/>
    <m/>
    <s v="Acrobat Pro (VIPMP - 99C0A3088A102BD9CB4A)"/>
    <m/>
    <m/>
    <x v="118"/>
    <x v="118"/>
    <n v="14.333333333333334"/>
    <n v="0"/>
    <n v="0"/>
    <n v="14.333333333333334"/>
    <n v="1"/>
  </r>
  <r>
    <s v="Federated ID"/>
    <s v="ScottVansEvers@montrose-env.com"/>
    <s v="montrose-env.com"/>
    <s v="ScottVansEvers@montrose-env.com"/>
    <s v="Scott"/>
    <s v="Vans Evers"/>
    <s v="US"/>
    <s v="63611E5E66CE0F070A495FC0@038d2aa263c9deeb495fea.e"/>
    <x v="0"/>
    <x v="0"/>
    <x v="0"/>
    <m/>
    <m/>
    <s v="USA - Environmental Consulting - Tampa - Operations"/>
    <m/>
    <m/>
    <m/>
    <m/>
    <m/>
    <m/>
    <m/>
    <x v="0"/>
    <x v="0"/>
    <n v="0"/>
    <n v="0"/>
    <n v="0"/>
    <n v="0"/>
    <m/>
  </r>
  <r>
    <s v="Federated ID"/>
    <s v="amharte@montrose-env.com"/>
    <s v="montrose-env.com"/>
    <s v="amharte@montrose-env.com"/>
    <s v="Amanda"/>
    <s v="Harte"/>
    <s v="US"/>
    <s v="63B01D5F66CE16AF0A495FB8@038d2aa263c9deeb495fea.e"/>
    <x v="1"/>
    <x v="0"/>
    <x v="0"/>
    <m/>
    <m/>
    <s v="USA - Sensible EDP - Austin - Operations"/>
    <m/>
    <m/>
    <m/>
    <m/>
    <s v="Acrobat Pro (VIPMP - 99C0A3088A102BD9CB4A)"/>
    <m/>
    <m/>
    <x v="90"/>
    <x v="90"/>
    <n v="14.333333333333334"/>
    <n v="0"/>
    <n v="0"/>
    <n v="14.333333333333334"/>
    <n v="1"/>
  </r>
  <r>
    <s v="Federated ID"/>
    <s v="angelapolk@montrose-env.com"/>
    <s v="montrose-env.com"/>
    <s v="angelapolk@montrose-env.com"/>
    <s v="Angela"/>
    <s v="Polk"/>
    <s v="US"/>
    <s v="6B0A1E8166CE1FE90A495C33@038d2aa263c9deeb495fea.e"/>
    <x v="2"/>
    <x v="0"/>
    <x v="0"/>
    <m/>
    <m/>
    <s v="USA - Corp - Global Business Services"/>
    <m/>
    <m/>
    <m/>
    <m/>
    <s v="Acrobat Standard DC (VIPMP - 99C0A3088A102BD9CB4A)"/>
    <m/>
    <m/>
    <x v="65"/>
    <x v="65"/>
    <n v="8.6983333333333324"/>
    <n v="0"/>
    <n v="0"/>
    <n v="8.6983333333333324"/>
    <n v="1"/>
  </r>
  <r>
    <s v="Federated ID"/>
    <s v="PamelaFrancis@montrose-env.com"/>
    <s v="montrose-env.com"/>
    <s v="pamelafrancis@montrose-env.com"/>
    <s v="Pamela"/>
    <s v="Francis"/>
    <s v="US"/>
    <s v="89581D6466CF10930A495E95@038d2aa263c9deeb495fea.e"/>
    <x v="1"/>
    <x v="0"/>
    <x v="0"/>
    <m/>
    <m/>
    <s v="USA - Environmental Consulting - Orlando - Sales &amp; Marketing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AaronSobel@montrose-env.com"/>
    <s v="montrose-env.com"/>
    <s v="AaronSobel@montrose-env.com"/>
    <s v="Aaron"/>
    <s v="Sobel"/>
    <s v="US"/>
    <s v="90EC1D7B66CF2FAD0A495EC7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alukash@montrose-env.com"/>
    <s v="montrose-env.com"/>
    <s v="alukash@montrose-env.com"/>
    <s v="Amanda"/>
    <s v="Lukash"/>
    <s v="US"/>
    <s v="051B1E5166D1F0F40A495C5E@038d2aa263c9deeb495fea.e"/>
    <x v="2"/>
    <x v="0"/>
    <x v="0"/>
    <m/>
    <m/>
    <s v="USA - Stack - OH - HR"/>
    <m/>
    <m/>
    <m/>
    <m/>
    <s v="Acrobat Standard DC (VIPMP - 99C0A3088A102BD9CB4A)"/>
    <m/>
    <m/>
    <x v="64"/>
    <x v="64"/>
    <n v="8.6983333333333324"/>
    <n v="0"/>
    <n v="0"/>
    <n v="8.6983333333333324"/>
    <n v="1"/>
  </r>
  <r>
    <s v="Federated ID"/>
    <s v="BridgetParry@montrose-env.com"/>
    <s v="montrose-env.com"/>
    <s v="BridgetParry@montrose-env.com"/>
    <s v="Bridget"/>
    <s v="Parry"/>
    <s v="US"/>
    <s v="8C561EC566D6FD5E0A495C21@038d2aa263c9deeb495fea.e"/>
    <x v="2"/>
    <x v="3"/>
    <x v="0"/>
    <m/>
    <m/>
    <s v="USA - Environmental Consulting - Oakland - Operations"/>
    <m/>
    <m/>
    <m/>
    <m/>
    <s v="Acrobat Standard DC (VIPMP - 99C0A3088A102BD9CB4A),Illustrator (VIPMP - 99C0A3088A102BD9CB4A)"/>
    <m/>
    <m/>
    <x v="34"/>
    <x v="34"/>
    <n v="8.6983333333333324"/>
    <n v="36.357500000000002"/>
    <n v="0"/>
    <n v="45.055833333333332"/>
    <n v="1"/>
  </r>
  <r>
    <s v="Federated ID"/>
    <s v="JessicaWong@montrose-env.com"/>
    <s v="montrose-env.com"/>
    <s v="JessicaWong@montrose-env.com"/>
    <s v="Jessica"/>
    <s v="Wong"/>
    <s v="US"/>
    <s v="A51D1E7F66D758B80A495CC9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WilliamGivens@montrose-env.com"/>
    <s v="montrose-env.com"/>
    <s v="WilliamGivens@montrose-env.com"/>
    <s v="William"/>
    <s v="Givens"/>
    <s v="US"/>
    <s v="DD721E5766D8978E0A495C7A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AnnaLeisher@montrose-env.com"/>
    <s v="montrose-env.com"/>
    <s v="AnnaLeisher@montrose-env.com"/>
    <s v="Anna"/>
    <s v="Leisher"/>
    <s v="US"/>
    <s v="DD0E1D5C66D89F390A495FBA@038d2aa263c9deeb495fea.e"/>
    <x v="1"/>
    <x v="5"/>
    <x v="0"/>
    <m/>
    <m/>
    <s v="USA - Environmental Consulting - Valley Forge - Operations"/>
    <m/>
    <m/>
    <m/>
    <m/>
    <s v="Acrobat Pro (VIPMP - 99C0A3088A102BD9CB4A),All Apps plan (VIPMP - 99C0A3088A102BD9CB4A)"/>
    <m/>
    <m/>
    <x v="2"/>
    <x v="2"/>
    <n v="14.333333333333334"/>
    <n v="82.24"/>
    <n v="0"/>
    <n v="96.573333333333323"/>
    <n v="1"/>
  </r>
  <r>
    <s v="Federated ID"/>
    <s v="RyanGivens@montrose-env.com"/>
    <s v="montrose-env.com"/>
    <s v="RyanGivens@montrose-env.com"/>
    <s v="Ryan"/>
    <s v="Givens"/>
    <s v="US"/>
    <s v="EA031D6166D8ACF60A495E91@038d2aa263c9deeb495fea.e"/>
    <x v="3"/>
    <x v="0"/>
    <x v="0"/>
    <m/>
    <m/>
    <s v="USA - Environmental Consulting - Environmental Intelligence - Operations"/>
    <m/>
    <m/>
    <m/>
    <m/>
    <s v="All Apps plan (VIPMP - 99C0A3088A102BD9CB4A)"/>
    <m/>
    <m/>
    <x v="1"/>
    <x v="1"/>
    <n v="82.24"/>
    <n v="0"/>
    <n v="0"/>
    <n v="82.24"/>
    <n v="1"/>
  </r>
  <r>
    <s v="Federated ID"/>
    <s v="rythomson@montrose-env.com"/>
    <s v="montrose-env.com"/>
    <s v="rythomson@montrose-env.com"/>
    <s v="Ryan"/>
    <s v="Thomson"/>
    <s v="US"/>
    <s v="DFB51D5E66D8BF860A495FA9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rythomsonadmin@montrose-env.com"/>
    <s v="montrose-env.com"/>
    <s v="rythomsonadmin@montrose-env.com"/>
    <s v="Ryan"/>
    <s v="Thomson"/>
    <s v="US"/>
    <s v="16321E2F66D9DB070A495CC2@038d2aa263c9deeb495fea.e"/>
    <x v="0"/>
    <x v="0"/>
    <x v="0"/>
    <s v="System"/>
    <m/>
    <s v="USA - Corp - IT"/>
    <m/>
    <m/>
    <m/>
    <m/>
    <m/>
    <m/>
    <m/>
    <x v="0"/>
    <x v="0"/>
    <n v="0"/>
    <n v="0"/>
    <n v="0"/>
    <n v="0"/>
    <m/>
  </r>
  <r>
    <s v="Federated ID"/>
    <s v="amandakeathley@montrose-env.com"/>
    <s v="montrose-env.com"/>
    <s v="amandakeathley@montrose-env.com"/>
    <s v="Amanda"/>
    <s v="Keathley"/>
    <s v="US"/>
    <s v="0EBC1D9866D9E0650A495C5F@038d2aa263c9deeb495fea.e"/>
    <x v="1"/>
    <x v="0"/>
    <x v="0"/>
    <m/>
    <m/>
    <s v="USA - Environmental Consulting OH - Finance"/>
    <m/>
    <m/>
    <m/>
    <m/>
    <s v="Acrobat Pro (VIPMP - 99C0A3088A102BD9CB4A)"/>
    <m/>
    <m/>
    <x v="16"/>
    <x v="16"/>
    <n v="14.333333333333334"/>
    <n v="0"/>
    <n v="0"/>
    <n v="14.333333333333334"/>
    <n v="1"/>
  </r>
  <r>
    <s v="Federated ID"/>
    <s v="dolsen@montrose-env.com"/>
    <s v="montrose-env.com"/>
    <s v="dolsen@montrose-env.com"/>
    <s v="Debbie"/>
    <s v="Olsen"/>
    <s v="US"/>
    <s v="4DA31FCF66DB44AF0A495FE6@038d2aa263c9deeb495fea.e"/>
    <x v="1"/>
    <x v="0"/>
    <x v="0"/>
    <m/>
    <m/>
    <s v="USA - Stack - Chicago - Operations"/>
    <m/>
    <m/>
    <m/>
    <m/>
    <s v="Acrobat Pro (VIPMP - 99C0A3088A102BD9CB4A)"/>
    <m/>
    <m/>
    <x v="12"/>
    <x v="12"/>
    <n v="14.333333333333334"/>
    <n v="0"/>
    <n v="0"/>
    <n v="14.333333333333334"/>
    <n v="1"/>
  </r>
  <r>
    <s v="Federated ID"/>
    <s v="ext-KeannyaGaines@montrose-env.com"/>
    <s v="montrose-env.com"/>
    <s v="ext-keannyagaines@montrose-env.com"/>
    <s v="Keannya"/>
    <s v="Gaines"/>
    <s v="US"/>
    <s v="50EA1D5D66DB6D7A0A495C6B@038d2aa263c9deeb495fea.e"/>
    <x v="0"/>
    <x v="0"/>
    <x v="0"/>
    <m/>
    <m/>
    <s v="USA - Corp - HR"/>
    <m/>
    <m/>
    <m/>
    <m/>
    <m/>
    <m/>
    <m/>
    <x v="0"/>
    <x v="0"/>
    <n v="0"/>
    <n v="0"/>
    <n v="0"/>
    <n v="0"/>
    <m/>
  </r>
  <r>
    <s v="Federated ID"/>
    <s v="VladimirCarino@montrose-env.com"/>
    <s v="montrose-env.com"/>
    <s v="VladimirCarino@montrose-env.com"/>
    <s v="Vladimir"/>
    <s v="Carino"/>
    <s v="US"/>
    <s v="4E2C1D5E66DB85B10A495FA9@038d2aa263c9deeb495fea.e"/>
    <x v="1"/>
    <x v="0"/>
    <x v="0"/>
    <m/>
    <m/>
    <s v="USA - Environmental Consulting - Long Beach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JasonStagno@montrose-env.com"/>
    <s v="montrose-env.com"/>
    <s v="JasonStagno@montrose-env.com"/>
    <s v="Jason"/>
    <s v="Stagno"/>
    <s v="US"/>
    <s v="6BC31E6066DCC5DB0A495FA1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dwynkoop@ect2.com"/>
    <s v="ect2.com"/>
    <s v="DWynkoop@ect2.com"/>
    <s v="Dale"/>
    <s v="Wynkoop"/>
    <s v="US"/>
    <s v="A9EB1E7F66DF52610A495F8F@038d2aa263c9deeb495fea.e"/>
    <x v="1"/>
    <x v="0"/>
    <x v="0"/>
    <m/>
    <m/>
    <s v="USA - ECT2 - OH - Sales"/>
    <m/>
    <m/>
    <m/>
    <m/>
    <s v="Acrobat Pro (VIPMP - 99C0A3088A102BD9CB4A)"/>
    <m/>
    <m/>
    <x v="88"/>
    <x v="88"/>
    <n v="14.333333333333334"/>
    <n v="0"/>
    <n v="0"/>
    <n v="14.333333333333334"/>
    <n v="1"/>
  </r>
  <r>
    <s v="Federated ID"/>
    <s v="apaolantonio@montrose-env.com"/>
    <s v="montrose-env.com"/>
    <s v="apaolantonio@montrose-env.com"/>
    <s v="Amelia"/>
    <s v="Paolantonio"/>
    <s v="US"/>
    <s v="D1AF1E5C66E06C1E0A495C80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LeahKaesemeyer@montrose-env.com"/>
    <s v="montrose-env.com"/>
    <s v="LeahKaesemeyer@montrose-env.com"/>
    <s v="Leah"/>
    <s v="Kaesemeyer"/>
    <s v="US"/>
    <s v="22D41D3766E338050A495FA4@038d2aa263c9deeb495fea.e"/>
    <x v="2"/>
    <x v="0"/>
    <x v="0"/>
    <m/>
    <m/>
    <s v="USA - Stack - OH - G&amp;A"/>
    <m/>
    <m/>
    <m/>
    <m/>
    <s v="Acrobat Standard DC (VIPMP - 99C0A3088A102BD9CB4A)"/>
    <m/>
    <m/>
    <x v="36"/>
    <x v="36"/>
    <n v="8.6983333333333324"/>
    <n v="0"/>
    <n v="0"/>
    <n v="8.6983333333333324"/>
    <n v="1"/>
  </r>
  <r>
    <s v="Federated ID"/>
    <s v="MadisonAlsbach@montrose-env.com"/>
    <s v="montrose-env.com"/>
    <s v="madisonalsbach@montrose-env.com"/>
    <s v="Madison"/>
    <s v="Alsbach"/>
    <s v="US"/>
    <s v="286F1DD466E36D640A495C9C@038d2aa263c9deeb495fea.e"/>
    <x v="1"/>
    <x v="0"/>
    <x v="0"/>
    <m/>
    <m/>
    <s v="USA - Advisory Services – Two Dot –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DeanCornstubble@enthalpy.com"/>
    <s v="enthalpy.com"/>
    <s v="DeanCornstubble@enthalpy.com"/>
    <s v="Dean"/>
    <s v="Cornstubble"/>
    <s v="US"/>
    <s v="40251D7566E42B230A495E30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SantanaTunney@montrose-env.com"/>
    <s v="montrose-env.com"/>
    <s v="SantanaTunney@montrose-env.com"/>
    <s v="Santana"/>
    <s v="Tunney"/>
    <s v="US"/>
    <s v="92971D4066E82F9D0A495EA2@038d2aa263c9deeb495fea.e"/>
    <x v="0"/>
    <x v="0"/>
    <x v="0"/>
    <m/>
    <m/>
    <s v="USA - Stack - Northeast - Operations"/>
    <m/>
    <m/>
    <m/>
    <m/>
    <m/>
    <m/>
    <m/>
    <x v="0"/>
    <x v="0"/>
    <n v="0"/>
    <n v="0"/>
    <n v="0"/>
    <n v="0"/>
    <m/>
  </r>
  <r>
    <s v="Federated ID"/>
    <s v="SpencerLowe@montrose-env.com"/>
    <s v="montrose-env.com"/>
    <s v="spencerlowe@montrose-env.com"/>
    <s v="Spencer"/>
    <s v="Lowe"/>
    <s v="US"/>
    <s v="CEDA1D4966E9BA670A495CD7@038d2aa263c9deeb495fea.e"/>
    <x v="0"/>
    <x v="0"/>
    <x v="0"/>
    <m/>
    <m/>
    <s v="USA - Environmental Consulting - Nashville - Operations"/>
    <m/>
    <m/>
    <m/>
    <m/>
    <m/>
    <m/>
    <m/>
    <x v="0"/>
    <x v="0"/>
    <n v="0"/>
    <n v="0"/>
    <n v="0"/>
    <n v="0"/>
    <m/>
  </r>
  <r>
    <s v="Federated ID"/>
    <s v="PeterChen@enthalpy.com"/>
    <s v="enthalpy.com"/>
    <s v="PeterChen@enthalpy.com"/>
    <s v="Peter"/>
    <s v="Chen"/>
    <s v="US"/>
    <s v="FAC81D3F66EB310C0A495FF3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KieraWalsh@enthalpy.com"/>
    <s v="enthalpy.com"/>
    <s v="KieraWalsh@enthalpy.com"/>
    <s v="Kiera"/>
    <s v="Walsh"/>
    <s v="US"/>
    <s v="2B141D4366EC6C890A495CD0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jecarpenter@montrose-env.com"/>
    <s v="montrose-env.com"/>
    <s v="jecarpenter@montrose-env.com"/>
    <s v="Jennifer"/>
    <s v="Carpenter"/>
    <s v="US"/>
    <s v="9FE71D4066F190540A495FB7@038d2aa263c9deeb495fea.e"/>
    <x v="0"/>
    <x v="0"/>
    <x v="0"/>
    <m/>
    <m/>
    <s v="USA - Labs - OH - Finance"/>
    <m/>
    <m/>
    <m/>
    <m/>
    <m/>
    <m/>
    <m/>
    <x v="0"/>
    <x v="0"/>
    <n v="0"/>
    <n v="0"/>
    <n v="0"/>
    <n v="0"/>
    <m/>
  </r>
  <r>
    <s v="Federated ID"/>
    <s v="IanKantner@enthalpy.com"/>
    <s v="enthalpy.com"/>
    <s v="IanKantner@enthalpy.com"/>
    <s v="Ian"/>
    <s v="Kantner"/>
    <s v="US"/>
    <s v="A6EE1D6966F1ACB40A495ECB@038d2aa263c9deeb495fea.e"/>
    <x v="0"/>
    <x v="0"/>
    <x v="0"/>
    <m/>
    <m/>
    <s v="USA - Env Lab - Wilmington - Operations"/>
    <m/>
    <m/>
    <m/>
    <m/>
    <m/>
    <m/>
    <m/>
    <x v="0"/>
    <x v="0"/>
    <n v="0"/>
    <n v="0"/>
    <n v="0"/>
    <n v="0"/>
    <m/>
  </r>
  <r>
    <s v="Federated ID"/>
    <s v="MarkHarris@montrose-env.com"/>
    <s v="montrose-env.com"/>
    <s v="MarkHarris@montrose-env.com"/>
    <s v="Mark"/>
    <s v="Harris"/>
    <s v="US"/>
    <s v="AD881D6366F1CB360A495ECC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Jhogan@montrose-env.com"/>
    <s v="montrose-env.com"/>
    <s v="jhogan@montrose-env.com"/>
    <s v="Jeffery"/>
    <s v="Hogan"/>
    <s v="US"/>
    <s v="C1711D3766F2BDD70A495FA4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RicardoPena@montrose-env.com"/>
    <s v="montrose-env.com"/>
    <s v="RicardoPena@montrose-env.com"/>
    <s v="Ricardo"/>
    <s v="Pena"/>
    <s v="US"/>
    <s v="C9281D4066F2DAF70A495FB7@038d2aa263c9deeb495fea.e"/>
    <x v="0"/>
    <x v="0"/>
    <x v="0"/>
    <m/>
    <m/>
    <s v="USA - Advisory Services – Two Dot – Operations"/>
    <m/>
    <m/>
    <m/>
    <m/>
    <m/>
    <m/>
    <m/>
    <x v="0"/>
    <x v="0"/>
    <n v="0"/>
    <n v="0"/>
    <n v="0"/>
    <n v="0"/>
    <m/>
  </r>
  <r>
    <s v="Federated ID"/>
    <s v="MeredithCurtis@enthalpy.com"/>
    <s v="enthalpy.com"/>
    <s v="MeredithCurtis@enthalpy.com"/>
    <s v="Meredith"/>
    <s v="Curtis"/>
    <s v="US"/>
    <s v="D37A1D4366F33A9C0A495E7D@038d2aa263c9deeb495fea.e"/>
    <x v="0"/>
    <x v="0"/>
    <x v="0"/>
    <m/>
    <m/>
    <s v="USA - Env Lab - Wilmington - Operations"/>
    <m/>
    <m/>
    <m/>
    <m/>
    <m/>
    <m/>
    <m/>
    <x v="0"/>
    <x v="0"/>
    <n v="0"/>
    <n v="0"/>
    <n v="0"/>
    <n v="0"/>
    <m/>
  </r>
  <r>
    <s v="Federated ID"/>
    <s v="AnthonyMorrotto@enthalpy.com"/>
    <s v="enthalpy.com"/>
    <s v="AnthonyMorrotto@enthalpy.com"/>
    <s v="Anthony"/>
    <s v="Morrotto"/>
    <s v="US"/>
    <s v="D7BF1D4166F33C720A495C8E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MiaOlson@montrose-env.com"/>
    <s v="montrose-env.com"/>
    <s v="MiaOlson@montrose-env.com"/>
    <s v="Mia"/>
    <s v="Olson"/>
    <s v="US"/>
    <s v="DE2B1D3866F34A320A495FCC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JoshuaAllen@montrose-env.com"/>
    <s v="montrose-env.com"/>
    <s v="JoshuaAllen@montrose-env.com"/>
    <s v="Joshua"/>
    <s v="Allen"/>
    <s v="US"/>
    <s v="D3551D6766F34D100A495FFD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53"/>
    <x v="53"/>
    <n v="14.333333333333334"/>
    <n v="0"/>
    <n v="0"/>
    <n v="14.333333333333334"/>
    <n v="1"/>
  </r>
  <r>
    <s v="Federated ID"/>
    <s v="AlexandraMejia@enthalpy.com"/>
    <s v="enthalpy.com"/>
    <s v="AlexandraMejia@enthalpy.com"/>
    <s v="Alexandra"/>
    <s v="Mejia"/>
    <s v="US"/>
    <s v="08641D4366F477000A495E7D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brdemirci@montrose-env.com"/>
    <s v="montrose-env.com"/>
    <s v="brdemirci@montrose-env.com"/>
    <s v="Brianna"/>
    <s v="Demirci"/>
    <s v="US"/>
    <s v="38991E3B66F5B7F50A495F95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JuliaSagidova@montrose-env.com"/>
    <s v="montrose-env.com"/>
    <s v="juliasagidova@montrose-env.com"/>
    <s v="Julia"/>
    <s v="Sagidova"/>
    <s v="US"/>
    <s v="6E061E2E66F7220A0A495E33@038d2aa263c9deeb495fea.e"/>
    <x v="0"/>
    <x v="0"/>
    <x v="0"/>
    <m/>
    <m/>
    <s v="CAN - Consulting &amp; Engineering OH - HR"/>
    <m/>
    <m/>
    <m/>
    <m/>
    <m/>
    <m/>
    <m/>
    <x v="0"/>
    <x v="0"/>
    <n v="0"/>
    <n v="0"/>
    <n v="0"/>
    <n v="0"/>
    <m/>
  </r>
  <r>
    <s v="Federated ID"/>
    <s v="EmilyMorrison@enthalpy.com"/>
    <s v="enthalpy.com"/>
    <s v="EmilyMorrison@enthalpy.com"/>
    <s v="Emily"/>
    <s v="Morrison"/>
    <s v="US"/>
    <s v="C6F51EEB66FAB2B70A495E4D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rhhampton@ect2.com"/>
    <s v="ect2.com"/>
    <s v="rhhampton@ect2.com"/>
    <s v="Rhonda"/>
    <s v="Hampton"/>
    <s v="US"/>
    <s v="D0C41E6166FAC8260A495CB0@038d2aa263c9deeb495fea.e"/>
    <x v="0"/>
    <x v="0"/>
    <x v="0"/>
    <m/>
    <m/>
    <s v="USA - ECT2 - OH - Sales"/>
    <m/>
    <m/>
    <m/>
    <m/>
    <m/>
    <m/>
    <m/>
    <x v="0"/>
    <x v="0"/>
    <n v="0"/>
    <n v="0"/>
    <n v="0"/>
    <n v="0"/>
    <m/>
  </r>
  <r>
    <s v="Federated ID"/>
    <s v="sybenishek@montrose-env.com"/>
    <s v="montrose-env.com"/>
    <s v="sybenishek@montrose-env.com"/>
    <s v="Sydney"/>
    <s v="Benishek"/>
    <s v="US"/>
    <s v="D5EE1E3766FAFFF00A495E0E@038d2aa263c9deeb495fea.e"/>
    <x v="1"/>
    <x v="0"/>
    <x v="0"/>
    <m/>
    <m/>
    <s v="USA - Environmental Consulting - Nashville - Operations"/>
    <m/>
    <m/>
    <m/>
    <m/>
    <s v="Acrobat Pro (VIPMP - 99C0A3088A102BD9CB4A)"/>
    <m/>
    <m/>
    <x v="117"/>
    <x v="117"/>
    <n v="14.333333333333334"/>
    <n v="0"/>
    <n v="0"/>
    <n v="14.333333333333334"/>
    <n v="1"/>
  </r>
  <r>
    <s v="Federated ID"/>
    <s v="CharlesLaFollette@montrose-env.com"/>
    <s v="montrose-env.com"/>
    <s v="CharlesLaFollette@montrose-env.com"/>
    <s v="Charles"/>
    <s v="LaFollette"/>
    <s v="US"/>
    <s v="FFD51E3766FC22A20A495E7A@038d2aa263c9deeb495fea.e"/>
    <x v="0"/>
    <x v="0"/>
    <x v="0"/>
    <m/>
    <m/>
    <s v="USA - Advisory Services – Two Dot – Operations"/>
    <m/>
    <m/>
    <m/>
    <m/>
    <m/>
    <m/>
    <m/>
    <x v="0"/>
    <x v="0"/>
    <n v="0"/>
    <n v="0"/>
    <n v="0"/>
    <n v="0"/>
    <m/>
  </r>
  <r>
    <s v="Federated ID"/>
    <s v="jmetcalf@montrose-env.com"/>
    <s v="montrose-env.com"/>
    <s v="jmetcalf@montrose-env.com"/>
    <s v="Jared"/>
    <s v="Metcalf"/>
    <s v="US"/>
    <s v="0C3A1E0966FC85C20A495FA2@038d2aa263c9deeb495fea.e"/>
    <x v="1"/>
    <x v="0"/>
    <x v="0"/>
    <m/>
    <m/>
    <s v="USA - LDAR - OH - G&amp;A"/>
    <m/>
    <m/>
    <m/>
    <m/>
    <s v="Acrobat Pro (VIPMP - 99C0A3088A102BD9CB4A)"/>
    <m/>
    <m/>
    <x v="49"/>
    <x v="49"/>
    <n v="14.333333333333334"/>
    <n v="0"/>
    <n v="0"/>
    <n v="14.333333333333334"/>
    <n v="1"/>
  </r>
  <r>
    <s v="Federated ID"/>
    <s v="ZoeArndt@enthalpy.com"/>
    <s v="enthalpy.com"/>
    <s v="ZoeArndt@enthalpy.com"/>
    <s v="Zoe"/>
    <s v="Arndt"/>
    <s v="US"/>
    <s v="359F1E5866FD95340A495FB4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ttrefiak@montrose-env.com"/>
    <s v="montrose-env.com"/>
    <s v="ext-ttrefiak@montrose-env.com"/>
    <s v="Terence"/>
    <s v="Trefiak"/>
    <s v="US"/>
    <s v="61BB1E2E66FEFF700A495FBA@038d2aa263c9deeb495fea.e"/>
    <x v="0"/>
    <x v="0"/>
    <x v="0"/>
    <m/>
    <m/>
    <s v="USA - LDAR - OH - G&amp;A"/>
    <m/>
    <m/>
    <m/>
    <m/>
    <m/>
    <m/>
    <m/>
    <x v="0"/>
    <x v="0"/>
    <n v="0"/>
    <n v="0"/>
    <n v="0"/>
    <n v="0"/>
    <m/>
  </r>
  <r>
    <s v="Federated ID"/>
    <s v="mppatrick@montrose-env.com"/>
    <s v="montrose-env.com"/>
    <s v="mppatrick@montrose-env.com"/>
    <s v="Margaret"/>
    <s v="Patrick"/>
    <s v="US"/>
    <s v="6E131E3066FF043D0A495FC9@038d2aa263c9deeb495fea.e"/>
    <x v="0"/>
    <x v="0"/>
    <x v="0"/>
    <m/>
    <m/>
    <s v="USA - Environmental Consulting - Santa Ana (Rem) - Operations"/>
    <m/>
    <m/>
    <m/>
    <m/>
    <m/>
    <m/>
    <m/>
    <x v="0"/>
    <x v="0"/>
    <n v="0"/>
    <n v="0"/>
    <n v="0"/>
    <n v="0"/>
    <m/>
  </r>
  <r>
    <s v="Federated ID"/>
    <s v="JacobFriedman@montrose-env.com"/>
    <s v="montrose-env.com"/>
    <s v="JacobFriedman@montrose-env.com"/>
    <s v="Jacob"/>
    <s v="Friedman"/>
    <s v="US"/>
    <s v="8FF51E58670020CA0A495EFE@038d2aa263c9deeb495fea.e"/>
    <x v="0"/>
    <x v="0"/>
    <x v="0"/>
    <m/>
    <m/>
    <s v="USA - Advisory Services – Two Dot – Operations"/>
    <m/>
    <m/>
    <m/>
    <m/>
    <m/>
    <m/>
    <m/>
    <x v="0"/>
    <x v="0"/>
    <n v="0"/>
    <n v="0"/>
    <n v="0"/>
    <n v="0"/>
    <m/>
  </r>
  <r>
    <s v="Federated ID"/>
    <s v="jstanley@montrose-env.com"/>
    <s v="montrose-env.com"/>
    <s v="jstanley@montrose-env.com"/>
    <s v="Jared"/>
    <s v="Stanley"/>
    <s v="US"/>
    <s v="C96C1E30670292400A495E57@038d2aa263c9deeb495fea.e"/>
    <x v="2"/>
    <x v="0"/>
    <x v="0"/>
    <m/>
    <m/>
    <s v="USA - OGI - Operations"/>
    <m/>
    <m/>
    <m/>
    <m/>
    <s v="Acrobat Standard DC (VIPMP - 99C0A3088A102BD9CB4A)"/>
    <m/>
    <m/>
    <x v="30"/>
    <x v="30"/>
    <n v="8.6983333333333324"/>
    <n v="0"/>
    <n v="0"/>
    <n v="8.6983333333333324"/>
    <n v="1"/>
  </r>
  <r>
    <s v="Federated ID"/>
    <s v="SusanLaitsch@montrose-env.com"/>
    <s v="montrose-env.com"/>
    <s v="SusanLaitsch@montrose-env.com"/>
    <s v="Susan"/>
    <s v="Laitsch"/>
    <s v="US"/>
    <s v="E9FB1E336703F95B0A495E0B@038d2aa263c9deeb495fea.e"/>
    <x v="1"/>
    <x v="0"/>
    <x v="0"/>
    <m/>
    <m/>
    <s v="USA - Advisory Services – Two Dot –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RyanMalia@montrose-env.com"/>
    <s v="montrose-env.com"/>
    <s v="RyanMalia@montrose-env.com"/>
    <s v="Ryan"/>
    <s v="Malia"/>
    <s v="US"/>
    <s v="F0F01E7E6703FA8C0A495E28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BrianMyller@montrose-env.com"/>
    <s v="montrose-env.com"/>
    <s v="BrianMyller@montrose-env.com"/>
    <s v="Brian"/>
    <s v="Myller"/>
    <s v="US"/>
    <s v="F2D51E0B670427960A495FEF@038d2aa263c9deeb495fea.e"/>
    <x v="2"/>
    <x v="0"/>
    <x v="0"/>
    <m/>
    <m/>
    <s v="USA - Environmental Consulting OH - G&amp;A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fdamji@montrose-env.com"/>
    <s v="montrose-env.com"/>
    <s v="fdamji@montrose-env.com"/>
    <s v="Faizal"/>
    <s v="Damji"/>
    <s v="US"/>
    <s v="14041E2E67051F000A495E76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JamesStultz@montrose-env.com"/>
    <s v="montrose-env.com"/>
    <s v="jamesstultz@montrose-env.com"/>
    <s v="James"/>
    <s v="Stultz"/>
    <s v="US"/>
    <s v="8CDC47EE67054B760A495FCE@038d2aa263c9deeb495fea.e"/>
    <x v="1"/>
    <x v="0"/>
    <x v="0"/>
    <m/>
    <m/>
    <s v="USA - Stack - Southeast - Operations"/>
    <m/>
    <m/>
    <m/>
    <m/>
    <s v="Acrobat Pro (VIPMP - 99C0A3088A102BD9CB4A)"/>
    <m/>
    <m/>
    <x v="31"/>
    <x v="31"/>
    <n v="14.333333333333334"/>
    <n v="0"/>
    <n v="0"/>
    <n v="14.333333333333334"/>
    <n v="1"/>
  </r>
  <r>
    <s v="Federated ID"/>
    <s v="mapiarulli@montrose-env.com"/>
    <s v="montrose-env.com"/>
    <s v="mapiarulli@montrose-env.com"/>
    <s v="Matthew"/>
    <s v="Piarulli"/>
    <s v="US"/>
    <s v="22EE1E3D67057B550A495EDA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DarrenBurton@montrose-env.com"/>
    <s v="montrose-env.com"/>
    <s v="DarrenBurton@montrose-env.com"/>
    <s v="Darren"/>
    <s v="Burton"/>
    <s v="US"/>
    <s v="5C051E34670717F50A495C42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jameswood@enthalpy.com"/>
    <s v="enthalpy.com"/>
    <s v="jameswood@enthalpy.com"/>
    <s v="James"/>
    <s v="Wood"/>
    <s v="US"/>
    <s v="6C5A1E5F6707B7C40A495EFD@038d2aa263c9deeb495fea.e"/>
    <x v="1"/>
    <x v="0"/>
    <x v="0"/>
    <m/>
    <m/>
    <s v="USA - Env Lab - Mt Pleasant - Operations"/>
    <m/>
    <m/>
    <m/>
    <m/>
    <s v="Acrobat Pro (VIPMP - 99C0A3088A102BD9CB4A)"/>
    <m/>
    <m/>
    <x v="82"/>
    <x v="82"/>
    <n v="14.333333333333334"/>
    <n v="0"/>
    <n v="0"/>
    <n v="14.333333333333334"/>
    <n v="1"/>
  </r>
  <r>
    <s v="Federated ID"/>
    <s v="TinNguyen@ect2.com"/>
    <s v="ect2.com"/>
    <s v="TinNguyen@ect2.com"/>
    <s v="Tin"/>
    <s v="Nguyen"/>
    <s v="US"/>
    <s v="6F851E646707CCD90A495F86@038d2aa263c9deeb495fea.e"/>
    <x v="0"/>
    <x v="0"/>
    <x v="0"/>
    <m/>
    <m/>
    <s v="USA - RNG - Operations"/>
    <m/>
    <m/>
    <m/>
    <m/>
    <m/>
    <m/>
    <m/>
    <x v="0"/>
    <x v="0"/>
    <n v="0"/>
    <n v="0"/>
    <n v="0"/>
    <n v="0"/>
    <m/>
  </r>
  <r>
    <s v="Federated ID"/>
    <s v="mamendoza@montrose-env.com"/>
    <s v="montrose-env.com"/>
    <s v="mamendoza@montrose-env.com"/>
    <s v="Mariela"/>
    <s v="Mendoza"/>
    <s v="US"/>
    <s v="0B741D616708AB1C0A495FAC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kaparker@montrose-env.com"/>
    <s v="montrose-env.com"/>
    <s v="kaparker@montrose-env.com"/>
    <s v="Karelia"/>
    <s v="Parker"/>
    <s v="US"/>
    <s v="22741D64670961D60A495E51@038d2aa263c9deeb495fea.e"/>
    <x v="2"/>
    <x v="0"/>
    <x v="0"/>
    <m/>
    <m/>
    <s v="USA - Corp - G&amp;A"/>
    <m/>
    <m/>
    <m/>
    <m/>
    <s v="Acrobat Standard DC (VIPMP - 99C0A3088A102BD9CB4A)"/>
    <m/>
    <m/>
    <x v="119"/>
    <x v="119"/>
    <n v="8.6983333333333324"/>
    <n v="0"/>
    <n v="0"/>
    <n v="8.6983333333333324"/>
    <n v="1"/>
  </r>
  <r>
    <s v="Federated ID"/>
    <s v="TheodoreGadziemski@montrose-env.com"/>
    <s v="montrose-env.com"/>
    <s v="theodoregadziemski@montrose-env.com"/>
    <s v="Theodore"/>
    <s v="Gadziemski"/>
    <s v="US"/>
    <s v="82151D60670D20B80A495FC7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jepostell@montrose-env.com"/>
    <s v="montrose-env.com"/>
    <s v="jepostell@montrose-env.com"/>
    <s v="Jeff"/>
    <s v="Postell"/>
    <s v="US"/>
    <s v="80FD1D41670D2C610A495C46@038d2aa263c9deeb495fea.e"/>
    <x v="1"/>
    <x v="0"/>
    <x v="0"/>
    <m/>
    <m/>
    <m/>
    <m/>
    <m/>
    <m/>
    <m/>
    <s v="Acrobat Pro (VIPMP - 99C0A3088A102BD9CB4A)"/>
    <m/>
    <m/>
    <x v="117"/>
    <x v="117"/>
    <n v="14.333333333333334"/>
    <n v="0"/>
    <n v="0"/>
    <n v="14.333333333333334"/>
    <n v="1"/>
  </r>
  <r>
    <s v="Federated ID"/>
    <s v="jefasan@montrose-env.com"/>
    <s v="montrose-env.com"/>
    <s v="jefasan@montrose-env.com"/>
    <s v="Jeanne"/>
    <s v="Fasan"/>
    <s v="US"/>
    <s v="B9021D5F670EAC230A495CF0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TristanRice@montrose-env.com"/>
    <s v="montrose-env.com"/>
    <s v="TristanRice@montrose-env.com"/>
    <s v="Tristan"/>
    <s v="Rice"/>
    <s v="US"/>
    <s v="BD361D64670EC6C80A495EF3@038d2aa263c9deeb495fea.e"/>
    <x v="1"/>
    <x v="0"/>
    <x v="0"/>
    <m/>
    <m/>
    <s v="USA - Stack - Northeast - Operations"/>
    <m/>
    <m/>
    <m/>
    <m/>
    <s v="Acrobat Pro (VIPMP - 99C0A3088A102BD9CB4A)"/>
    <m/>
    <m/>
    <x v="84"/>
    <x v="84"/>
    <n v="14.333333333333334"/>
    <n v="0"/>
    <n v="0"/>
    <n v="14.333333333333334"/>
    <n v="1"/>
  </r>
  <r>
    <s v="Federated ID"/>
    <s v="LisaHerrera@montrose-env.com"/>
    <s v="montrose-env.com"/>
    <s v="lisaherrera@montrose-env.com"/>
    <s v="Lisa"/>
    <s v="Herrera"/>
    <s v="US"/>
    <s v="F4961D85671014CD0A495E41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radroessler@montrose-env.com"/>
    <s v="montrose-env.com"/>
    <s v="radroessler@montrose-env.com"/>
    <s v="Rachel"/>
    <s v="Droessler"/>
    <s v="US"/>
    <s v="12701D5D6711203B0A495F8C@038d2aa263c9deeb495fea.e"/>
    <x v="6"/>
    <x v="0"/>
    <x v="0"/>
    <m/>
    <m/>
    <s v="USA - Environmental Consulting - Environmental Intelligence - Operations"/>
    <m/>
    <m/>
    <m/>
    <m/>
    <s v="All Apps - Edition 4 (VIPMP - 99C0A3088A102BD9CB4A)"/>
    <m/>
    <m/>
    <x v="0"/>
    <x v="0"/>
    <n v="0"/>
    <n v="0"/>
    <n v="0"/>
    <n v="0"/>
    <m/>
  </r>
  <r>
    <s v="Federated ID"/>
    <s v="kkrch@montrose-env.com"/>
    <s v="montrose-env.com"/>
    <s v="kkrch@montrose-env.com"/>
    <s v="Katrina"/>
    <s v="Krch"/>
    <s v="US"/>
    <s v="16861D5A67113CF80A495CE2@038d2aa263c9deeb495fea.e"/>
    <x v="1"/>
    <x v="0"/>
    <x v="0"/>
    <m/>
    <m/>
    <s v="USA - Env Lab - Deer Park - Operations"/>
    <m/>
    <m/>
    <m/>
    <m/>
    <s v="Acrobat Pro (VIPMP - 99C0A3088A102BD9CB4A)"/>
    <m/>
    <m/>
    <x v="80"/>
    <x v="80"/>
    <n v="14.333333333333334"/>
    <n v="0"/>
    <n v="0"/>
    <n v="14.333333333333334"/>
    <n v="1"/>
  </r>
  <r>
    <s v="Federated ID"/>
    <s v="RachelARowe@montrose-env.com"/>
    <s v="montrose-env.com"/>
    <s v="rachelarowe@montrose-env.com"/>
    <s v="Rachel A"/>
    <s v="Rowe"/>
    <s v="US"/>
    <s v="43FE1D4F67129A200A495FA4@038d2aa263c9deeb495fea.e"/>
    <x v="0"/>
    <x v="0"/>
    <x v="0"/>
    <m/>
    <m/>
    <s v="USA - Environmental Consulting - Orlando - Operations"/>
    <m/>
    <m/>
    <m/>
    <m/>
    <m/>
    <m/>
    <m/>
    <x v="0"/>
    <x v="0"/>
    <n v="0"/>
    <n v="0"/>
    <n v="0"/>
    <n v="0"/>
    <m/>
  </r>
  <r>
    <s v="Federated ID"/>
    <s v="ShannonBoyle@montrose-env.com"/>
    <s v="montrose-env.com"/>
    <s v="ShannonBoyle@montrose-env.com"/>
    <s v="Shannon"/>
    <s v="Boyle"/>
    <s v="US"/>
    <s v="45751D5E6712BBA90A495E53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miteeling@montrose-env.com"/>
    <s v="montrose-env.com"/>
    <s v="miteeling@montrose-env.com"/>
    <s v="Michael"/>
    <s v="Teeling"/>
    <s v="US"/>
    <s v="A82E1D58671668900A495FC3@038d2aa263c9deeb495fea.e"/>
    <x v="6"/>
    <x v="0"/>
    <x v="0"/>
    <m/>
    <m/>
    <s v="USA - Environmental Consulting - Charlottesville - Operations"/>
    <m/>
    <m/>
    <m/>
    <m/>
    <s v="All Apps - Edition 4 (VIPMP - 99C0A3088A102BD9CB4A)"/>
    <m/>
    <m/>
    <x v="0"/>
    <x v="0"/>
    <n v="0"/>
    <n v="0"/>
    <n v="0"/>
    <n v="0"/>
    <m/>
  </r>
  <r>
    <s v="Federated ID"/>
    <s v="JennieCooper@montrose-env.com"/>
    <s v="montrose-env.com"/>
    <s v="jenniecooper@montrose-env.com"/>
    <s v="Jennie"/>
    <s v="Cooper"/>
    <s v="US"/>
    <s v="AA4A1D5E671683F80A495FD9@038d2aa263c9deeb495fea.e"/>
    <x v="1"/>
    <x v="0"/>
    <x v="0"/>
    <m/>
    <m/>
    <s v="USA - Corp - Marketing"/>
    <m/>
    <m/>
    <m/>
    <m/>
    <s v="Acrobat Pro (VIPMP - 99C0A3088A102BD9CB4A)"/>
    <m/>
    <m/>
    <x v="44"/>
    <x v="44"/>
    <n v="14.333333333333334"/>
    <n v="0"/>
    <n v="0"/>
    <n v="14.333333333333334"/>
    <n v="1"/>
  </r>
  <r>
    <s v="Federated ID"/>
    <s v="ChrisDeLosSantos@montrose-env.com"/>
    <s v="montrose-env.com"/>
    <s v="ChrisDeLosSantos@montrose-env.com"/>
    <s v="Chris"/>
    <s v="DeLosSantos"/>
    <s v="US"/>
    <s v="BC141D8A6716C7270A495CA8@038d2aa263c9deeb495fea.e"/>
    <x v="1"/>
    <x v="0"/>
    <x v="0"/>
    <m/>
    <m/>
    <s v="USA - Corp - Internal Audit"/>
    <m/>
    <m/>
    <m/>
    <m/>
    <s v="Acrobat Pro (VIPMP - 99C0A3088A102BD9CB4A)"/>
    <m/>
    <m/>
    <x v="62"/>
    <x v="62"/>
    <n v="14.333333333333334"/>
    <n v="0"/>
    <n v="0"/>
    <n v="14.333333333333334"/>
    <n v="1"/>
  </r>
  <r>
    <s v="Federated ID"/>
    <s v="SaraHerrera@montrose-env.com"/>
    <s v="montrose-env.com"/>
    <s v="SaraHerrera@montrose-env.com"/>
    <s v="Sara"/>
    <s v="Herrera"/>
    <s v="US"/>
    <s v="BFE11DF86716EBFD0A495C13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LoriFischer@montrose-env.com"/>
    <s v="montrose-env.com"/>
    <s v="LoriFischer@montrose-env.com"/>
    <s v="Lori"/>
    <s v="Fischer"/>
    <s v="US"/>
    <s v="1F3D1D5E6719673C0A495F9A@038d2aa263c9deeb495fea.e"/>
    <x v="0"/>
    <x v="0"/>
    <x v="0"/>
    <m/>
    <m/>
    <s v="USA - Stack - OH - Finance"/>
    <m/>
    <m/>
    <m/>
    <m/>
    <m/>
    <m/>
    <m/>
    <x v="0"/>
    <x v="0"/>
    <n v="0"/>
    <n v="0"/>
    <n v="0"/>
    <n v="0"/>
    <m/>
  </r>
  <r>
    <s v="Federated ID"/>
    <s v="SamuelWeikle@montrose-env.com"/>
    <s v="montrose-env.com"/>
    <s v="SamuelWeikle@montrose-env.com"/>
    <s v="Samuel"/>
    <s v="Weikle"/>
    <s v="US"/>
    <s v="032E1DBE671975020A495C74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Federated ID"/>
    <s v="MaryStrecker@montrose-env.com"/>
    <s v="montrose-env.com"/>
    <s v="MaryStrecker@montrose-env.com"/>
    <s v="Mary"/>
    <s v="Strecker"/>
    <s v="US"/>
    <s v="1B371D88671A48010A495C1F@038d2aa263c9deeb495fea.e"/>
    <x v="1"/>
    <x v="6"/>
    <x v="0"/>
    <m/>
    <m/>
    <s v="USA - Advisory Services – Two Dot – Operations"/>
    <m/>
    <m/>
    <m/>
    <m/>
    <s v="Acrobat Pro (VIPMP - 99C0A3088A102BD9CB4A),Photoshop - Edition 4 (VIPMP - 99C0A3088A102BD9CB4A)"/>
    <m/>
    <m/>
    <x v="110"/>
    <x v="110"/>
    <n v="14.333333333333334"/>
    <n v="0"/>
    <n v="0"/>
    <n v="14.333333333333334"/>
    <n v="1"/>
  </r>
  <r>
    <s v="Federated ID"/>
    <s v="FarnazNabi@montrose-env.com"/>
    <s v="montrose-env.com"/>
    <s v="FarnazNabi@montrose-env.com"/>
    <s v="Farnaz"/>
    <s v="Nabi"/>
    <s v="US"/>
    <s v="2AD71D92671A93B20A495CCC@038d2aa263c9deeb495fea.e"/>
    <x v="1"/>
    <x v="0"/>
    <x v="0"/>
    <m/>
    <m/>
    <s v="USA - Environmental Consulting - Santa Ana (P&amp;C) - Operations"/>
    <m/>
    <m/>
    <m/>
    <m/>
    <s v="Acrobat Pro (VIPMP - 99C0A3088A102BD9CB4A)"/>
    <m/>
    <m/>
    <x v="25"/>
    <x v="25"/>
    <n v="14.333333333333334"/>
    <n v="0"/>
    <n v="0"/>
    <n v="14.333333333333334"/>
    <n v="1"/>
  </r>
  <r>
    <s v="Federated ID"/>
    <s v="alyssa.miller@enthalpy.com"/>
    <s v="enthalpy.com"/>
    <s v="alyssa.miller@enthalpy.com"/>
    <s v="Alyssa"/>
    <s v="Miller"/>
    <s v="US"/>
    <s v="B29B1D81671FAB7E0A495CC5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RileyGarlinghouse@montrose-env.com"/>
    <s v="montrose-env.com"/>
    <s v="RileyGarlinghouse@montrose-env.com"/>
    <s v="Riley"/>
    <s v="Garlinghouse"/>
    <s v="US"/>
    <s v="E0731DC9672104C50A495E8B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ChristianRobertson@montrose-env.com"/>
    <s v="montrose-env.com"/>
    <s v="ChristianRobertson@montrose-env.com"/>
    <s v="Christian"/>
    <s v="Robertson"/>
    <s v="US"/>
    <s v="E4241DE2672104C50A495CC8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BartleyMcDonald@montrose-env.com"/>
    <s v="montrose-env.com"/>
    <s v="BartleyMcDonald@montrose-env.com"/>
    <s v="Bartley"/>
    <s v="McDonald"/>
    <s v="US"/>
    <s v="E2D11D81672104C60A495C3F@038d2aa263c9deeb495fea.e"/>
    <x v="0"/>
    <x v="0"/>
    <x v="0"/>
    <m/>
    <m/>
    <s v="USA - Environmental Consulting OH - G&amp;A"/>
    <m/>
    <m/>
    <m/>
    <m/>
    <m/>
    <m/>
    <m/>
    <x v="0"/>
    <x v="0"/>
    <n v="0"/>
    <n v="0"/>
    <n v="0"/>
    <n v="0"/>
    <m/>
  </r>
  <r>
    <s v="Federated ID"/>
    <s v="SaraCoats@montrose-env.com"/>
    <s v="montrose-env.com"/>
    <s v="SaraCoats@montrose-env.com"/>
    <s v="Sara"/>
    <s v="Coats"/>
    <s v="US"/>
    <s v="DF071D82672104C60A495E21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DanielleSchroeder@montrose-env.com"/>
    <s v="montrose-env.com"/>
    <s v="DanielleSchroeder@montrose-env.com"/>
    <s v="Danielle"/>
    <s v="Schroeder"/>
    <s v="US"/>
    <s v="E2F91D9F672104C70A495FAD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nokessler@montrose-env.com"/>
    <s v="montrose-env.com"/>
    <s v="nokessler@montrose-env.com"/>
    <s v="Noah"/>
    <s v="Kessler"/>
    <s v="US"/>
    <s v="E1F51D9867211A7B0A495CC7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KristineBoardman@montrose-env.com"/>
    <s v="montrose-env.com"/>
    <s v="KristineBoardman@montrose-env.com"/>
    <s v="Kristine"/>
    <s v="Boardman"/>
    <s v="US"/>
    <s v="08BD1DC467226AB90A495E9B@038d2aa263c9deeb495fea.e"/>
    <x v="2"/>
    <x v="0"/>
    <x v="0"/>
    <m/>
    <m/>
    <s v="USA - Environmental Consulting - Wilmington - Operations"/>
    <m/>
    <m/>
    <m/>
    <m/>
    <s v="Acrobat Standard DC (VIPMP - 99C0A3088A102BD9CB4A)"/>
    <m/>
    <m/>
    <x v="71"/>
    <x v="71"/>
    <n v="8.6983333333333324"/>
    <n v="0"/>
    <n v="0"/>
    <n v="8.6983333333333324"/>
    <n v="1"/>
  </r>
  <r>
    <s v="Federated ID"/>
    <s v="sjwegman@montrose-env.com"/>
    <s v="montrose-env.com"/>
    <s v="sjwegman@montrose-env.com"/>
    <s v="Sarah"/>
    <s v="Wegman"/>
    <s v="US"/>
    <s v="0E831DBF672274A10A495CBD@038d2aa263c9deeb495fea.e"/>
    <x v="1"/>
    <x v="0"/>
    <x v="0"/>
    <m/>
    <m/>
    <s v="USA - Environmental Consulting OH - Finance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HaydenJudy@montrose-env.com"/>
    <s v="montrose-env.com"/>
    <s v="HaydenJudy@montrose-env.com"/>
    <s v="Hayden"/>
    <s v="Judy"/>
    <s v="US"/>
    <s v="0B621DC4672275E60A495E9B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usannahKiteck@montrose-env.com"/>
    <s v="montrose-env.com"/>
    <s v="SusannahKiteck@montrose-env.com"/>
    <s v="Susannah"/>
    <s v="Kiteck"/>
    <s v="US"/>
    <s v="162F1D75672285810A495E88@038d2aa263c9deeb495fea.e"/>
    <x v="1"/>
    <x v="0"/>
    <x v="0"/>
    <m/>
    <m/>
    <s v="USA - Environmental Consulting - Oakland - Operations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ElijahGray@montrose-env.com"/>
    <s v="montrose-env.com"/>
    <s v="ElijahGray@montrose-env.com"/>
    <s v="Elijah"/>
    <s v="Gray"/>
    <s v="US"/>
    <s v="315E1D7B6723BD4D0A495C96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BethHinchliffe@montrose-env.com"/>
    <s v="montrose-env.com"/>
    <s v="bethhinchliffe@montrose-env.com"/>
    <s v="Elizabeth"/>
    <s v="Hinchliffe"/>
    <s v="US"/>
    <s v="55CF1D7C6724FEF20A495EF5@038d2aa263c9deeb495fea.e"/>
    <x v="4"/>
    <x v="4"/>
    <x v="2"/>
    <m/>
    <m/>
    <s v="USA - Advisory Services - Spirit - G&amp;A"/>
    <m/>
    <m/>
    <m/>
    <m/>
    <s v="InDesign (VIPMP - 99C0A3088A102BD9CB4A),Photoshop (VIPMP - 99C0A3088A102BD9CB4A),Illustrator (VIPMP - 99C0A3088A102BD9CB4A)"/>
    <m/>
    <m/>
    <x v="120"/>
    <x v="120"/>
    <n v="35.979166666666664"/>
    <n v="34.873750000000001"/>
    <n v="36.357500000000002"/>
    <n v="107.21041666666666"/>
    <n v="1"/>
  </r>
  <r>
    <s v="Federated ID"/>
    <s v="AmyWall@montrose-env.com"/>
    <s v="montrose-env.com"/>
    <s v="AmyWall@montrose-env.com"/>
    <s v="Amy"/>
    <s v="Wall"/>
    <s v="US"/>
    <s v="AA711D7B67294DC90A495C96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KatelynTrahan@montrose-env.com"/>
    <s v="montrose-env.com"/>
    <s v="KatelynTrahan@montrose-env.com"/>
    <s v="Katelyn"/>
    <s v="Trahan"/>
    <s v="US"/>
    <s v="D3CD1D9D672A8E780A495C5E@038d2aa263c9deeb495fea.e"/>
    <x v="0"/>
    <x v="0"/>
    <x v="0"/>
    <m/>
    <m/>
    <s v="USA - Stack - Gulf Coast - G&amp;A"/>
    <m/>
    <m/>
    <m/>
    <m/>
    <m/>
    <m/>
    <m/>
    <x v="0"/>
    <x v="0"/>
    <n v="0"/>
    <n v="0"/>
    <n v="0"/>
    <n v="0"/>
    <m/>
  </r>
  <r>
    <s v="Federated ID"/>
    <s v="JacksonStrobel@montrose-env.com"/>
    <s v="montrose-env.com"/>
    <s v="JacksonStrobel@montrose-env.com"/>
    <s v="Jackson"/>
    <s v="Strobel"/>
    <s v="US"/>
    <s v="E8511D81672BA12C0A495CC5@038d2aa263c9deeb495fea.e"/>
    <x v="1"/>
    <x v="6"/>
    <x v="0"/>
    <m/>
    <m/>
    <s v="USA - Advisory Services – Two Dot – Operations"/>
    <m/>
    <m/>
    <m/>
    <m/>
    <s v="Acrobat Pro (VIPMP - 99C0A3088A102BD9CB4A),Photoshop - Edition 4 (VIPMP - 99C0A3088A102BD9CB4A)"/>
    <m/>
    <m/>
    <x v="110"/>
    <x v="110"/>
    <n v="14.333333333333334"/>
    <n v="0"/>
    <n v="0"/>
    <n v="14.333333333333334"/>
    <n v="1"/>
  </r>
  <r>
    <s v="Federated ID"/>
    <s v="Maccewill.Yip@enthalpy.com"/>
    <s v="enthalpy.com"/>
    <s v="Maccewill.Yip@enthalpy.com"/>
    <s v="Maccewill"/>
    <s v="Yip"/>
    <s v="US"/>
    <s v="F04C1D77672C03060A495EF2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TaneshaJohnson@montrose-env.com"/>
    <s v="montrose-env.com"/>
    <s v="taneshajohnson@montrose-env.com"/>
    <s v="Tanesha"/>
    <s v="Johnson"/>
    <s v="US"/>
    <s v="0EAD2E0E672DBE400A495EE7@038d2aa263c9deeb495fea.e"/>
    <x v="1"/>
    <x v="1"/>
    <x v="1"/>
    <m/>
    <m/>
    <s v="USA - Advisory Services - Spirit - G&amp;A"/>
    <m/>
    <m/>
    <m/>
    <m/>
    <s v="Acrobat Pro (VIPMP - 99C0A3088A102BD9CB4A),InDesign (VIPMP - 99C0A3088A102BD9CB4A),Photoshop (VIPMP - 99C0A3088A102BD9CB4A)"/>
    <m/>
    <m/>
    <x v="120"/>
    <x v="120"/>
    <n v="14.333333333333334"/>
    <n v="35.979166666666664"/>
    <n v="34.873750000000001"/>
    <n v="85.186250000000001"/>
    <n v="1"/>
  </r>
  <r>
    <s v="Federated ID"/>
    <s v="brhrabcsak@montrose-env.com"/>
    <s v="montrose-env.com"/>
    <s v="brhrabcsak@montrose-env.com"/>
    <s v="Brenden"/>
    <s v="Hrabcsak"/>
    <s v="US"/>
    <s v="7262587F6732518C0A495E96@038d2aa263c9deeb495fea.e"/>
    <x v="2"/>
    <x v="0"/>
    <x v="0"/>
    <m/>
    <m/>
    <s v="USA - OGI - Operations"/>
    <m/>
    <m/>
    <m/>
    <m/>
    <s v="Acrobat Standard DC (VIPMP - 99C0A3088A102BD9CB4A)"/>
    <m/>
    <m/>
    <x v="30"/>
    <x v="30"/>
    <n v="8.6983333333333324"/>
    <n v="0"/>
    <n v="0"/>
    <n v="8.6983333333333324"/>
    <n v="1"/>
  </r>
  <r>
    <s v="Federated ID"/>
    <s v="seanhardy@montrose-env.com"/>
    <s v="montrose-env.com"/>
    <s v="seanhardy@montrose-env.com"/>
    <s v="Sean"/>
    <s v="Hardy"/>
    <s v="US"/>
    <s v="77147FD867327DC60A495EEA@038d2aa263c9deeb495fea.e"/>
    <x v="1"/>
    <x v="0"/>
    <x v="0"/>
    <m/>
    <m/>
    <s v="USA - LDAR - Texas - G&amp;A"/>
    <m/>
    <m/>
    <m/>
    <m/>
    <s v="Acrobat Pro (VIPMP - 99C0A3088A102BD9CB4A)"/>
    <m/>
    <m/>
    <x v="98"/>
    <x v="98"/>
    <n v="14.333333333333334"/>
    <n v="0"/>
    <n v="0"/>
    <n v="14.333333333333334"/>
    <n v="1"/>
  </r>
  <r>
    <s v="Federated ID"/>
    <s v="megjohnson@montrose-env.com"/>
    <s v="montrose-env.com"/>
    <s v="megjohnson@montrose-env.com"/>
    <s v="Meghan"/>
    <s v="Johnson"/>
    <s v="US"/>
    <s v="8FE8269A67335CE00A495FC4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tweber@montrose-env.com"/>
    <s v="montrose-env.com"/>
    <s v="tweber@montrose-env.com"/>
    <s v="Thomas"/>
    <s v="Weber"/>
    <s v="US"/>
    <s v="90714EC867335D770A495E33@038d2aa263c9deeb495fea.e"/>
    <x v="2"/>
    <x v="0"/>
    <x v="0"/>
    <m/>
    <m/>
    <s v="USA - Stack - Northeast - G&amp;A"/>
    <m/>
    <m/>
    <m/>
    <m/>
    <s v="Acrobat Standard DC (VIPMP - 99C0A3088A102BD9CB4A)"/>
    <m/>
    <m/>
    <x v="121"/>
    <x v="121"/>
    <n v="8.6983333333333324"/>
    <n v="0"/>
    <n v="0"/>
    <n v="8.6983333333333324"/>
    <n v="1"/>
  </r>
  <r>
    <s v="Federated ID"/>
    <s v="BehnazLaFrenz@montrose-env.com"/>
    <s v="montrose-env.com"/>
    <s v="BehnazLaFrenz@montrose-env.com"/>
    <s v="Behnaz"/>
    <s v="LaFrenz"/>
    <s v="US"/>
    <s v="9CAD1B4C673398430A495FDE@038d2aa263c9deeb495fea.e"/>
    <x v="0"/>
    <x v="0"/>
    <x v="0"/>
    <m/>
    <m/>
    <s v="CAN - OGI - Operations"/>
    <m/>
    <m/>
    <m/>
    <m/>
    <m/>
    <m/>
    <m/>
    <x v="0"/>
    <x v="0"/>
    <n v="0"/>
    <n v="0"/>
    <n v="0"/>
    <n v="0"/>
    <m/>
  </r>
  <r>
    <s v="Federated ID"/>
    <s v="NicholasEyerman@montrose-env.com"/>
    <s v="montrose-env.com"/>
    <s v="NicholasEyerman@montrose-env.com"/>
    <s v="Nicholas"/>
    <s v="Eyerman"/>
    <s v="US"/>
    <s v="A0C91EDD6733BBAA0A495CCC@038d2aa263c9deeb495fea.e"/>
    <x v="0"/>
    <x v="0"/>
    <x v="0"/>
    <m/>
    <m/>
    <s v="USA - Environmental Consulting OH - G&amp;A"/>
    <m/>
    <m/>
    <m/>
    <m/>
    <m/>
    <m/>
    <m/>
    <x v="0"/>
    <x v="0"/>
    <n v="0"/>
    <n v="0"/>
    <n v="0"/>
    <n v="0"/>
    <m/>
  </r>
  <r>
    <s v="Federated ID"/>
    <s v="JaimeBach@montrose-env.com"/>
    <s v="montrose-env.com"/>
    <s v="JaimeBach@montrose-env.com"/>
    <s v="Jaime"/>
    <s v="Bach"/>
    <s v="US"/>
    <s v="C7D47C3D6734EF2B0A495EA6@038d2aa263c9deeb495fea.e"/>
    <x v="2"/>
    <x v="0"/>
    <x v="0"/>
    <m/>
    <m/>
    <s v="USA - Environmental Consulting - Oakland - Operations"/>
    <m/>
    <m/>
    <m/>
    <m/>
    <s v="Acrobat Standard DC (VIPMP - 99C0A3088A102BD9CB4A)"/>
    <m/>
    <m/>
    <x v="34"/>
    <x v="34"/>
    <n v="8.6983333333333324"/>
    <n v="0"/>
    <n v="0"/>
    <n v="8.6983333333333324"/>
    <n v="1"/>
  </r>
  <r>
    <s v="Federated ID"/>
    <s v="MatthewLaffey@montrose-env.com"/>
    <s v="montrose-env.com"/>
    <s v="MatthewLaffey@montrose-env.com"/>
    <s v="Matthew"/>
    <s v="Laffey"/>
    <s v="US"/>
    <s v="CD61269A673507AC0A495FC4@038d2aa263c9deeb495fea.e"/>
    <x v="1"/>
    <x v="0"/>
    <x v="0"/>
    <m/>
    <m/>
    <s v="USA - Sensible EDP - Denver - Operations"/>
    <m/>
    <m/>
    <m/>
    <m/>
    <s v="Acrobat Pro (VIPMP - 99C0A3088A102BD9CB4A)"/>
    <m/>
    <m/>
    <x v="61"/>
    <x v="61"/>
    <n v="14.333333333333334"/>
    <n v="0"/>
    <n v="0"/>
    <n v="14.333333333333334"/>
    <n v="1"/>
  </r>
  <r>
    <s v="Federated ID"/>
    <s v="willowfantino@montrose-env.com"/>
    <s v="montrose-env.com"/>
    <s v="willowfantino@montrose-env.com"/>
    <s v="Willow"/>
    <s v="Fantino"/>
    <s v="US"/>
    <s v="CB2E6565673512120A495ED9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KatieJones@montrose-env.com"/>
    <s v="montrose-env.com"/>
    <s v="KatieJones@montrose-env.com"/>
    <s v="Katie"/>
    <s v="Jones"/>
    <s v="US"/>
    <s v="CF24271467353C7E0A495FCF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TylerStill@montrose-env.com"/>
    <s v="montrose-env.com"/>
    <s v="TylerStill@montrose-env.com"/>
    <s v="Tyler"/>
    <s v="Still"/>
    <s v="US"/>
    <s v="E1A42B8D6735ED590A495E88@038d2aa263c9deeb495fea.e"/>
    <x v="2"/>
    <x v="0"/>
    <x v="0"/>
    <m/>
    <m/>
    <s v="USA - Environmental Consulting - Atlanta - Operations"/>
    <m/>
    <m/>
    <m/>
    <m/>
    <s v="Acrobat Standard DC (VIPMP - 99C0A3088A102BD9CB4A)"/>
    <m/>
    <m/>
    <x v="78"/>
    <x v="78"/>
    <n v="8.6983333333333324"/>
    <n v="0"/>
    <n v="0"/>
    <n v="8.6983333333333324"/>
    <n v="1"/>
  </r>
  <r>
    <s v="Federated ID"/>
    <s v="SarahRhem@enthalpy.com"/>
    <s v="enthalpy.com"/>
    <s v="SarahRhem@enthalpy.com"/>
    <s v="Sarah"/>
    <s v="Rhem"/>
    <s v="US"/>
    <s v="E7EA42DE6736110D0A495C99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ext-ElizabethKoren@montrose-env.com"/>
    <s v="montrose-env.com"/>
    <s v="ext-elizabethkoren@montrose-env.com"/>
    <s v="Elizabeth"/>
    <s v="Korenblat"/>
    <s v="US"/>
    <s v="72281D90673B54CC0A495EFD@038d2aa263c9deeb495fea.e"/>
    <x v="0"/>
    <x v="0"/>
    <x v="0"/>
    <m/>
    <m/>
    <s v="USA - Corp - Global Business Services"/>
    <m/>
    <m/>
    <m/>
    <m/>
    <m/>
    <m/>
    <m/>
    <x v="0"/>
    <x v="0"/>
    <n v="0"/>
    <n v="0"/>
    <n v="0"/>
    <n v="0"/>
    <m/>
  </r>
  <r>
    <s v="Federated ID"/>
    <s v="frstach@montrose-env.com"/>
    <s v="montrose-env.com"/>
    <s v="frstach@montrose-env.com"/>
    <s v="Francisco"/>
    <s v="Stach"/>
    <s v="US"/>
    <s v="77821E5D673B6E450A495C33@038d2aa263c9deeb495fea.e"/>
    <x v="0"/>
    <x v="0"/>
    <x v="0"/>
    <m/>
    <m/>
    <s v="USA - Environmental Consulting - Orlando - Operations"/>
    <m/>
    <m/>
    <m/>
    <m/>
    <m/>
    <m/>
    <m/>
    <x v="0"/>
    <x v="0"/>
    <n v="0"/>
    <n v="0"/>
    <n v="0"/>
    <n v="0"/>
    <m/>
  </r>
  <r>
    <s v="Federated ID"/>
    <s v="JosephNicosia@montrose-env.com"/>
    <s v="montrose-env.com"/>
    <s v="JosephNicosia@montrose-env.com"/>
    <s v="Joseph"/>
    <s v="Nicosia"/>
    <s v="US"/>
    <s v="7D3F1E58673B92F00A495CC4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abeldhose@montrose-env.com"/>
    <s v="montrose-env.com"/>
    <s v="abeldhose@montrose-env.com"/>
    <s v="Abin"/>
    <s v="Eldhose"/>
    <s v="US"/>
    <s v="7D3B1D90673BAFA00A495EFD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alpaterson@montrose-env.com"/>
    <s v="montrose-env.com"/>
    <s v="alpaterson@montrose-env.com"/>
    <s v="Alan"/>
    <s v="Paterson"/>
    <s v="US"/>
    <s v="7B151DCC673BAFA10A495C0D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camorrison@montrose-env.com"/>
    <s v="montrose-env.com"/>
    <s v="camorrison@montrose-env.com"/>
    <s v="Carter"/>
    <s v="Morrison"/>
    <s v="US"/>
    <s v="7E7F1E84673BAFA10A495CF1@038d2aa263c9deeb495fea.e"/>
    <x v="1"/>
    <x v="0"/>
    <x v="0"/>
    <m/>
    <m/>
    <s v="CAN - OGI - Operations"/>
    <m/>
    <m/>
    <m/>
    <m/>
    <s v="Acrobat Pro (VIPMP - 99C0A3088A102BD9CB4A)"/>
    <m/>
    <m/>
    <x v="94"/>
    <x v="94"/>
    <n v="14.333333333333334"/>
    <n v="0"/>
    <n v="0"/>
    <n v="14.333333333333334"/>
    <n v="1"/>
  </r>
  <r>
    <s v="Federated ID"/>
    <s v="crmackenzie@montrose-env.com"/>
    <s v="montrose-env.com"/>
    <s v="crmackenzie@montrose-env.com"/>
    <s v="Craig"/>
    <s v="Mackenzie"/>
    <s v="US"/>
    <s v="7BAD1E64673BAFA10A495C8F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saawad@montrose-env.com"/>
    <s v="montrose-env.com"/>
    <s v="saawad@montrose-env.com"/>
    <s v="Sam"/>
    <s v="Awad"/>
    <s v="US"/>
    <s v="7C021E63673BAFA20A495E8C@038d2aa263c9deeb495fea.e"/>
    <x v="0"/>
    <x v="0"/>
    <x v="0"/>
    <m/>
    <m/>
    <s v="CAN - OGI - Operations"/>
    <m/>
    <m/>
    <m/>
    <m/>
    <m/>
    <m/>
    <m/>
    <x v="0"/>
    <x v="0"/>
    <n v="0"/>
    <n v="0"/>
    <n v="0"/>
    <n v="0"/>
    <m/>
  </r>
  <r>
    <s v="Federated ID"/>
    <s v="miglackin@montrose-env.com"/>
    <s v="montrose-env.com"/>
    <s v="miglackin@montrose-env.com"/>
    <s v="Michael"/>
    <s v="Glackin"/>
    <s v="US"/>
    <s v="7E1B1E55673BAFA30A495C85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SpencerWilson@montrose-env.com"/>
    <s v="montrose-env.com"/>
    <s v="SpencerWilson@montrose-env.com"/>
    <s v="Spencer"/>
    <s v="Wilson"/>
    <s v="US"/>
    <s v="AA7B1E6F673D78C50A495FBF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sagozdor@montrose-env.com"/>
    <s v="montrose-env.com"/>
    <s v="sagozdor@montrose-env.com"/>
    <s v="Sara"/>
    <s v="Gozdor"/>
    <s v="US"/>
    <s v="BFB31E82673E01590A495FA2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CloeeGrainger@montrose-env.com"/>
    <s v="montrose-env.com"/>
    <s v="CloeeGrainger@montrose-env.com"/>
    <s v="Cloee"/>
    <s v="Grainger"/>
    <s v="US"/>
    <s v="C3771E5D673E26A80A495E09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anthonymorelan@montrose-env.com"/>
    <s v="montrose-env.com"/>
    <s v="anthonymorelan@montrose-env.com"/>
    <s v="Anthony"/>
    <s v="Morelan"/>
    <s v="US"/>
    <s v="CCC21DAA673E407C0A495C10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RussellTrutane@montrose-env.com"/>
    <s v="montrose-env.com"/>
    <s v="russelltrutane@montrose-env.com"/>
    <s v="Russell"/>
    <s v="Trutane"/>
    <s v="US"/>
    <s v="C67F1E7F673E41390A495EB3@038d2aa263c9deeb495fea.e"/>
    <x v="2"/>
    <x v="0"/>
    <x v="0"/>
    <m/>
    <m/>
    <s v="USA - Stack - Antioch - Operations"/>
    <m/>
    <m/>
    <m/>
    <m/>
    <s v="Acrobat Standard DC (VIPMP - 99C0A3088A102BD9CB4A)"/>
    <m/>
    <m/>
    <x v="19"/>
    <x v="19"/>
    <n v="8.6983333333333324"/>
    <n v="0"/>
    <n v="0"/>
    <n v="8.6983333333333324"/>
    <n v="1"/>
  </r>
  <r>
    <s v="Federated ID"/>
    <s v="lgoodman@montrose-env.com"/>
    <s v="montrose-env.com"/>
    <s v="lgoodman@montrose-env.com"/>
    <s v="Lucas"/>
    <s v="Goodman"/>
    <s v="US"/>
    <s v="C5321E88673E41890A495CDD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HannahSpiegel@montrose-env.com"/>
    <s v="montrose-env.com"/>
    <s v="HannahSpiegel@montrose-env.com"/>
    <s v="Hannah"/>
    <s v="Spiegel"/>
    <s v="US"/>
    <s v="CA381E8A673E4A3F0A495C65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dhahangama@montrose-env.com"/>
    <s v="montrose-env.com"/>
    <s v="dhahangama@montrose-env.com"/>
    <s v="Dasni"/>
    <s v="Ahangama"/>
    <s v="US"/>
    <s v="03BE1D8C673E76B60A495FED@038d2aa263c9deeb495fea.e"/>
    <x v="0"/>
    <x v="0"/>
    <x v="0"/>
    <m/>
    <m/>
    <s v="USA - Environmental Consulting - Santa Ana (P&amp;C) - Operations"/>
    <m/>
    <m/>
    <m/>
    <m/>
    <m/>
    <m/>
    <m/>
    <x v="0"/>
    <x v="0"/>
    <n v="0"/>
    <n v="0"/>
    <n v="0"/>
    <n v="0"/>
    <m/>
  </r>
  <r>
    <s v="Federated ID"/>
    <s v="tstrefiak@montrose-env.com"/>
    <s v="montrose-env.com"/>
    <s v="tstrefiak@montrose-env.com"/>
    <s v="Tobey"/>
    <s v="Trefiak"/>
    <s v="US"/>
    <s v="19D11D8A673F43F40A495C4B@038d2aa263c9deeb495fea.e"/>
    <x v="1"/>
    <x v="0"/>
    <x v="0"/>
    <m/>
    <m/>
    <s v="CAN - Air Quality - OH - Finance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SaraCaudle@montrose-env.com"/>
    <s v="montrose-env.com"/>
    <s v="SaraCaudle@montrose-env.com"/>
    <s v="Sara"/>
    <s v="Caudle"/>
    <s v="US"/>
    <s v="B1911D8A6744D9360A495C4B@038d2aa263c9deeb495fea.e"/>
    <x v="1"/>
    <x v="0"/>
    <x v="0"/>
    <m/>
    <m/>
    <s v="USA - Environmental Consulting OH - Financ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BoseHillin@montrose-env.com"/>
    <s v="montrose-env.com"/>
    <s v="BoseHillin@montrose-env.com"/>
    <s v="Bose"/>
    <s v="Hillin"/>
    <s v="US"/>
    <s v="D2251D8B6745D0260A495E4D@038d2aa263c9deeb495fea.e"/>
    <x v="2"/>
    <x v="0"/>
    <x v="0"/>
    <m/>
    <m/>
    <s v="USA - OGI - Operations"/>
    <m/>
    <m/>
    <m/>
    <m/>
    <s v="Acrobat Standard DC (VIPMP - 99C0A3088A102BD9CB4A)"/>
    <m/>
    <m/>
    <x v="30"/>
    <x v="30"/>
    <n v="8.6983333333333324"/>
    <n v="0"/>
    <n v="0"/>
    <n v="8.6983333333333324"/>
    <n v="1"/>
  </r>
  <r>
    <s v="Federated ID"/>
    <s v="YolandaDeAnda@montrose-env.com"/>
    <s v="montrose-env.com"/>
    <s v="YolandaDeAnda@montrose-env.com"/>
    <s v="Yolanda"/>
    <s v="DeAnda"/>
    <s v="US"/>
    <s v="E3321D8667460B730A495C27@038d2aa263c9deeb495fea.e"/>
    <x v="1"/>
    <x v="0"/>
    <x v="0"/>
    <m/>
    <m/>
    <s v="USA - Corp - HR"/>
    <m/>
    <m/>
    <m/>
    <m/>
    <s v="Acrobat Pro (VIPMP - 99C0A3088A102BD9CB4A)"/>
    <m/>
    <m/>
    <x v="29"/>
    <x v="29"/>
    <n v="14.333333333333334"/>
    <n v="0"/>
    <n v="0"/>
    <n v="14.333333333333334"/>
    <n v="1"/>
  </r>
  <r>
    <s v="Federated ID"/>
    <s v="ScottWilliamson@montrose-env.com"/>
    <s v="montrose-env.com"/>
    <s v="ScottWilliamson@montrose-env.com"/>
    <s v="Scott"/>
    <s v="Williamson"/>
    <s v="US"/>
    <s v="DFF31DB267460FCB0A495E6D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JessicaWalsh@montrose-env.com"/>
    <s v="montrose-env.com"/>
    <s v="JessicaWalsh@montrose-env.com"/>
    <s v="Jessica"/>
    <s v="Walsh"/>
    <s v="US"/>
    <s v="DB251D8D6746146C0A495C68@038d2aa263c9deeb495fea.e"/>
    <x v="1"/>
    <x v="3"/>
    <x v="0"/>
    <m/>
    <m/>
    <s v="USA - Environmental Consulting - Oakland - Operations"/>
    <m/>
    <m/>
    <m/>
    <m/>
    <s v="Acrobat Pro (VIPMP - 99C0A3088A102BD9CB4A),Illustrator (VIPMP - 99C0A3088A102BD9CB4A)"/>
    <m/>
    <m/>
    <x v="1"/>
    <x v="1"/>
    <n v="14.333333333333334"/>
    <n v="36.357500000000002"/>
    <n v="0"/>
    <n v="50.690833333333337"/>
    <n v="1"/>
  </r>
  <r>
    <s v="Federated ID"/>
    <s v="CatherineMessecar@enthalpy.com"/>
    <s v="enthalpy.com"/>
    <s v="CatherineMessecar@enthalpy.com"/>
    <s v="Catherine"/>
    <s v="Messecar"/>
    <s v="US"/>
    <s v="DF231DA6674626FF0A495FEB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Zubeda.Taj@enthalpy.com"/>
    <s v="enthalpy.com"/>
    <s v="Zubeda.Taj@enthalpy.com"/>
    <s v="Zubeda"/>
    <s v="Taj"/>
    <s v="US"/>
    <s v="E7291EEB6746336C0A495E4E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fbarton@montrose-env.com"/>
    <s v="montrose-env.com"/>
    <s v="fbarton@montrose-env.com"/>
    <s v="Frank"/>
    <s v="Barton"/>
    <s v="US"/>
    <s v="C46F1D88674DF96C0A495E5C@038d2aa263c9deeb495fea.e"/>
    <x v="1"/>
    <x v="0"/>
    <x v="0"/>
    <m/>
    <m/>
    <s v="USA - Stack - Northeast - Operations"/>
    <m/>
    <m/>
    <m/>
    <m/>
    <s v="Acrobat Pro (VIPMP - 99C0A3088A102BD9CB4A)"/>
    <m/>
    <m/>
    <x v="84"/>
    <x v="84"/>
    <n v="14.333333333333334"/>
    <n v="0"/>
    <n v="0"/>
    <n v="14.333333333333334"/>
    <n v="1"/>
  </r>
  <r>
    <s v="Federated ID"/>
    <s v="MikhailDereviankin@montrose-env.com"/>
    <s v="montrose-env.com"/>
    <s v="mikedereviankin@montrose-env.com"/>
    <s v="Mike"/>
    <s v="Dereviankin"/>
    <s v="US"/>
    <s v="C45C1D8D674E18170A495C84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ameliajensen@enthalpy.com"/>
    <s v="enthalpy.com"/>
    <s v="ameliajensen@enthalpy.com"/>
    <s v="Amelia"/>
    <s v="Jensen"/>
    <s v="US"/>
    <s v="CCEE1D8E674E32760A495E8A@038d2aa263c9deeb495fea.e"/>
    <x v="0"/>
    <x v="0"/>
    <x v="0"/>
    <m/>
    <m/>
    <s v="USA - Env Lab - Denver - Operations"/>
    <m/>
    <m/>
    <m/>
    <m/>
    <m/>
    <m/>
    <m/>
    <x v="0"/>
    <x v="0"/>
    <n v="0"/>
    <n v="0"/>
    <n v="0"/>
    <n v="0"/>
    <m/>
  </r>
  <r>
    <s v="Federated ID"/>
    <s v="RichieBlessing@montrose-env.com"/>
    <s v="montrose-env.com"/>
    <s v="RichieBlessing@montrose-env.com"/>
    <s v="Richie"/>
    <s v="Blessing"/>
    <s v="US"/>
    <s v="FC4C1D84674F4ECB0A495C76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joszekel@montrose-env.com"/>
    <s v="montrose-env.com"/>
    <s v="joszekel@montrose-env.com"/>
    <s v="Joel"/>
    <s v="Szekel"/>
    <s v="US"/>
    <s v="035E1D86674FAB820A495E4C@038d2aa263c9deeb495fea.e"/>
    <x v="1"/>
    <x v="0"/>
    <x v="0"/>
    <m/>
    <m/>
    <s v="USA - Corp - M&amp;A"/>
    <m/>
    <m/>
    <m/>
    <m/>
    <s v="Acrobat Pro (VIPMP - 99C0A3088A102BD9CB4A)"/>
    <m/>
    <m/>
    <x v="122"/>
    <x v="122"/>
    <n v="14.333333333333334"/>
    <n v="0"/>
    <n v="0"/>
    <n v="14.333333333333334"/>
    <n v="1"/>
  </r>
  <r>
    <s v="Federated ID"/>
    <s v="MadeleneLockner@montrose-env.com"/>
    <s v="montrose-env.com"/>
    <s v="madelenelockner@montrose-env.com"/>
    <s v="Madelene"/>
    <s v="Lockner"/>
    <s v="US"/>
    <s v="4CB61DA86751E78B0A495E91@038d2aa263c9deeb495fea.e"/>
    <x v="1"/>
    <x v="0"/>
    <x v="0"/>
    <m/>
    <m/>
    <s v="USA - Advisory Services – Two Dot – Operations"/>
    <m/>
    <m/>
    <m/>
    <m/>
    <s v="Acrobat Pro (VIPMP - 99C0A3088A102BD9CB4A)"/>
    <m/>
    <m/>
    <x v="96"/>
    <x v="96"/>
    <n v="14.333333333333334"/>
    <n v="0"/>
    <n v="0"/>
    <n v="14.333333333333334"/>
    <n v="1"/>
  </r>
  <r>
    <s v="Federated ID"/>
    <s v="joe.espinosa@enthalpy.com"/>
    <s v="enthalpy.com"/>
    <s v="joe.espinosa@enthalpy.com"/>
    <s v="Joe"/>
    <s v="Espinosa"/>
    <s v="US"/>
    <s v="5F8B1D92675215A70A495E17@038d2aa263c9deeb495fea.e"/>
    <x v="1"/>
    <x v="0"/>
    <x v="0"/>
    <m/>
    <m/>
    <s v="USA - Env Lab - Houston - Operations"/>
    <m/>
    <m/>
    <m/>
    <m/>
    <s v="Acrobat Pro (VIPMP - 99C0A3088A102BD9CB4A)"/>
    <m/>
    <m/>
    <x v="80"/>
    <x v="80"/>
    <n v="14.333333333333334"/>
    <n v="0"/>
    <n v="0"/>
    <n v="14.333333333333334"/>
    <n v="1"/>
  </r>
  <r>
    <s v="Federated ID"/>
    <s v="JonathanAlker@montrose-env.com"/>
    <s v="montrose-env.com"/>
    <s v="jonathanalker@montrose-env.com"/>
    <s v="Jonathan"/>
    <s v="Alker"/>
    <s v="US"/>
    <s v="2C671E72675358210A495E2E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LindseyJackson@montrose-env.com"/>
    <s v="montrose-env.com"/>
    <s v="LindseyJackson@montrose-env.com"/>
    <s v="Lindsey"/>
    <s v="Jackson"/>
    <s v="US"/>
    <s v="2B141E95675363640A495F84@038d2aa263c9deeb495fea.e"/>
    <x v="0"/>
    <x v="0"/>
    <x v="0"/>
    <m/>
    <m/>
    <s v="USA - Corp - Global Business Services"/>
    <m/>
    <m/>
    <m/>
    <m/>
    <m/>
    <m/>
    <m/>
    <x v="0"/>
    <x v="0"/>
    <n v="0"/>
    <n v="0"/>
    <n v="0"/>
    <n v="0"/>
    <m/>
  </r>
  <r>
    <s v="Federated ID"/>
    <s v="TamelaMiller@montrose-env.com"/>
    <s v="montrose-env.com"/>
    <s v="TamelaMiller@montrose-env.com"/>
    <s v="Tamela"/>
    <s v="Miller"/>
    <s v="US"/>
    <s v="D1781E756758BB7B0A495FA4@038d2aa263c9deeb495fea.e"/>
    <x v="1"/>
    <x v="0"/>
    <x v="0"/>
    <m/>
    <m/>
    <s v="USA - Environmental Consulting OH - Financ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RachelCarrara@montrose-env.com"/>
    <s v="montrose-env.com"/>
    <s v="rachelcarrara@montrose-env.com"/>
    <s v="Rachel"/>
    <s v="Carrara"/>
    <s v="US"/>
    <s v="FCB21E976759FB660A495FE7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NoahWallick@montrose-env.com"/>
    <s v="montrose-env.com"/>
    <s v="NoahWallick@montrose-env.com"/>
    <s v="Noah"/>
    <s v="Wallick"/>
    <s v="US"/>
    <s v="03321E76675A02320A495C2E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RachelBryant@montrose-env.com"/>
    <s v="montrose-env.com"/>
    <s v="RachelBryant@montrose-env.com"/>
    <s v="Rachel Bryant"/>
    <m/>
    <s v="US"/>
    <s v="4A1A1E93675C4D990A495F8A@038d2aa263c9deeb495fea.e"/>
    <x v="1"/>
    <x v="0"/>
    <x v="0"/>
    <m/>
    <m/>
    <s v="USA - Environmental Consulting OH - Financ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PatrickLaine@montrose-env.com"/>
    <s v="montrose-env.com"/>
    <s v="PatrickLaine@montrose-env.com"/>
    <s v="Patrick"/>
    <s v="Laine"/>
    <s v="US"/>
    <s v="650D1E76676583D40A495FD0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TammyHovey@montrose-env.com"/>
    <s v="montrose-env.com"/>
    <s v="TammyHovey@montrose-env.com"/>
    <s v="Tammy"/>
    <s v="Hovey"/>
    <s v="US"/>
    <s v="D5D71E77676AB0FF0A495CBD@038d2aa263c9deeb495fea.e"/>
    <x v="2"/>
    <x v="0"/>
    <x v="0"/>
    <m/>
    <m/>
    <s v="USA - Corp - Marketing"/>
    <m/>
    <m/>
    <m/>
    <m/>
    <s v="Acrobat Standard DC (VIPMP - 99C0A3088A102BD9CB4A)"/>
    <m/>
    <m/>
    <x v="44"/>
    <x v="44"/>
    <n v="8.6983333333333324"/>
    <n v="0"/>
    <n v="0"/>
    <n v="8.6983333333333324"/>
    <n v="1"/>
  </r>
  <r>
    <s v="Federated ID"/>
    <s v="JordanBessent@montrose-env.com"/>
    <s v="montrose-env.com"/>
    <s v="JordanBessent@montrose-env.com"/>
    <s v="Jordan"/>
    <s v="Bessent"/>
    <s v="US"/>
    <s v="E0E51E76676AE38B0A495FD0@038d2aa263c9deeb495fea.e"/>
    <x v="0"/>
    <x v="0"/>
    <x v="0"/>
    <m/>
    <m/>
    <s v="USA - Advisory Services – Two Dot – Operations"/>
    <m/>
    <m/>
    <m/>
    <m/>
    <m/>
    <m/>
    <m/>
    <x v="0"/>
    <x v="0"/>
    <n v="0"/>
    <n v="0"/>
    <n v="0"/>
    <n v="0"/>
    <m/>
  </r>
  <r>
    <s v="Federated ID"/>
    <s v="JeffreyFinken@montrose-env.com"/>
    <s v="montrose-env.com"/>
    <s v="JeffreyFinken@montrose-env.com"/>
    <s v="Jeffrey"/>
    <s v="Finken"/>
    <s v="US"/>
    <s v="1D0D1E80676D92210A495CD3@038d2aa263c9deeb495fea.e"/>
    <x v="1"/>
    <x v="0"/>
    <x v="0"/>
    <m/>
    <m/>
    <s v="USA - Corp - Financial Systems"/>
    <m/>
    <m/>
    <m/>
    <m/>
    <s v="Acrobat Pro (VIPMP - 99C0A3088A102BD9CB4A)"/>
    <m/>
    <m/>
    <x v="70"/>
    <x v="70"/>
    <n v="14.333333333333334"/>
    <n v="0"/>
    <n v="0"/>
    <n v="14.333333333333334"/>
    <n v="1"/>
  </r>
  <r>
    <s v="Federated ID"/>
    <s v="SandraWenger@montrose-env.com"/>
    <s v="montrose-env.com"/>
    <s v="SandraWenger@montrose-env.com"/>
    <s v="Sandra"/>
    <s v="Wenger"/>
    <s v="US"/>
    <s v="1F561E72676D93C90A495E2E@038d2aa263c9deeb495fea.e"/>
    <x v="1"/>
    <x v="0"/>
    <x v="0"/>
    <m/>
    <m/>
    <s v="CAN - Consulting &amp; Engineering OH - HR"/>
    <m/>
    <m/>
    <m/>
    <m/>
    <s v="Acrobat Pro (VIPMP - 99C0A3088A102BD9CB4A)"/>
    <m/>
    <m/>
    <x v="105"/>
    <x v="105"/>
    <n v="14.333333333333334"/>
    <n v="0"/>
    <n v="0"/>
    <n v="14.333333333333334"/>
    <n v="1"/>
  </r>
  <r>
    <s v="Federated ID"/>
    <s v="cam.pham@enthalpy.com"/>
    <s v="enthalpy.com"/>
    <s v="cam.pham@enthalpy.com"/>
    <s v="Cam"/>
    <s v="Pham"/>
    <s v="US"/>
    <s v="16FB1E75676D96A20A495E9B@038d2aa263c9deeb495fea.e"/>
    <x v="1"/>
    <x v="0"/>
    <x v="0"/>
    <m/>
    <m/>
    <s v="USA - Labs - OH - G&amp;A"/>
    <m/>
    <m/>
    <m/>
    <m/>
    <s v="Acrobat Pro (VIPMP - 99C0A3088A102BD9CB4A)"/>
    <m/>
    <m/>
    <x v="43"/>
    <x v="43"/>
    <n v="14.333333333333334"/>
    <n v="0"/>
    <n v="0"/>
    <n v="14.333333333333334"/>
    <n v="1"/>
  </r>
  <r>
    <s v="Federated ID"/>
    <s v="HaleySpencer@montrose-env.com"/>
    <s v="montrose-env.com"/>
    <s v="HaleySpencer@montrose-env.com"/>
    <s v="Haley"/>
    <s v="Spencer"/>
    <s v="US"/>
    <s v="165D1E80676DBE870A495E6A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enoczuniga@montrose-env.com"/>
    <s v="montrose-env.com"/>
    <s v="enoczuniga@montrose-env.com"/>
    <s v="Enoc"/>
    <s v="Zuniga"/>
    <s v="US"/>
    <s v="39CD1E6E676EFA4D0A495E24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PenelopeMendoza@montrose-env.com"/>
    <s v="montrose-env.com"/>
    <s v="PenelopeMendoza@montrose-env.com"/>
    <s v="Penelope"/>
    <s v="Mendoza"/>
    <s v="US"/>
    <s v="8F771E736773094A0A495F89@038d2aa263c9deeb495fea.e"/>
    <x v="0"/>
    <x v="0"/>
    <x v="0"/>
    <m/>
    <m/>
    <s v="USA - Sensible EDP - Austin - Operations"/>
    <m/>
    <m/>
    <m/>
    <m/>
    <m/>
    <m/>
    <m/>
    <x v="0"/>
    <x v="0"/>
    <n v="0"/>
    <n v="0"/>
    <n v="0"/>
    <n v="0"/>
    <m/>
  </r>
  <r>
    <s v="Federated ID"/>
    <s v="OliviaWoker@montrose-env.com"/>
    <s v="montrose-env.com"/>
    <s v="OliviaWoker@montrose-env.com"/>
    <s v="Olivia"/>
    <s v="Woker"/>
    <s v="US"/>
    <s v="9F691E796773DF830A495CDE@038d2aa263c9deeb495fea.e"/>
    <x v="1"/>
    <x v="0"/>
    <x v="0"/>
    <m/>
    <m/>
    <s v="USA - Advisory Services – Two Dot –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PaxtonDayton@montrose-env.com"/>
    <s v="montrose-env.com"/>
    <s v="PaxtonDayton@montrose-env.com"/>
    <s v="Paxton"/>
    <s v="Dayton"/>
    <s v="US"/>
    <s v="A41B1EA06773E3C00A495CF3@038d2aa263c9deeb495fea.e"/>
    <x v="1"/>
    <x v="0"/>
    <x v="0"/>
    <m/>
    <m/>
    <s v="USA - Environmental Consulting - Charlottesville - Operations"/>
    <m/>
    <m/>
    <m/>
    <m/>
    <s v="Acrobat Pro (VIPMP - 99C0A3088A102BD9CB4A)"/>
    <m/>
    <m/>
    <x v="81"/>
    <x v="81"/>
    <n v="14.333333333333334"/>
    <n v="0"/>
    <n v="0"/>
    <n v="14.333333333333334"/>
    <n v="1"/>
  </r>
  <r>
    <s v="Federated ID"/>
    <s v="timothybuchanan@enthalpy.com"/>
    <s v="enthalpy.com"/>
    <s v="timothybuchanan@enthalpy.com"/>
    <s v="Timothy"/>
    <s v="Buchanan"/>
    <s v="US"/>
    <s v="A5491E97677421BB0A495FE7@038d2aa263c9deeb495fea.e"/>
    <x v="1"/>
    <x v="0"/>
    <x v="0"/>
    <m/>
    <m/>
    <s v="USA - Env Lab - Denver - Operations"/>
    <m/>
    <m/>
    <m/>
    <m/>
    <s v="Acrobat Pro (VIPMP - 99C0A3088A102BD9CB4A)"/>
    <m/>
    <m/>
    <x v="123"/>
    <x v="123"/>
    <n v="14.333333333333334"/>
    <n v="0"/>
    <n v="0"/>
    <n v="14.333333333333334"/>
    <n v="1"/>
  </r>
  <r>
    <s v="Federated ID"/>
    <s v="SarahKrebsbach@montrose-env.com"/>
    <s v="montrose-env.com"/>
    <s v="SarahKrebsbach@montrose-env.com"/>
    <s v="Sarah"/>
    <s v="Krebsbach"/>
    <s v="US"/>
    <s v="F65E1EA067771F460A495CF3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Federated ID"/>
    <s v="MonicaGonzalez@montrose-env.com"/>
    <s v="montrose-env.com"/>
    <s v="monicagonzalez@montrose-env.com"/>
    <s v="Monica"/>
    <s v="Gonzalez"/>
    <s v="US"/>
    <s v="463C4FFD6777609F0A495F9B@038d2aa263c9deeb495fea.e"/>
    <x v="1"/>
    <x v="0"/>
    <x v="0"/>
    <m/>
    <m/>
    <s v="USA - Environmental Consulting OH - HR"/>
    <m/>
    <m/>
    <m/>
    <m/>
    <s v="Acrobat Pro (VIPMP - 99C0A3088A102BD9CB4A)"/>
    <m/>
    <m/>
    <x v="83"/>
    <x v="83"/>
    <n v="14.333333333333334"/>
    <n v="0"/>
    <n v="0"/>
    <n v="14.333333333333334"/>
    <n v="1"/>
  </r>
  <r>
    <s v="Federated ID"/>
    <s v="eleveland@montrose-env.com"/>
    <s v="montrose-env.com"/>
    <s v="eleveland@montrose-env.com"/>
    <s v="Ellen"/>
    <s v="Eveland"/>
    <s v="US"/>
    <s v="373E1E95677AE2470A495EDF@038d2aa263c9deeb495fea.e"/>
    <x v="1"/>
    <x v="0"/>
    <x v="0"/>
    <m/>
    <m/>
    <s v="USA - Environmental Consulting - Tampa - G&amp;A"/>
    <m/>
    <m/>
    <m/>
    <m/>
    <s v="Acrobat Pro (VIPMP - 99C0A3088A102BD9CB4A)"/>
    <m/>
    <m/>
    <x v="124"/>
    <x v="124"/>
    <n v="14.333333333333334"/>
    <n v="0"/>
    <n v="0"/>
    <n v="14.333333333333334"/>
    <n v="1"/>
  </r>
  <r>
    <s v="Federated ID"/>
    <s v="AlanMiller@montrose-env.com"/>
    <s v="montrose-env.com"/>
    <s v="AlanMiller@montrose-env.com"/>
    <s v="Alan"/>
    <s v="Miller"/>
    <s v="US"/>
    <s v="6CFE1EA0677C081F0A495CF3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125"/>
    <x v="125"/>
    <n v="14.333333333333334"/>
    <n v="0"/>
    <n v="0"/>
    <n v="14.333333333333334"/>
    <n v="1"/>
  </r>
  <r>
    <s v="Federated ID"/>
    <s v="DavinderSingh@montrose-env.com"/>
    <s v="montrose-env.com"/>
    <s v="DavinderSingh@montrose-env.com"/>
    <s v="Davinder"/>
    <s v="Singh"/>
    <s v="US"/>
    <s v="6A091EB6677C1CAC0A495FC3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CarolynBrown@montrose-env.com"/>
    <s v="montrose-env.com"/>
    <s v="CarolynBrown@montrose-env.com"/>
    <s v="Carolyn"/>
    <s v="Brown"/>
    <s v="US"/>
    <s v="671A1ED6677C48970A495FBB@038d2aa263c9deeb495fea.e"/>
    <x v="0"/>
    <x v="0"/>
    <x v="0"/>
    <m/>
    <m/>
    <s v="USA - Advisory Services – Two Dot – Operations"/>
    <m/>
    <m/>
    <m/>
    <m/>
    <m/>
    <m/>
    <m/>
    <x v="0"/>
    <x v="0"/>
    <n v="0"/>
    <n v="0"/>
    <n v="0"/>
    <n v="0"/>
    <m/>
  </r>
  <r>
    <s v="Federated ID"/>
    <s v="MichaelBarrientez@montrose-env.com"/>
    <s v="montrose-env.com"/>
    <s v="MichaelBarrientez@montrose-env.com"/>
    <s v="Michael"/>
    <s v="Barrientez"/>
    <s v="US"/>
    <s v="67041E7D677C5A1E0A495E78@038d2aa263c9deeb495fea.e"/>
    <x v="0"/>
    <x v="0"/>
    <x v="0"/>
    <m/>
    <m/>
    <s v="USA - Environmental Consulting - Environmental Intelligence - Operations"/>
    <m/>
    <m/>
    <m/>
    <m/>
    <m/>
    <m/>
    <m/>
    <x v="0"/>
    <x v="0"/>
    <n v="0"/>
    <n v="0"/>
    <n v="0"/>
    <n v="0"/>
    <m/>
  </r>
  <r>
    <s v="Federated ID"/>
    <s v="serubalcava@montrose-env.com"/>
    <s v="montrose-env.com"/>
    <s v="serubalcava@montrose-env.com"/>
    <s v="Sergio"/>
    <s v="Rubalcava"/>
    <s v="US"/>
    <s v="A35E1E77677DFEF00A495C2C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TomLyons@montrose-env.com"/>
    <s v="montrose-env.com"/>
    <s v="TomLyons@montrose-env.com"/>
    <s v="Tom"/>
    <s v="Lyons"/>
    <s v="US"/>
    <s v="C40C1E95677EE0B30A495F84@038d2aa263c9deeb495fea.e"/>
    <x v="1"/>
    <x v="0"/>
    <x v="0"/>
    <m/>
    <m/>
    <s v="USA - Stack - Northeast - Operations"/>
    <m/>
    <m/>
    <m/>
    <m/>
    <s v="Acrobat Pro (VIPMP - 99C0A3088A102BD9CB4A)"/>
    <m/>
    <m/>
    <x v="84"/>
    <x v="84"/>
    <n v="14.333333333333334"/>
    <n v="0"/>
    <n v="0"/>
    <n v="14.333333333333334"/>
    <n v="1"/>
  </r>
  <r>
    <s v="Federated ID"/>
    <s v="angiraud@montrose-env.com"/>
    <s v="montrose-env.com"/>
    <s v="angiraud@montrose-env.com"/>
    <s v="Angelique"/>
    <s v="Giraud"/>
    <s v="US"/>
    <s v="1B1D1ED9677FEFC50A495EE7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AlexisAnderson@montrose-env.com"/>
    <s v="montrose-env.com"/>
    <s v="AlexisAnderson@montrose-env.com"/>
    <s v="Alexis"/>
    <s v="Anderson"/>
    <s v="US"/>
    <s v="23661F09678003040A495EE6@038d2aa263c9deeb495fea.e"/>
    <x v="0"/>
    <x v="0"/>
    <x v="0"/>
    <m/>
    <m/>
    <s v="USA - Advisory Services - Two Dot - Operations"/>
    <m/>
    <m/>
    <m/>
    <m/>
    <m/>
    <m/>
    <m/>
    <x v="0"/>
    <x v="0"/>
    <n v="0"/>
    <n v="0"/>
    <n v="0"/>
    <n v="0"/>
    <m/>
  </r>
  <r>
    <s v="Federated ID"/>
    <s v="kabolin@montrose-env.com"/>
    <s v="montrose-env.com"/>
    <s v="kabolin@montrose-env.com"/>
    <s v="Kayla"/>
    <s v="Bolin"/>
    <s v="US"/>
    <s v="21F81F1467800EA90A495F9C@038d2aa263c9deeb495fea.e"/>
    <x v="0"/>
    <x v="0"/>
    <x v="0"/>
    <m/>
    <m/>
    <s v="USA - Environmental Consulting - Valley Forge - Operations"/>
    <m/>
    <m/>
    <m/>
    <m/>
    <m/>
    <m/>
    <m/>
    <x v="0"/>
    <x v="0"/>
    <n v="0"/>
    <n v="0"/>
    <n v="0"/>
    <n v="0"/>
    <m/>
  </r>
  <r>
    <s v="Federated ID"/>
    <s v="KatherineGotlinger@enthalpy.com"/>
    <s v="enthalpy.com"/>
    <s v="KatherineGotlinger@enthalpy.com"/>
    <s v="Katherine"/>
    <s v="Gottlinger"/>
    <s v="US"/>
    <s v="24AA1EDD678011530A495FC5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MiekoTakeshita@montrose-env.com"/>
    <s v="montrose-env.com"/>
    <s v="MiekoTakeshita@montrose-env.com"/>
    <s v="Mieko"/>
    <s v="Takeshita"/>
    <s v="US"/>
    <s v="54ED1F2B6781BB210A495FC9@038d2aa263c9deeb495fea.e"/>
    <x v="3"/>
    <x v="0"/>
    <x v="0"/>
    <m/>
    <m/>
    <s v="USA - Corp - Marketing"/>
    <m/>
    <m/>
    <m/>
    <m/>
    <s v="All Apps plan (VIPMP - 99C0A3088A102BD9CB4A)"/>
    <m/>
    <m/>
    <x v="44"/>
    <x v="44"/>
    <n v="82.24"/>
    <n v="0"/>
    <n v="0"/>
    <n v="82.24"/>
    <n v="1"/>
  </r>
  <r>
    <s v="Federated ID"/>
    <s v="LoganHamilton@montrose-env.com"/>
    <s v="montrose-env.com"/>
    <s v="LoganHamilton@montrose-env.com"/>
    <s v="Logan"/>
    <s v="Hamilton"/>
    <s v="US"/>
    <s v="756A1F196782F9820A495E11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JAREDGABBARD@montrose-env.com"/>
    <s v="montrose-env.com"/>
    <s v="jaredgabbard@montrose-env.com"/>
    <s v="JARED"/>
    <s v="GABBARD"/>
    <s v="US"/>
    <s v="C0211F0F678586380A495FFA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GraceAquino@montrose-env.com"/>
    <s v="montrose-env.com"/>
    <s v="GraceAquino@montrose-env.com"/>
    <s v="Grace"/>
    <s v="Aquino"/>
    <s v="US"/>
    <s v="BFC51F536785938D0A495E44@038d2aa263c9deeb495fea.e"/>
    <x v="1"/>
    <x v="0"/>
    <x v="0"/>
    <m/>
    <m/>
    <s v="USA - CTEH - Health Sciences - Operations"/>
    <m/>
    <m/>
    <m/>
    <m/>
    <s v="Acrobat Pro (VIPMP - 99C0A3088A102BD9CB4A)"/>
    <m/>
    <m/>
    <x v="85"/>
    <x v="85"/>
    <n v="14.333333333333334"/>
    <n v="0"/>
    <n v="0"/>
    <n v="14.333333333333334"/>
    <n v="1"/>
  </r>
  <r>
    <s v="Federated ID"/>
    <s v="MikeSmith@montrose-env.com"/>
    <s v="montrose-env.com"/>
    <s v="MikeSmith@montrose-env.com"/>
    <s v="Mike"/>
    <s v="Smith"/>
    <s v="US"/>
    <s v="BFA21F0F67859B930A495C53@038d2aa263c9deeb495fea.e"/>
    <x v="0"/>
    <x v="0"/>
    <x v="0"/>
    <m/>
    <m/>
    <s v="USA - Environmental Consulting - Wilmington - Operations"/>
    <m/>
    <m/>
    <m/>
    <m/>
    <m/>
    <m/>
    <m/>
    <x v="0"/>
    <x v="0"/>
    <n v="0"/>
    <n v="0"/>
    <n v="0"/>
    <n v="0"/>
    <m/>
  </r>
  <r>
    <s v="Federated ID"/>
    <s v="RichardVercammen@ect2.com"/>
    <s v="ect2.com"/>
    <s v="RichardVercammen@ect2.com"/>
    <s v="Richard"/>
    <s v="Vercammen"/>
    <s v="US"/>
    <s v="C7211F166785B5520A495CB7@038d2aa263c9deeb495fea.e"/>
    <x v="1"/>
    <x v="0"/>
    <x v="0"/>
    <m/>
    <m/>
    <s v="USA - ECT2 - Operations"/>
    <m/>
    <m/>
    <m/>
    <m/>
    <s v="Acrobat Pro (VIPMP - 99C0A3088A102BD9CB4A)"/>
    <m/>
    <m/>
    <x v="10"/>
    <x v="10"/>
    <n v="14.333333333333334"/>
    <n v="0"/>
    <n v="0"/>
    <n v="14.333333333333334"/>
    <n v="1"/>
  </r>
  <r>
    <s v="Federated ID"/>
    <s v="AlexandraMajors@montrose-env.com"/>
    <s v="montrose-env.com"/>
    <s v="AlexandraMajors@montrose-env.com"/>
    <s v="Alexandra"/>
    <s v="Majors"/>
    <s v="US"/>
    <s v="E51F1F416786AF580A495C0E@038d2aa263c9deeb495fea.e"/>
    <x v="1"/>
    <x v="5"/>
    <x v="0"/>
    <m/>
    <m/>
    <s v="USA - Advisory Services - Two Dot - Operations"/>
    <m/>
    <m/>
    <m/>
    <m/>
    <s v="Acrobat Pro (VIPMP - 99C0A3088A102BD9CB4A),All Apps plan (VIPMP - 99C0A3088A102BD9CB4A)"/>
    <m/>
    <m/>
    <x v="110"/>
    <x v="110"/>
    <n v="14.333333333333334"/>
    <n v="82.24"/>
    <n v="0"/>
    <n v="96.573333333333323"/>
    <n v="1"/>
  </r>
  <r>
    <s v="Federated ID"/>
    <s v="TysionnaDuplechain@montrose-env.com"/>
    <s v="montrose-env.com"/>
    <s v="TysionnaDuplechain@montrose-env.com"/>
    <s v="Tysionna"/>
    <s v="Duplechain"/>
    <s v="US"/>
    <s v="EA921F176786C1130A495C3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kyreilly@montrose-env.com"/>
    <s v="montrose-env.com"/>
    <s v="kyreilly@montrose-env.com"/>
    <s v="Kyle"/>
    <s v="Reilly"/>
    <s v="US"/>
    <s v="F1FA1F3C67871F3A0A495FBA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AmySimko@enthalpy.com"/>
    <s v="enthalpy.com"/>
    <s v="AmySimko@enthalpy.com"/>
    <s v="Amy"/>
    <s v="Simko"/>
    <s v="US"/>
    <s v="12861F0F6787EAA60A495FFA@038d2aa263c9deeb495fea.e"/>
    <x v="2"/>
    <x v="0"/>
    <x v="0"/>
    <m/>
    <m/>
    <s v="USA - Env Lab - Durham - Operations"/>
    <m/>
    <m/>
    <m/>
    <m/>
    <s v="Acrobat Standard DC (VIPMP - 99C0A3088A102BD9CB4A)"/>
    <m/>
    <m/>
    <x v="57"/>
    <x v="57"/>
    <n v="8.6983333333333324"/>
    <n v="0"/>
    <n v="0"/>
    <n v="8.6983333333333324"/>
    <n v="1"/>
  </r>
  <r>
    <s v="Federated ID"/>
    <s v="olhertzog@montrose-env.com"/>
    <s v="montrose-env.com"/>
    <s v="olhertzog@montrose-env.com"/>
    <s v="Oliver"/>
    <s v="Hertzog"/>
    <s v="US"/>
    <s v="25CC1E2B67896FAA0A495F91@038d2aa263c9deeb495fea.e"/>
    <x v="1"/>
    <x v="0"/>
    <x v="0"/>
    <m/>
    <m/>
    <s v="USA - Stack - Gulf Coast - G&amp;A"/>
    <m/>
    <m/>
    <m/>
    <m/>
    <s v="Acrobat Pro (VIPMP - 99C0A3088A102BD9CB4A)"/>
    <m/>
    <m/>
    <x v="41"/>
    <x v="41"/>
    <n v="14.333333333333334"/>
    <n v="0"/>
    <n v="0"/>
    <n v="14.333333333333334"/>
    <n v="1"/>
  </r>
  <r>
    <s v="Federated ID"/>
    <s v="ElizabethKoren@montrose-env.com"/>
    <s v="montrose-env.com"/>
    <s v="ElizabethKoren@montrose-env.com"/>
    <s v="Elizabeth"/>
    <s v="Korenblat"/>
    <s v="US"/>
    <s v="3F2A1E1B678A6DF90A495E4B@038d2aa263c9deeb495fea.e"/>
    <x v="1"/>
    <x v="0"/>
    <x v="0"/>
    <m/>
    <m/>
    <s v="USA - Environmental Consulting OH - Financ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phtrue@ect2.com"/>
    <s v="ect2.com"/>
    <s v="phtrue@ect2.com"/>
    <s v="Phillip"/>
    <b v="1"/>
    <s v="US"/>
    <s v="43571E1C678A8F900A495EBE@038d2aa263c9deeb495fea.e"/>
    <x v="1"/>
    <x v="0"/>
    <x v="0"/>
    <m/>
    <m/>
    <s v="USA - ECT2 - Operations"/>
    <m/>
    <m/>
    <m/>
    <m/>
    <s v="Acrobat Pro (VIPMP - 99C0A3088A102BD9CB4A)"/>
    <m/>
    <m/>
    <x v="10"/>
    <x v="10"/>
    <n v="14.333333333333334"/>
    <n v="0"/>
    <n v="0"/>
    <n v="14.333333333333334"/>
    <n v="1"/>
  </r>
  <r>
    <s v="Federated ID"/>
    <s v="OscarBeckman@enthalpy.com"/>
    <s v="enthalpy.com"/>
    <s v="OscarBeckman@enthalpy.com"/>
    <s v="Oscar"/>
    <s v="Beckman"/>
    <s v="US"/>
    <s v="4BFF1E40678ADEDE0A495EF6@038d2aa263c9deeb495fea.e"/>
    <x v="2"/>
    <x v="0"/>
    <x v="0"/>
    <m/>
    <m/>
    <s v="USA - Labs - OH - Sales"/>
    <m/>
    <m/>
    <m/>
    <m/>
    <s v="Acrobat Standard DC (VIPMP - 99C0A3088A102BD9CB4A)"/>
    <m/>
    <m/>
    <x v="23"/>
    <x v="23"/>
    <n v="8.6983333333333324"/>
    <n v="0"/>
    <n v="0"/>
    <n v="8.6983333333333324"/>
    <n v="1"/>
  </r>
  <r>
    <s v="Federated ID"/>
    <s v="JohnSanislo@montrose-env.com"/>
    <s v="montrose-env.com"/>
    <s v="JohnSanislo@montrose-env.com"/>
    <s v="John Sanislo"/>
    <m/>
    <s v="US"/>
    <s v="D1C41E43679006C60A495FB3@038d2aa263c9deeb495fea.e"/>
    <x v="0"/>
    <x v="0"/>
    <x v="0"/>
    <m/>
    <m/>
    <s v="USA - Environmental Consulting - Atlanta - Operations"/>
    <m/>
    <m/>
    <m/>
    <m/>
    <m/>
    <m/>
    <m/>
    <x v="0"/>
    <x v="0"/>
    <n v="0"/>
    <n v="0"/>
    <n v="0"/>
    <n v="0"/>
    <m/>
  </r>
  <r>
    <s v="Federated ID"/>
    <s v="HunterCollins@montrose-env.com"/>
    <s v="montrose-env.com"/>
    <s v="HunterCollins@montrose-env.com"/>
    <s v="Hunter"/>
    <s v="Collins"/>
    <s v="US"/>
    <s v="1DFC1E46679243050A495CEF@038d2aa263c9deeb495fea.e"/>
    <x v="0"/>
    <x v="0"/>
    <x v="0"/>
    <m/>
    <m/>
    <s v="USA - Advisory Services - Chemistry - Operations"/>
    <m/>
    <m/>
    <m/>
    <m/>
    <m/>
    <m/>
    <m/>
    <x v="0"/>
    <x v="0"/>
    <n v="0"/>
    <n v="0"/>
    <n v="0"/>
    <n v="0"/>
    <m/>
  </r>
  <r>
    <s v="Federated ID"/>
    <s v="MarleeHaralson@montrose-env.com"/>
    <s v="montrose-env.com"/>
    <s v="MarleeHaralson@montrose-env.com"/>
    <s v="Marlee"/>
    <s v="Haralson"/>
    <s v="US"/>
    <s v="288F1E1E67928C680A495FF7@038d2aa263c9deeb495fea.e"/>
    <x v="2"/>
    <x v="7"/>
    <x v="0"/>
    <m/>
    <m/>
    <s v="USA - Environmental Consulting - Santa Ana (Rem) - Operations"/>
    <m/>
    <m/>
    <m/>
    <m/>
    <s v="Acrobat Standard DC (VIPMP - 99C0A3088A102BD9CB4A),All Apps - Edition 4 (VIPMP - 99C0A3088A102BD9CB4A)"/>
    <m/>
    <m/>
    <x v="1"/>
    <x v="1"/>
    <n v="8.6983333333333324"/>
    <n v="0"/>
    <n v="0"/>
    <n v="8.6983333333333324"/>
    <n v="1"/>
  </r>
  <r>
    <s v="Federated ID"/>
    <s v="emmaheathersouders@enthalpy.com"/>
    <s v="enthalpy.com"/>
    <s v="emmaheathersouders@enthalpy.com"/>
    <s v="Emma"/>
    <s v="Heather-Souders"/>
    <s v="US"/>
    <s v="B6F91E486797D3610A495E88@038d2aa263c9deeb495fea.e"/>
    <x v="1"/>
    <x v="0"/>
    <x v="0"/>
    <m/>
    <m/>
    <s v="USA - Env Lab - Denver - Operations"/>
    <m/>
    <m/>
    <m/>
    <m/>
    <s v="Acrobat Pro (VIPMP - 99C0A3088A102BD9CB4A)"/>
    <m/>
    <m/>
    <x v="123"/>
    <x v="123"/>
    <n v="14.333333333333334"/>
    <n v="0"/>
    <n v="0"/>
    <n v="14.333333333333334"/>
    <n v="1"/>
  </r>
  <r>
    <s v="Federated ID"/>
    <s v="RyanOSullivan@montrose-env.com"/>
    <s v="montrose-env.com"/>
    <s v="RyanOSullivan@montrose-env.com"/>
    <s v="Ryan"/>
    <s v="OSullivan"/>
    <s v="US"/>
    <s v="C3AA1E1F679827880A495C82@038d2aa263c9deeb495fea.e"/>
    <x v="0"/>
    <x v="0"/>
    <x v="0"/>
    <m/>
    <m/>
    <s v="USA - Environmental Consulting - Long Beach - Operations"/>
    <m/>
    <m/>
    <m/>
    <m/>
    <m/>
    <m/>
    <m/>
    <x v="0"/>
    <x v="0"/>
    <n v="0"/>
    <n v="0"/>
    <n v="0"/>
    <n v="0"/>
    <m/>
  </r>
  <r>
    <s v="Federated ID"/>
    <s v="AbigailRobinson@montrose-env.com"/>
    <s v="montrose-env.com"/>
    <s v="abigailrobinson@montrose-env.com"/>
    <s v="Abigail"/>
    <s v="Robinson"/>
    <s v="US"/>
    <s v="F3ED1E19679964360A495E53@038d2aa263c9deeb495fea.e"/>
    <x v="1"/>
    <x v="6"/>
    <x v="0"/>
    <m/>
    <m/>
    <s v="USA - Advisory Services – Two Dot – Operations"/>
    <m/>
    <m/>
    <m/>
    <m/>
    <s v="Acrobat Pro (VIPMP - 99C0A3088A102BD9CB4A),Photoshop - Edition 4 (VIPMP - 99C0A3088A102BD9CB4A)"/>
    <m/>
    <m/>
    <x v="110"/>
    <x v="110"/>
    <n v="14.333333333333334"/>
    <n v="0"/>
    <n v="0"/>
    <n v="14.333333333333334"/>
    <n v="1"/>
  </r>
  <r>
    <s v="Federated ID"/>
    <s v="embradford@montrose-env.com"/>
    <s v="montrose-env.com"/>
    <s v="embradford@montrose-env.com"/>
    <s v="Emily"/>
    <s v="Bradford"/>
    <s v="US"/>
    <s v="0E5E1E29679A7B370A495E80@038d2aa263c9deeb495fea.e"/>
    <x v="1"/>
    <x v="0"/>
    <x v="0"/>
    <m/>
    <m/>
    <s v="USA - Eco Services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psanjuan@montrose-env.com"/>
    <s v="montrose-env.com"/>
    <s v="psanjuan@montrose-env.com"/>
    <s v="Pedro"/>
    <s v="Sanjuan"/>
    <s v="US"/>
    <s v="4B0C1E26679BE7050A495E38@038d2aa263c9deeb495fea.e"/>
    <x v="1"/>
    <x v="0"/>
    <x v="0"/>
    <m/>
    <m/>
    <s v="USA - Stack - Santa Ana - Operations"/>
    <m/>
    <m/>
    <m/>
    <m/>
    <s v="Acrobat Pro (VIPMP - 99C0A3088A102BD9CB4A)"/>
    <m/>
    <m/>
    <x v="21"/>
    <x v="21"/>
    <n v="14.333333333333334"/>
    <n v="0"/>
    <n v="0"/>
    <n v="14.333333333333334"/>
    <n v="1"/>
  </r>
  <r>
    <s v="Federated ID"/>
    <s v="JosephBenz@montrose-env.com"/>
    <s v="montrose-env.com"/>
    <s v="JosephBenz@montrose-env.com"/>
    <s v="Joseph"/>
    <s v="Benz"/>
    <s v="US"/>
    <s v="2F431F06679D52860A495E21@038d2aa263c9deeb495fea.e"/>
    <x v="0"/>
    <x v="0"/>
    <x v="0"/>
    <m/>
    <m/>
    <s v="USA - Stack - Power Start-Ups - Operations"/>
    <m/>
    <m/>
    <m/>
    <m/>
    <m/>
    <m/>
    <m/>
    <x v="0"/>
    <x v="0"/>
    <n v="0"/>
    <n v="0"/>
    <n v="0"/>
    <n v="0"/>
    <m/>
  </r>
  <r>
    <s v="Federated ID"/>
    <s v="ketremain@montrose-env.com"/>
    <s v="montrose-env.com"/>
    <s v="ketremain@montrose-env.com"/>
    <s v="Kendra"/>
    <s v="Tremain"/>
    <s v="US"/>
    <s v="8B2D1EE467A11E910A495E99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Adobe ID"/>
    <s v="robinson@2dot-consulting.com"/>
    <s v="2dot-consulting.com"/>
    <s v="robinson@2dot-consulting.com"/>
    <s v="Abigail"/>
    <s v="Robinson"/>
    <s v="US"/>
    <s v="8BF11F1467A11F5A0A495CD5@038d2aa263c9deeb495fea.e"/>
    <x v="0"/>
    <x v="0"/>
    <x v="0"/>
    <m/>
    <m/>
    <s v="USA - Advisory Services – Two Dot – Operations"/>
    <m/>
    <m/>
    <m/>
    <m/>
    <m/>
    <m/>
    <m/>
    <x v="0"/>
    <x v="0"/>
    <n v="0"/>
    <n v="0"/>
    <n v="0"/>
    <n v="0"/>
    <m/>
  </r>
  <r>
    <s v="Federated ID"/>
    <s v="rohuijsman@montrose-env.com"/>
    <s v="montrose-env.com"/>
    <s v="ronhuijsman@montrose-env.com"/>
    <s v="Ron"/>
    <s v="Huijsman"/>
    <s v="US"/>
    <s v="A8881ED367A20D8A0A495E46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semaher@montrose-env.com"/>
    <s v="montrose-env.com"/>
    <s v="semaher@montrose-env.com"/>
    <s v="Sharon"/>
    <s v="Maher"/>
    <s v="US"/>
    <s v="B6F01E2767A25CD80A495FF1@038d2aa263c9deeb495fea.e"/>
    <x v="2"/>
    <x v="0"/>
    <x v="0"/>
    <m/>
    <m/>
    <s v="USA - Environmental Consulting - Wilmington DE - Operations"/>
    <m/>
    <m/>
    <m/>
    <m/>
    <s v="Acrobat Standard DC (VIPMP - 99C0A3088A102BD9CB4A)"/>
    <m/>
    <m/>
    <x v="40"/>
    <x v="40"/>
    <n v="8.6983333333333324"/>
    <n v="0"/>
    <n v="0"/>
    <n v="8.6983333333333324"/>
    <n v="1"/>
  </r>
  <r>
    <s v="Federated ID"/>
    <s v="MichaelCalamese@montrose-env.com"/>
    <s v="montrose-env.com"/>
    <s v="MichaelCalamese@montrose-env.com"/>
    <s v="Michael"/>
    <s v="Calamese"/>
    <s v="US"/>
    <s v="E3571E2767A3CFA60A495FF1@038d2aa263c9deeb495fea.e"/>
    <x v="2"/>
    <x v="0"/>
    <x v="0"/>
    <m/>
    <m/>
    <s v="USA - Environmental Consulting OH - Finance"/>
    <m/>
    <m/>
    <m/>
    <m/>
    <s v="Acrobat Standard DC (VIPMP - 99C0A3088A102BD9CB4A)"/>
    <m/>
    <m/>
    <x v="113"/>
    <x v="113"/>
    <n v="8.6983333333333324"/>
    <n v="0"/>
    <n v="0"/>
    <n v="8.6983333333333324"/>
    <n v="1"/>
  </r>
  <r>
    <s v="Federated ID"/>
    <s v="CarrieMcGowan@montrose-env.com"/>
    <s v="montrose-env.com"/>
    <s v="CarrieMcGowan@montrose-env.com"/>
    <s v="Carrie"/>
    <s v="McGowan"/>
    <s v="US"/>
    <s v="33991EE467A643040A495E99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syuchs@montrose-env.com"/>
    <s v="montrose-env.com"/>
    <s v="syuchs@montrose-env.com"/>
    <s v="Steven"/>
    <s v="Yuchs"/>
    <s v="US"/>
    <s v="A6C21EE267AA5B7D0A495FBE@038d2aa263c9deeb495fea.e"/>
    <x v="2"/>
    <x v="0"/>
    <x v="0"/>
    <m/>
    <m/>
    <s v="USA - Sensible EDP - Austin - Operations"/>
    <m/>
    <m/>
    <m/>
    <m/>
    <s v="Acrobat Standard DC (VIPMP - 99C0A3088A102BD9CB4A)"/>
    <m/>
    <m/>
    <x v="90"/>
    <x v="90"/>
    <n v="8.6983333333333324"/>
    <n v="0"/>
    <n v="0"/>
    <n v="8.6983333333333324"/>
    <n v="1"/>
  </r>
  <r>
    <s v="Federated ID"/>
    <s v="jostanley@montrose-env.com"/>
    <s v="montrose-env.com"/>
    <s v="jostanley@montrose-env.com"/>
    <s v="Josh"/>
    <s v="Stanley"/>
    <s v="US"/>
    <s v="C7331E2167AB5B350A495E3A@038d2aa263c9deeb495fea.e"/>
    <x v="2"/>
    <x v="0"/>
    <x v="0"/>
    <m/>
    <m/>
    <s v="USA - Environmental Consulting - Charlottesville - Operations"/>
    <m/>
    <m/>
    <m/>
    <m/>
    <s v="Acrobat Standard DC (VIPMP - 99C0A3088A102BD9CB4A)"/>
    <m/>
    <m/>
    <x v="81"/>
    <x v="81"/>
    <n v="8.6983333333333324"/>
    <n v="0"/>
    <n v="0"/>
    <n v="8.6983333333333324"/>
    <n v="1"/>
  </r>
  <r>
    <s v="Federated ID"/>
    <s v="brianna.berry@enthalpy.com"/>
    <s v="enthalpy.com"/>
    <s v="brianna.berry@enthalpy.com"/>
    <s v="Brianna"/>
    <s v="Berry"/>
    <s v="US"/>
    <s v="D4271EDA67AB9CCE0A495F9C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EnekoEtxauriOtegi@enthalpy.com"/>
    <s v="enthalpy.com"/>
    <s v="enekoetxauriotegi@enthalpy.com"/>
    <s v="Eneko"/>
    <s v="Etxauri-Otegi"/>
    <s v="US"/>
    <s v="D1701EE567AB9CCE0A495E22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conor.toomey@enthalpy.com"/>
    <s v="enthalpy.com"/>
    <s v="conor.toomey@enthalpy.com"/>
    <s v="Conor"/>
    <s v="Toomey"/>
    <s v="US"/>
    <s v="D10E1EC767AB9CCF0A495C2C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lawebb@montrose-env.com"/>
    <s v="montrose-env.com"/>
    <s v="lawebb@montrose-env.com"/>
    <s v="Laurel"/>
    <s v="Webb"/>
    <s v="US"/>
    <s v="D37B1F0967ABB7010A495EDF@038d2aa263c9deeb495fea.e"/>
    <x v="2"/>
    <x v="0"/>
    <x v="0"/>
    <m/>
    <m/>
    <m/>
    <m/>
    <m/>
    <m/>
    <m/>
    <s v="Acrobat Standard DC (VIPMP - 99C0A3088A102BD9CB4A)"/>
    <m/>
    <m/>
    <x v="28"/>
    <x v="28"/>
    <n v="8.6983333333333324"/>
    <n v="0"/>
    <n v="0"/>
    <n v="8.6983333333333324"/>
    <n v="1"/>
  </r>
  <r>
    <s v="Federated ID"/>
    <s v="SambaGanne@montrose-env.com"/>
    <s v="montrose-env.com"/>
    <s v="sambaganne@montrose-env.com"/>
    <s v="Samba"/>
    <s v="Ganne"/>
    <s v="US"/>
    <s v="E42D1EDD67AC318D0A495CF9@038d2aa263c9deeb495fea.e"/>
    <x v="1"/>
    <x v="8"/>
    <x v="0"/>
    <m/>
    <m/>
    <s v="USA - Corp - Internal Audit"/>
    <m/>
    <m/>
    <m/>
    <m/>
    <s v="Acrobat Pro (VIPMP - 99C0A3088A102BD9CB4A),Acrobat Standard DC (VIPMP - 99C0A3088A102BD9CB4A)"/>
    <m/>
    <m/>
    <x v="62"/>
    <x v="62"/>
    <n v="14.333333333333334"/>
    <n v="8.6983333333333324"/>
    <n v="0"/>
    <n v="23.031666666666666"/>
    <n v="1"/>
  </r>
  <r>
    <s v="Federated ID"/>
    <s v="AndrewLarson@montrose-env.com"/>
    <s v="montrose-env.com"/>
    <s v="andrewlarson@montrose-env.com"/>
    <s v="Andrew"/>
    <s v="Larson"/>
    <s v="US"/>
    <s v="FAA31EEE67ACD9270A495CF4@038d2aa263c9deeb495fea.e"/>
    <x v="2"/>
    <x v="0"/>
    <x v="0"/>
    <m/>
    <m/>
    <s v="USA - Environmental Consulting - Santa Ana (Rem) - Operations"/>
    <m/>
    <m/>
    <m/>
    <m/>
    <s v="Acrobat Standard DC (VIPMP - 99C0A3088A102BD9CB4A)"/>
    <m/>
    <m/>
    <x v="1"/>
    <x v="1"/>
    <n v="8.6983333333333324"/>
    <n v="0"/>
    <n v="0"/>
    <n v="8.6983333333333324"/>
    <n v="1"/>
  </r>
  <r>
    <s v="Federated ID"/>
    <s v="LindsayWunsch@montrose-env.com"/>
    <s v="montrose-env.com"/>
    <s v="LindsayWunsch@montrose-env.com"/>
    <s v="Lindsay"/>
    <s v="Wunsch"/>
    <s v="US"/>
    <s v="FD1E1EE567ACDA7B0A495FDE@038d2aa263c9deeb495fea.e"/>
    <x v="2"/>
    <x v="0"/>
    <x v="0"/>
    <m/>
    <m/>
    <s v="USA - Corp - HR"/>
    <m/>
    <m/>
    <m/>
    <m/>
    <s v="Acrobat Standard DC (VIPMP - 99C0A3088A102BD9CB4A)"/>
    <m/>
    <m/>
    <x v="29"/>
    <x v="29"/>
    <n v="8.6983333333333324"/>
    <n v="0"/>
    <n v="0"/>
    <n v="8.6983333333333324"/>
    <n v="1"/>
  </r>
  <r>
    <s v="Federated ID"/>
    <s v="jusneesby@ect2.com"/>
    <s v="ect2.com"/>
    <s v="jusneesby@ect2.com"/>
    <s v="Jude"/>
    <s v="Sneesby"/>
    <s v="US"/>
    <s v="FB4C1ED967ACFA510A495C58@038d2aa263c9deeb495fea.e"/>
    <x v="0"/>
    <x v="0"/>
    <x v="0"/>
    <m/>
    <m/>
    <s v="AUS - ECT2 - OH - Safety"/>
    <m/>
    <m/>
    <m/>
    <m/>
    <m/>
    <m/>
    <m/>
    <x v="0"/>
    <x v="0"/>
    <n v="0"/>
    <n v="0"/>
    <n v="0"/>
    <n v="0"/>
    <m/>
  </r>
  <r>
    <s v="Federated ID"/>
    <s v="LukasSteirer@montrose-env.com"/>
    <s v="montrose-env.com"/>
    <s v="LukasSteirer@montrose-env.com"/>
    <s v="Lukas"/>
    <s v="Steirer"/>
    <s v="US"/>
    <s v="23731E7A67AE3DE10A495EAC@038d2aa263c9deeb495fea.e"/>
    <x v="2"/>
    <x v="0"/>
    <x v="0"/>
    <m/>
    <m/>
    <s v="USA - Stack - Seattle - Operations"/>
    <m/>
    <m/>
    <m/>
    <m/>
    <s v="Acrobat Standard DC (VIPMP - 99C0A3088A102BD9CB4A)"/>
    <m/>
    <m/>
    <x v="4"/>
    <x v="4"/>
    <n v="8.6983333333333324"/>
    <n v="0"/>
    <n v="0"/>
    <n v="8.6983333333333324"/>
    <n v="1"/>
  </r>
  <r>
    <s v="Federated ID"/>
    <s v="JoeyRoberts@montrose-env.com"/>
    <s v="montrose-env.com"/>
    <s v="JoeyRoberts@montrose-env.com"/>
    <s v="Joey"/>
    <s v="Roberts"/>
    <s v="US"/>
    <s v="4FB81E7367AF6BAC0A495EBC@038d2aa263c9deeb495fea.e"/>
    <x v="0"/>
    <x v="0"/>
    <x v="0"/>
    <m/>
    <m/>
    <s v="USA - Environmental Consulting - Nashville - Operations"/>
    <m/>
    <m/>
    <m/>
    <m/>
    <m/>
    <m/>
    <m/>
    <x v="0"/>
    <x v="0"/>
    <n v="0"/>
    <n v="0"/>
    <n v="0"/>
    <n v="0"/>
    <m/>
  </r>
  <r>
    <s v="Federated ID"/>
    <s v="meagan.morgan@enthalpy.com"/>
    <s v="enthalpy.com"/>
    <s v="meagan.morgan@enthalpy.com"/>
    <s v="Meagan"/>
    <s v="Morgan"/>
    <s v="US"/>
    <s v="601C1E7A67B011D40A495FC2@038d2aa263c9deeb495fea.e"/>
    <x v="0"/>
    <x v="0"/>
    <x v="0"/>
    <m/>
    <m/>
    <s v="USA - Env Lab - Orange - Operations"/>
    <m/>
    <m/>
    <m/>
    <m/>
    <m/>
    <m/>
    <m/>
    <x v="0"/>
    <x v="0"/>
    <n v="0"/>
    <n v="0"/>
    <n v="0"/>
    <n v="0"/>
    <m/>
  </r>
  <r>
    <s v="Federated ID"/>
    <s v="KirkBusby@montrose-env.com"/>
    <s v="montrose-env.com"/>
    <s v="KirkBusby@montrose-env.com"/>
    <s v="Kirk"/>
    <s v="Busby"/>
    <s v="US"/>
    <s v="DC951E9B67B468F70A495F92@038d2aa263c9deeb495fea.e"/>
    <x v="2"/>
    <x v="0"/>
    <x v="0"/>
    <m/>
    <m/>
    <s v="USA - Advisory Services - Risk Management Solutions - Operations"/>
    <m/>
    <m/>
    <m/>
    <m/>
    <s v="Acrobat Standard DC (VIPMP - 99C0A3088A102BD9CB4A)"/>
    <m/>
    <m/>
    <x v="73"/>
    <x v="73"/>
    <n v="8.6983333333333324"/>
    <n v="0"/>
    <n v="0"/>
    <n v="8.6983333333333324"/>
    <n v="1"/>
  </r>
  <r>
    <s v="Federated ID"/>
    <s v="MichaelCampbell@montrose-env.com"/>
    <s v="montrose-env.com"/>
    <s v="MichaelCampbell@montrose-env.com"/>
    <s v="Michael"/>
    <s v="Campbell"/>
    <s v="US"/>
    <s v="F0F1200867B4EE430A495F95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ColtManseth@montrose-env.com"/>
    <s v="montrose-env.com"/>
    <s v="ColtManseth@montrose-env.com"/>
    <s v="Colt"/>
    <s v="Manseth"/>
    <s v="US"/>
    <s v="F0EF1E7567B4EE900A495CBB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csanchez@montrose-env.com"/>
    <s v="montrose-env.com"/>
    <s v="csanchez@montrose-env.com"/>
    <s v="Candy"/>
    <s v="Sanchez"/>
    <s v="US"/>
    <s v="EE221E7767B4F0880A495C64@038d2aa263c9deeb495fea.e"/>
    <x v="2"/>
    <x v="0"/>
    <x v="0"/>
    <m/>
    <m/>
    <s v="USA - Stack - OH - Finance"/>
    <m/>
    <m/>
    <m/>
    <m/>
    <s v="Acrobat Standard DC (VIPMP - 99C0A3088A102BD9CB4A)"/>
    <m/>
    <m/>
    <x v="50"/>
    <x v="50"/>
    <n v="8.6983333333333324"/>
    <n v="0"/>
    <n v="0"/>
    <n v="8.6983333333333324"/>
    <n v="1"/>
  </r>
  <r>
    <s v="Federated ID"/>
    <s v="rchristy@montrose-env.com"/>
    <s v="montrose-env.com"/>
    <s v="rchristy@montrose-env.com"/>
    <s v="Robert"/>
    <s v="Christy"/>
    <s v="US"/>
    <s v="EDE31E7267B4FFE50A495FB3@038d2aa263c9deeb495fea.e"/>
    <x v="2"/>
    <x v="0"/>
    <x v="0"/>
    <m/>
    <m/>
    <s v="USA - Environmental Consulting - Valley Forge - Operations"/>
    <m/>
    <m/>
    <m/>
    <m/>
    <s v="Acrobat Standard DC (VIPMP - 99C0A3088A102BD9CB4A)"/>
    <m/>
    <m/>
    <x v="2"/>
    <x v="2"/>
    <n v="8.6983333333333324"/>
    <n v="0"/>
    <n v="0"/>
    <n v="8.6983333333333324"/>
    <n v="1"/>
  </r>
  <r>
    <s v="Federated ID"/>
    <s v="bmulherin@montrose-env.com"/>
    <s v="montrose-env.com"/>
    <s v="bmulherin@montrose-env.com"/>
    <s v="Blake"/>
    <s v="Mulherin"/>
    <s v="CA"/>
    <s v="F92D1E7C67B562BE0A495CE9@038d2aa263c9deeb495fea.e"/>
    <x v="1"/>
    <x v="0"/>
    <x v="0"/>
    <m/>
    <m/>
    <m/>
    <m/>
    <m/>
    <m/>
    <m/>
    <s v="Acrobat Pro (VIPMP - 99C0A3088A102BD9CB4A)"/>
    <m/>
    <m/>
    <x v="30"/>
    <x v="30"/>
    <n v="14.333333333333334"/>
    <n v="0"/>
    <n v="0"/>
    <n v="14.333333333333334"/>
    <n v="1"/>
  </r>
  <r>
    <s v="Federated ID"/>
    <s v="zthudecek@montrose-env.com"/>
    <s v="montrose-env.com"/>
    <s v="zthudecek@montrose-env.com"/>
    <s v="Zachary"/>
    <s v="Hudecek"/>
    <s v="CA"/>
    <s v="F7921E8267B562BF0A495FC3@038d2aa263c9deeb495fea.e"/>
    <x v="1"/>
    <x v="0"/>
    <x v="0"/>
    <m/>
    <m/>
    <m/>
    <m/>
    <m/>
    <m/>
    <m/>
    <s v="Acrobat Pro (VIPMP - 99C0A3088A102BD9CB4A)"/>
    <m/>
    <m/>
    <x v="30"/>
    <x v="30"/>
    <n v="14.333333333333334"/>
    <n v="0"/>
    <n v="0"/>
    <n v="14.333333333333334"/>
    <n v="1"/>
  </r>
  <r>
    <s v="Federated ID"/>
    <s v="trleibel@montrose-env.com"/>
    <s v="montrose-env.com"/>
    <s v="trleibel@montrose-env.com"/>
    <s v="Tracey"/>
    <s v="Leibel"/>
    <s v="CA"/>
    <s v="FB961EA367B562C60A495C18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moshibley@montrose-env.com"/>
    <s v="montrose-env.com"/>
    <s v="moshibley@montrose-env.com"/>
    <s v="Mohamed"/>
    <s v="Shibley"/>
    <s v="US"/>
    <s v="FC5B1E9867B562C70A495C24@038d2aa263c9deeb495fea.e"/>
    <x v="1"/>
    <x v="0"/>
    <x v="0"/>
    <m/>
    <m/>
    <s v="CAN - OGI - Operations"/>
    <m/>
    <m/>
    <m/>
    <m/>
    <s v="Acrobat Pro (VIPMP - 99C0A3088A102BD9CB4A)"/>
    <m/>
    <m/>
    <x v="9"/>
    <x v="9"/>
    <n v="14.333333333333334"/>
    <n v="0"/>
    <n v="0"/>
    <n v="14.333333333333334"/>
    <n v="1"/>
  </r>
  <r>
    <s v="Federated ID"/>
    <s v="inurani@montrose-env.com"/>
    <s v="montrose-env.com"/>
    <s v="inurani@montrose-env.com"/>
    <s v="Imran"/>
    <s v="Nurani"/>
    <s v="CA"/>
    <s v="F8781E7D67B562C90A495CE6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ext-aljackson@montrose-env.com"/>
    <s v="montrose-env.com"/>
    <s v="ext-aljackson@montrose-env.com"/>
    <s v="Allison"/>
    <s v="Jackson"/>
    <s v="US"/>
    <s v="F9D61E8067B57A5D0A495E69@038d2aa263c9deeb495fea.e"/>
    <x v="0"/>
    <x v="0"/>
    <x v="0"/>
    <m/>
    <m/>
    <s v="CAN - OGI - G&amp;A"/>
    <m/>
    <m/>
    <m/>
    <m/>
    <m/>
    <m/>
    <m/>
    <x v="0"/>
    <x v="0"/>
    <n v="0"/>
    <n v="0"/>
    <n v="0"/>
    <n v="0"/>
    <m/>
  </r>
  <r>
    <s v="Federated ID"/>
    <s v="kslone@montrose-env.com"/>
    <s v="montrose-env.com"/>
    <s v="kslone@montrose-env.com"/>
    <s v="Kirk"/>
    <s v="Slone"/>
    <s v="CA"/>
    <s v="FDF51E7F67B57A5D0A495CC2@038d2aa263c9deeb495fea.e"/>
    <x v="0"/>
    <x v="0"/>
    <x v="0"/>
    <s v="System"/>
    <m/>
    <s v="CAN - Air Quality - OH - Software Development"/>
    <m/>
    <m/>
    <m/>
    <m/>
    <m/>
    <m/>
    <m/>
    <x v="0"/>
    <x v="0"/>
    <n v="0"/>
    <n v="0"/>
    <n v="0"/>
    <n v="0"/>
    <m/>
  </r>
  <r>
    <s v="Federated ID"/>
    <s v="asheffler@montrose-env.com"/>
    <s v="montrose-env.com"/>
    <s v="asheffler@montrose-env.com"/>
    <s v="Andrew"/>
    <s v="Sheffler"/>
    <s v="US"/>
    <s v="FEED1E9E67B57A5E0A495E56@038d2aa263c9deeb495fea.e"/>
    <x v="0"/>
    <x v="0"/>
    <x v="0"/>
    <m/>
    <m/>
    <s v="USA - OGI - Operations"/>
    <m/>
    <m/>
    <m/>
    <m/>
    <m/>
    <m/>
    <m/>
    <x v="0"/>
    <x v="0"/>
    <n v="0"/>
    <n v="0"/>
    <n v="0"/>
    <n v="0"/>
    <m/>
  </r>
  <r>
    <s v="Federated ID"/>
    <s v="jtuskin@montrose-env.com"/>
    <s v="montrose-env.com"/>
    <s v="jtuskin@montrose-env.com"/>
    <s v="Jeffrey"/>
    <s v="Tuskin"/>
    <s v="US"/>
    <s v="FEEE1E9E67B57A5E0A495E56@038d2aa263c9deeb495fea.e"/>
    <x v="1"/>
    <x v="0"/>
    <x v="0"/>
    <m/>
    <m/>
    <s v="USA - OGI - G&amp;A"/>
    <m/>
    <m/>
    <m/>
    <m/>
    <s v="Acrobat Pro (VIPMP - 99C0A3088A102BD9CB4A)"/>
    <m/>
    <m/>
    <x v="126"/>
    <x v="126"/>
    <n v="14.333333333333334"/>
    <n v="0"/>
    <n v="0"/>
    <n v="14.333333333333334"/>
    <n v="1"/>
  </r>
  <r>
    <s v="Federated ID"/>
    <s v="jtkachuk@montrose-env.com"/>
    <s v="montrose-env.com"/>
    <s v="jtkachuk@montrose-env.com"/>
    <s v="Jeremy"/>
    <s v="Tkachuk"/>
    <s v="CA"/>
    <s v="FC6E1E8267B57A5E0A495FD8@038d2aa263c9deeb495fea.e"/>
    <x v="0"/>
    <x v="0"/>
    <x v="0"/>
    <m/>
    <m/>
    <s v="CAN - Air Quality - OH - Software Development"/>
    <m/>
    <m/>
    <m/>
    <m/>
    <m/>
    <m/>
    <m/>
    <x v="0"/>
    <x v="0"/>
    <n v="0"/>
    <n v="0"/>
    <n v="0"/>
    <n v="0"/>
    <m/>
  </r>
  <r>
    <s v="Federated ID"/>
    <s v="sadipeolu@montrose-env.com"/>
    <s v="montrose-env.com"/>
    <s v="sadipeolu@montrose-env.com"/>
    <s v="Samuel"/>
    <s v="Dipeolu"/>
    <s v="CA"/>
    <s v="000C1E7C67B57A5F0A495C0E@038d2aa263c9deeb495fea.e"/>
    <x v="0"/>
    <x v="0"/>
    <x v="0"/>
    <m/>
    <m/>
    <s v="CAN - OGI - Operations"/>
    <m/>
    <m/>
    <m/>
    <m/>
    <m/>
    <m/>
    <m/>
    <x v="0"/>
    <x v="0"/>
    <n v="0"/>
    <n v="0"/>
    <n v="0"/>
    <n v="0"/>
    <m/>
  </r>
  <r>
    <s v="Federated ID"/>
    <s v="ersprenger@montrose-env.com"/>
    <s v="montrose-env.com"/>
    <s v="ersprenger@montrose-env.com"/>
    <s v="Eric"/>
    <s v="Sprenger"/>
    <s v="US"/>
    <s v="01EF1E9467B57A5F0A495C39@038d2aa263c9deeb495fea.e"/>
    <x v="1"/>
    <x v="0"/>
    <x v="0"/>
    <s v="System"/>
    <m/>
    <s v="CAN - Air Quality - OH - Software Development"/>
    <m/>
    <m/>
    <m/>
    <m/>
    <s v="Acrobat Pro (VIPMP - 99C0A3088A102BD9CB4A)"/>
    <m/>
    <m/>
    <x v="127"/>
    <x v="127"/>
    <n v="14.333333333333334"/>
    <n v="0"/>
    <n v="0"/>
    <n v="14.333333333333334"/>
    <n v="1"/>
  </r>
  <r>
    <s v="Federated ID"/>
    <s v="RoxanneBumgardner@montrose-env.com"/>
    <s v="montrose-env.com"/>
    <s v="RoxanneBumgardner@montrose-env.com"/>
    <s v="Roxanne"/>
    <s v="Bumgardner"/>
    <s v="US"/>
    <s v="4B981E7B67B778F60A495E68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EdaSullivan@montrose-env.com"/>
    <s v="montrose-env.com"/>
    <s v="EdaSullivan@montrose-env.com"/>
    <s v="Eda"/>
    <s v="Sullivan"/>
    <s v="US"/>
    <s v="42C51E7767B77A6A0A495C62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NathanBaker@montrose-env.com"/>
    <s v="montrose-env.com"/>
    <s v="NathanBaker@montrose-env.com"/>
    <s v="Nathan"/>
    <s v="Baker"/>
    <s v="US"/>
    <s v="486A1EA567B77A830A495E24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JeremyEastburn@montrose-env.com"/>
    <s v="montrose-env.com"/>
    <s v="JeremyEastburn@montrose-env.com"/>
    <s v="Jeremy"/>
    <s v="Eastburn"/>
    <s v="US"/>
    <s v="C57E1E7967BCA4260A495E08@038d2aa263c9deeb495fea.e"/>
    <x v="1"/>
    <x v="0"/>
    <x v="0"/>
    <m/>
    <m/>
    <s v="USA - LDAR - OH - G&amp;A"/>
    <m/>
    <m/>
    <m/>
    <m/>
    <s v="Acrobat Pro (VIPMP - 99C0A3088A102BD9CB4A)"/>
    <m/>
    <m/>
    <x v="49"/>
    <x v="49"/>
    <n v="14.333333333333334"/>
    <n v="0"/>
    <n v="0"/>
    <n v="14.333333333333334"/>
    <n v="1"/>
  </r>
  <r>
    <s v="Federated ID"/>
    <s v="kathleenscaturro@montrose-env.com"/>
    <s v="montrose-env.com"/>
    <s v="kathleenscaturro@montrose-env.com"/>
    <s v="Kathleen"/>
    <s v="Scaturro"/>
    <s v="US"/>
    <s v="C6D01E9867BCAFD20A495C24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JoaquinSchmidt@montrose-env.com"/>
    <s v="montrose-env.com"/>
    <s v="JoaquinSchmidt@montrose-env.com"/>
    <s v="Joaquin"/>
    <s v="Schmidt"/>
    <s v="US"/>
    <s v="E2F81E7967BDC7BF0A495C81@038d2aa263c9deeb495fea.e"/>
    <x v="0"/>
    <x v="0"/>
    <x v="0"/>
    <m/>
    <m/>
    <s v="USA - Labs - OH - Safety"/>
    <m/>
    <m/>
    <m/>
    <m/>
    <m/>
    <m/>
    <m/>
    <x v="0"/>
    <x v="0"/>
    <n v="0"/>
    <n v="0"/>
    <n v="0"/>
    <n v="0"/>
    <m/>
  </r>
  <r>
    <s v="Federated ID"/>
    <s v="VajihaAhmad@montrose-env.com"/>
    <s v="montrose-env.com"/>
    <s v="JiaAhmad@montrose-env.com"/>
    <s v="Jia"/>
    <s v="Ahmad"/>
    <s v="US"/>
    <s v="F2871E7667BDEBF90A495C82@038d2aa263c9deeb495fea.e"/>
    <x v="2"/>
    <x v="0"/>
    <x v="0"/>
    <m/>
    <m/>
    <s v="USA - Corp - HR"/>
    <m/>
    <m/>
    <m/>
    <m/>
    <s v="Acrobat Standard DC (VIPMP - 99C0A3088A102BD9CB4A)"/>
    <m/>
    <m/>
    <x v="29"/>
    <x v="29"/>
    <n v="8.6983333333333324"/>
    <n v="0"/>
    <n v="0"/>
    <n v="8.6983333333333324"/>
    <n v="1"/>
  </r>
  <r>
    <s v="Federated ID"/>
    <s v="MonicaMoreno@montrose-env.com"/>
    <s v="montrose-env.com"/>
    <s v="MonicaMoreno@montrose-env.com"/>
    <s v="Monica"/>
    <s v="Moreno"/>
    <s v="US"/>
    <s v="F8911E7567BE2BC20A495C9F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DelaneyCrotteau@enthalpy.com"/>
    <s v="enthalpy.com"/>
    <s v="DelaneyCrotteau@enthalpy.com"/>
    <s v="Delaney"/>
    <s v="Crotteau"/>
    <s v="US"/>
    <s v="F6091E7767BE3E400A495EF1@038d2aa263c9deeb495fea.e"/>
    <x v="2"/>
    <x v="0"/>
    <x v="0"/>
    <m/>
    <m/>
    <s v="USA - Env Lab - Richmond - Operations"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Federated ID"/>
    <s v="anlambropoulos@montrose-env.com"/>
    <s v="montrose-env.com"/>
    <s v="anlambropoulos@montrose-env.com"/>
    <s v="Anna"/>
    <s v="Lambropoulos"/>
    <s v="US"/>
    <s v="FC871E7C67BE4D830A495C0B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mrichards@montrose-env.com"/>
    <s v="montrose-env.com"/>
    <s v="mrichards@montrose-env.com"/>
    <s v="Mark"/>
    <s v="Richards"/>
    <s v="US"/>
    <s v="4EFA1E8267C0F4020A495FC3@038d2aa263c9deeb495fea.e"/>
    <x v="2"/>
    <x v="0"/>
    <x v="0"/>
    <m/>
    <m/>
    <s v="USA - LDAR - OH - IT"/>
    <m/>
    <m/>
    <m/>
    <m/>
    <s v="Acrobat Standard DC (VIPMP - 99C0A3088A102BD9CB4A)"/>
    <m/>
    <m/>
    <x v="87"/>
    <x v="87"/>
    <n v="8.6983333333333324"/>
    <n v="0"/>
    <n v="0"/>
    <n v="8.6983333333333324"/>
    <n v="1"/>
  </r>
  <r>
    <s v="Federated ID"/>
    <s v="david.myers@enthalpy.com"/>
    <s v="enthalpy.com"/>
    <s v="david.myers@enthalpy.com"/>
    <s v="David"/>
    <s v="Myers"/>
    <s v="US"/>
    <s v="6FB91E9F67C1D0DA0A495CFD@038d2aa263c9deeb495fea.e"/>
    <x v="2"/>
    <x v="0"/>
    <x v="0"/>
    <m/>
    <m/>
    <s v="USA - Env Lab - Durham - Operations"/>
    <m/>
    <m/>
    <m/>
    <m/>
    <s v="Acrobat Standard DC (VIPMP - 99C0A3088A102BD9CB4A)"/>
    <m/>
    <m/>
    <x v="57"/>
    <x v="57"/>
    <n v="8.6983333333333324"/>
    <n v="0"/>
    <n v="0"/>
    <n v="8.6983333333333324"/>
    <n v="1"/>
  </r>
  <r>
    <s v="Federated ID"/>
    <s v="karamsey@montrose-env.com"/>
    <s v="montrose-env.com"/>
    <s v="karamsey@montrose-env.com"/>
    <s v="Katrina"/>
    <s v="Ramsey"/>
    <s v="US"/>
    <s v="6C291EDB67C1D4400A495E9A@038d2aa263c9deeb495fea.e"/>
    <x v="0"/>
    <x v="0"/>
    <x v="0"/>
    <m/>
    <m/>
    <s v="CAN - Consulting &amp; Engineering OH - HR"/>
    <m/>
    <m/>
    <m/>
    <m/>
    <m/>
    <m/>
    <m/>
    <x v="0"/>
    <x v="0"/>
    <n v="0"/>
    <n v="0"/>
    <n v="0"/>
    <n v="0"/>
    <m/>
  </r>
  <r>
    <s v="Federated ID"/>
    <s v="kurtfleisher@montrose-env.com"/>
    <s v="montrose-env.com"/>
    <s v="kurtfleisher@montrose-env.com"/>
    <s v="Kurt"/>
    <s v="Fleisher"/>
    <s v="US"/>
    <s v="70951E7467C222A00A495F8E@038d2aa263c9deeb495fea.e"/>
    <x v="2"/>
    <x v="0"/>
    <x v="0"/>
    <m/>
    <m/>
    <s v="USA - Advisory Services - Two Dot - Operations"/>
    <m/>
    <m/>
    <m/>
    <m/>
    <s v="Acrobat Standard DC (VIPMP - 99C0A3088A102BD9CB4A)"/>
    <m/>
    <m/>
    <x v="110"/>
    <x v="110"/>
    <n v="8.6983333333333324"/>
    <n v="0"/>
    <n v="0"/>
    <n v="8.6983333333333324"/>
    <n v="1"/>
  </r>
  <r>
    <s v="Federated ID"/>
    <s v="AndrewSchmalfuss@montrose-env.com"/>
    <s v="montrose-env.com"/>
    <s v="AndrewSchmalfuss@montrose-env.com"/>
    <s v="Andrew"/>
    <s v="Schmalfuss"/>
    <s v="US"/>
    <s v="29F41E8267C87E390A495FD8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YasmineFlorent@montrose-env.com"/>
    <s v="montrose-env.com"/>
    <s v="YasmineFlorent@montrose-env.com"/>
    <s v="Yasmine"/>
    <s v="Florent"/>
    <s v="US"/>
    <s v="2C6E1E7867C8806D0A495FD0@038d2aa263c9deeb495fea.e"/>
    <x v="3"/>
    <x v="0"/>
    <x v="0"/>
    <m/>
    <m/>
    <s v="USA - Environmental Consulting - Valley Forge - Operations"/>
    <m/>
    <m/>
    <m/>
    <m/>
    <s v="All Apps plan (VIPMP - 99C0A3088A102BD9CB4A)"/>
    <m/>
    <m/>
    <x v="2"/>
    <x v="2"/>
    <n v="82.24"/>
    <n v="0"/>
    <n v="0"/>
    <n v="82.24"/>
    <n v="1"/>
  </r>
  <r>
    <s v="Federated ID"/>
    <s v="richard.villafania@enthalpy.com"/>
    <s v="enthalpy.com"/>
    <s v="richard.villafania@enthalpy.com"/>
    <s v="Richard"/>
    <s v="Villafania"/>
    <s v="US"/>
    <s v="30471EA367C89A720A495C18@038d2aa263c9deeb495fea.e"/>
    <x v="0"/>
    <x v="0"/>
    <x v="0"/>
    <m/>
    <m/>
    <s v="USA - Env Lab - Orange - Operations"/>
    <m/>
    <m/>
    <m/>
    <m/>
    <m/>
    <m/>
    <m/>
    <x v="0"/>
    <x v="0"/>
    <n v="0"/>
    <n v="0"/>
    <n v="0"/>
    <n v="0"/>
    <m/>
  </r>
  <r>
    <s v="Federated ID"/>
    <s v="JakeHastings@montrose-env.com"/>
    <s v="montrose-env.com"/>
    <s v="JakeHastings@montrose-env.com"/>
    <s v="Jake"/>
    <s v="Hastings"/>
    <s v="US"/>
    <s v="29A51E7E67C8A2BF0A495E91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JoaquinSchmidt@enthalpy.com"/>
    <s v="enthalpy.com"/>
    <s v="JoaquinSchmidt@enthalpy.com"/>
    <s v="Joaquin"/>
    <s v="Schmidt"/>
    <s v="US"/>
    <s v="5BD81E7E67C9FBCC0A495E91@038d2aa263c9deeb495fea.e"/>
    <x v="1"/>
    <x v="0"/>
    <x v="0"/>
    <m/>
    <m/>
    <m/>
    <m/>
    <m/>
    <m/>
    <m/>
    <s v="Acrobat Pro (VIPMP - 99C0A3088A102BD9CB4A)"/>
    <m/>
    <m/>
    <x v="38"/>
    <x v="38"/>
    <n v="14.333333333333334"/>
    <n v="0"/>
    <n v="0"/>
    <n v="14.333333333333334"/>
    <n v="1"/>
  </r>
  <r>
    <s v="Federated ID"/>
    <s v="katherinehorm@montrose-env.com"/>
    <s v="montrose-env.com"/>
    <s v="katherinehorm@montrose-env.com"/>
    <s v="Katherine"/>
    <s v="Horn"/>
    <s v="US"/>
    <s v="57871E8367CF0A240A495C6A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AdeleChism@montrose-env.com"/>
    <s v="montrose-env.com"/>
    <s v="adelechism@montrose-env.com"/>
    <s v="Adele"/>
    <s v="Chism"/>
    <s v="US"/>
    <s v="583A1EA167CF0FEC0A495C97@038d2aa263c9deeb495fea.e"/>
    <x v="1"/>
    <x v="4"/>
    <x v="0"/>
    <m/>
    <m/>
    <s v="USA - Advisory Services - Two Dot - Operations"/>
    <m/>
    <m/>
    <m/>
    <m/>
    <s v="Acrobat Pro (VIPMP - 99C0A3088A102BD9CB4A),Photoshop (VIPMP - 99C0A3088A102BD9CB4A)"/>
    <m/>
    <m/>
    <x v="110"/>
    <x v="110"/>
    <n v="14.333333333333334"/>
    <n v="34.873750000000001"/>
    <n v="0"/>
    <n v="49.207083333333337"/>
    <n v="1"/>
  </r>
  <r>
    <s v="Federated ID"/>
    <s v="KellyLyons@montrose-env.com"/>
    <s v="montrose-env.com"/>
    <s v="KellyLyons@montrose-env.com"/>
    <s v="Kelly"/>
    <s v="Lyons"/>
    <s v="US"/>
    <s v="5A661E7B67CF27050A495EBD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melissa.pena@enthalpy.com"/>
    <s v="enthalpy.com"/>
    <s v="melissa.pena@enthalpy.com"/>
    <s v="Melissa"/>
    <s v="Pena"/>
    <s v="US"/>
    <s v="59D31EA567CF2C6F0A495ED1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daniel.ward@enthalpy.com"/>
    <s v="enthalpy.com"/>
    <s v="daniel.ward@enthalpy.com"/>
    <s v="Daniel"/>
    <s v="Ward"/>
    <s v="US"/>
    <s v="58931F5467CF2D680A495C10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zaid.padilla@enthalpy.com"/>
    <s v="enthalpy.com"/>
    <s v="zaid.padilla@enthalpy.com"/>
    <s v="Zaid"/>
    <s v="Padilla"/>
    <s v="US"/>
    <s v="613D1EA567CF6CF30A495ED1@038d2aa263c9deeb495fea.e"/>
    <x v="2"/>
    <x v="0"/>
    <x v="0"/>
    <m/>
    <m/>
    <m/>
    <m/>
    <m/>
    <m/>
    <m/>
    <s v="Acrobat Standard DC (VIPMP - 99C0A3088A102BD9CB4A)"/>
    <m/>
    <m/>
    <x v="26"/>
    <x v="26"/>
    <n v="8.6983333333333324"/>
    <n v="0"/>
    <n v="0"/>
    <n v="8.6983333333333324"/>
    <n v="1"/>
  </r>
  <r>
    <s v="Federated ID"/>
    <s v="PaigeBarada@montrose-env.com"/>
    <s v="montrose-env.com"/>
    <s v="PaigeBarada@montrose-env.com"/>
    <s v="Paige"/>
    <s v="Barada"/>
    <s v="US"/>
    <s v="645A1E7D67CF7BEC0A495FEF@038d2aa263c9deeb495fea.e"/>
    <x v="1"/>
    <x v="0"/>
    <x v="0"/>
    <m/>
    <m/>
    <s v="USA - Stack - OH - Finance"/>
    <m/>
    <m/>
    <m/>
    <m/>
    <s v="Acrobat Pro (VIPMP - 99C0A3088A102BD9CB4A)"/>
    <m/>
    <m/>
    <x v="50"/>
    <x v="50"/>
    <n v="14.333333333333334"/>
    <n v="0"/>
    <n v="0"/>
    <n v="14.333333333333334"/>
    <n v="1"/>
  </r>
  <r>
    <s v="Federated ID"/>
    <s v="denisewatkins@montrose-env.com"/>
    <s v="montrose-env.com"/>
    <s v="denisewatkins@montrose-env.com"/>
    <s v="Denise"/>
    <s v="Watkins"/>
    <s v="US"/>
    <s v="8A431F7D67D069B50A495EF6@038d2aa263c9deeb495fea.e"/>
    <x v="1"/>
    <x v="0"/>
    <x v="0"/>
    <m/>
    <m/>
    <s v="USA - Advisory Services - Two Dot - Operations"/>
    <m/>
    <m/>
    <m/>
    <m/>
    <s v="Acrobat Pro (VIPMP - 99C0A3088A102BD9CB4A)"/>
    <m/>
    <m/>
    <x v="129"/>
    <x v="129"/>
    <n v="14.333333333333334"/>
    <n v="0"/>
    <n v="0"/>
    <n v="14.333333333333334"/>
    <n v="1"/>
  </r>
  <r>
    <s v="Federated ID"/>
    <s v="EthanJahnke@montrose-env.com"/>
    <s v="montrose-env.com"/>
    <s v="ethanjahnke@montrose-env.com"/>
    <s v="Ethan"/>
    <s v="Jahnke"/>
    <s v="US"/>
    <s v="95B61F5567D0B96A0A495FDB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RebeccaHouck@enthalpy.com"/>
    <s v="enthalpy.com"/>
    <s v="RebeccaHouck@enthalpy.com"/>
    <s v="Rebecca"/>
    <s v="Houck"/>
    <s v="US"/>
    <s v="BDCD1E7F67D1E0C60A495C59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DeandraDeLosSantos@montrose-env.com"/>
    <s v="montrose-env.com"/>
    <s v="DeandraDeLosSantos@montrose-env.com"/>
    <s v="Deandra"/>
    <s v="De Los Santos"/>
    <s v="US"/>
    <s v="E12F1F5B67D32ADC0A495FCA@038d2aa263c9deeb495fea.e"/>
    <x v="1"/>
    <x v="0"/>
    <x v="0"/>
    <m/>
    <m/>
    <s v="USA-CO-Loveland-North Denver Avenue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KalaniWhillock@montrose-env.com"/>
    <s v="montrose-env.com"/>
    <s v="KalaniWhillock@montrose-env.com"/>
    <s v="Kalani"/>
    <s v="Whillock"/>
    <s v="US"/>
    <s v="09DD1F7D67D46C0C0A495EF6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ikaelaGresty@montrose-env.com"/>
    <s v="montrose-env.com"/>
    <s v="MikaelaGresty@montrose-env.com"/>
    <s v="Mikaela"/>
    <s v="Gresty"/>
    <s v="US"/>
    <s v="08ED1F5467D46C9A0A495F9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EthanGreen@montrose-env.com"/>
    <s v="montrose-env.com"/>
    <s v="EthanGreen@montrose-env.com"/>
    <s v="Ethan"/>
    <s v="Green"/>
    <s v="US"/>
    <s v="0C421F5B67D493950A495EA9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AmberButler@montrose-env.com"/>
    <s v="montrose-env.com"/>
    <s v="AmberButler@montrose-env.com"/>
    <s v="Amber"/>
    <s v="Butler"/>
    <s v="US"/>
    <s v="112C1F5567D4942E0A495C33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JackPritchett@montrose-env.com"/>
    <s v="montrose-env.com"/>
    <s v="jackpritchett@montrose-env.com"/>
    <s v="Jack"/>
    <s v="Pritchett"/>
    <s v="US"/>
    <s v="6A921F7D67D869C30A495FF9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Albert.Vargas@enthalpy.com"/>
    <s v="enthalpy.com"/>
    <s v="albert.vargas@enthalpy.com"/>
    <s v="Albert"/>
    <s v="Vargas"/>
    <s v="US"/>
    <s v="6CCF1F7967D86D900A495EA4@038d2aa263c9deeb495fea.e"/>
    <x v="1"/>
    <x v="0"/>
    <x v="0"/>
    <m/>
    <m/>
    <s v="USA - Env Lab - Orange - Sales &amp; Marketing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NickCrosthwaite@montrose-env.com"/>
    <s v="montrose-env.com"/>
    <s v="NickCrosthwaite@montrose-env.com"/>
    <s v="Nicholas"/>
    <s v="Crosthwaite"/>
    <s v="US"/>
    <s v="6D181F5467D874550A495F9B@038d2aa263c9deeb495fea.e"/>
    <x v="0"/>
    <x v="0"/>
    <x v="0"/>
    <m/>
    <m/>
    <s v="USA - Advisory Services - Two Dot - Operations"/>
    <m/>
    <m/>
    <m/>
    <m/>
    <m/>
    <m/>
    <m/>
    <x v="0"/>
    <x v="0"/>
    <n v="0"/>
    <n v="0"/>
    <n v="0"/>
    <n v="0"/>
    <m/>
  </r>
  <r>
    <s v="Adobe ID"/>
    <s v="svincent@montrose-env.ca"/>
    <s v="montrose-env.ca"/>
    <s v="svincent@montrose-env.ca"/>
    <s v="Shanelle"/>
    <s v="Vincent"/>
    <s v="CA"/>
    <s v="9A5A1E7D67D9BF7A0A495EE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Adobe ID"/>
    <s v="csinclair@montrose-env.ca"/>
    <s v="montrose-env.ca"/>
    <s v="csinclair@montrose-env.ca"/>
    <s v="Courtney"/>
    <s v="Sinclair"/>
    <s v="CA"/>
    <s v="8F501F8467D9C8EA0A495E5D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Adobe ID"/>
    <s v="alee@montrose-env.ca"/>
    <s v="montrose-env.ca"/>
    <s v="alee@montrose-env.ca"/>
    <s v="Amy"/>
    <s v="Lee"/>
    <s v="CA"/>
    <s v="98671F5867D9C8EA0A495FCF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KyleWadley@montrose-env.com"/>
    <s v="montrose-env.com"/>
    <s v="KyleWadley@montrose-env.com"/>
    <s v="Kyle"/>
    <s v="Wadley"/>
    <s v="US"/>
    <s v="96F01F3B67D9D3140A495CB9@038d2aa263c9deeb495fea.e"/>
    <x v="2"/>
    <x v="0"/>
    <x v="0"/>
    <m/>
    <m/>
    <s v="USA - Environmental Consulting - Orlando - Operations"/>
    <m/>
    <m/>
    <m/>
    <m/>
    <s v="Acrobat Standard DC (VIPMP - 99C0A3088A102BD9CB4A)"/>
    <m/>
    <m/>
    <x v="28"/>
    <x v="28"/>
    <n v="8.6983333333333324"/>
    <n v="0"/>
    <n v="0"/>
    <n v="8.6983333333333324"/>
    <n v="1"/>
  </r>
  <r>
    <s v="Federated ID"/>
    <s v="TroyHughes@montrose-env.com"/>
    <s v="montrose-env.com"/>
    <s v="troyhughes@montrose-env.com"/>
    <s v="Troy"/>
    <s v="Hughes"/>
    <s v="US"/>
    <s v="B82C1F7567DACA650A495F9E@038d2aa263c9deeb495fea.e"/>
    <x v="1"/>
    <x v="0"/>
    <x v="0"/>
    <m/>
    <m/>
    <m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Mackenziebell@enthalpy.com"/>
    <s v="enthalpy.com"/>
    <s v="mackenziebell@enthalpy.com"/>
    <s v="Mackenzie"/>
    <s v="Bell"/>
    <s v="US"/>
    <s v="B6A11F9167DACAD10A495FB4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KarenMejia@enthalpy.com"/>
    <s v="enthalpy.com"/>
    <s v="KarenMejia@enthalpy.com"/>
    <s v="Karen"/>
    <s v="Mejia"/>
    <s v="US"/>
    <s v="FE5820D567DCB8A00A495EA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osephVentura@montrose-env.com"/>
    <s v="montrose-env.com"/>
    <s v="JosephVentura@montrose-env.com"/>
    <s v="Joseph"/>
    <s v="Ventura"/>
    <s v="US"/>
    <s v="97AB1EB467E188C10A495CC0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KelseyWooldridge@montrose-env.com"/>
    <s v="montrose-env.com"/>
    <s v="KelseyWooldridge@montrose-env.com"/>
    <s v="Kelsey"/>
    <s v="Wooldridge"/>
    <s v="US"/>
    <s v="8DBA1F5B67E18DE70A495FCA@038d2aa263c9deeb495fea.e"/>
    <x v="1"/>
    <x v="0"/>
    <x v="0"/>
    <m/>
    <m/>
    <s v="USA - Sensible EDP - Denver - Operations"/>
    <m/>
    <m/>
    <m/>
    <m/>
    <s v="Acrobat Pro (VIPMP - 99C0A3088A102BD9CB4A)"/>
    <m/>
    <m/>
    <x v="61"/>
    <x v="61"/>
    <n v="14.333333333333334"/>
    <n v="0"/>
    <n v="0"/>
    <n v="14.333333333333334"/>
    <n v="1"/>
  </r>
  <r>
    <s v="Federated ID"/>
    <s v="JaclynLane@montrose-env.com"/>
    <s v="montrose-env.com"/>
    <s v="jakilane@montrose-env.com"/>
    <s v="Jaclyn"/>
    <s v="Lane"/>
    <s v="US"/>
    <s v="A2CD1EB467E1CDDB0A495CC0@038d2aa263c9deeb495fea.e"/>
    <x v="1"/>
    <x v="0"/>
    <x v="0"/>
    <m/>
    <m/>
    <s v="USA-CO-Loveland-North Denver Avenue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haneVosberg@montrose-env.com"/>
    <s v="montrose-env.com"/>
    <s v="ShaneVosberg@montrose-env.com"/>
    <s v="Shane"/>
    <s v="Vosberg"/>
    <s v="US"/>
    <s v="900E1F5467E1CE790A495C10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FinlayJohnson@montrose-env.com"/>
    <s v="montrose-env.com"/>
    <s v="finnjohnson@montrose-env.com"/>
    <s v="Finlay"/>
    <s v="Johnson"/>
    <s v="US"/>
    <s v="C2FC1E8067E2C5760A495EEC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WalterGlenn@montrose-env.com"/>
    <s v="montrose-env.com"/>
    <s v="WalterGlenn@montrose-env.com"/>
    <s v="Walter"/>
    <s v="Glenn"/>
    <s v="US"/>
    <s v="AC901F5567E2C5BB0A495E85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ichaelOrlando@montrose-env.com"/>
    <s v="montrose-env.com"/>
    <s v="MichaelOrlando@montrose-env.com"/>
    <s v="Michael"/>
    <s v="Orlando"/>
    <s v="US"/>
    <s v="BC481F9167E2FDE20A495FB4@038d2aa263c9deeb495fea.e"/>
    <x v="0"/>
    <x v="0"/>
    <x v="0"/>
    <m/>
    <m/>
    <s v="USA - Environmental Consulting - Orlando - Operations"/>
    <m/>
    <m/>
    <m/>
    <m/>
    <m/>
    <m/>
    <m/>
    <x v="0"/>
    <x v="0"/>
    <n v="0"/>
    <n v="0"/>
    <n v="0"/>
    <n v="0"/>
    <m/>
  </r>
  <r>
    <s v="Federated ID"/>
    <s v="LillianJohnson@montrose-env.com"/>
    <s v="montrose-env.com"/>
    <s v="LillianJohnson@montrose-env.com"/>
    <s v="Lillian"/>
    <s v="Johnson"/>
    <s v="US"/>
    <s v="C62D1F5A67E301C00A495E10@038d2aa263c9deeb495fea.e"/>
    <x v="1"/>
    <x v="0"/>
    <x v="0"/>
    <m/>
    <m/>
    <s v="USA - MES - CO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BrentHarrison@montrose-env.com"/>
    <s v="montrose-env.com"/>
    <s v="BrentHarrison@montrose-env.com"/>
    <s v="Brent"/>
    <s v="Harrison"/>
    <s v="US"/>
    <s v="C4021F7E67E30BD00A495FAC@038d2aa263c9deeb495fea.e"/>
    <x v="1"/>
    <x v="0"/>
    <x v="0"/>
    <m/>
    <m/>
    <s v="USA - Environmental Consulting - Nashville - Operations"/>
    <m/>
    <m/>
    <m/>
    <m/>
    <s v="Acrobat Pro (VIPMP - 99C0A3088A102BD9CB4A)"/>
    <m/>
    <m/>
    <x v="117"/>
    <x v="117"/>
    <n v="14.333333333333334"/>
    <n v="0"/>
    <n v="0"/>
    <n v="14.333333333333334"/>
    <n v="1"/>
  </r>
  <r>
    <s v="Federated ID"/>
    <s v="robertogasparini@montrose-env.com"/>
    <s v="montrose-env.com"/>
    <s v="robertogasparini@montrose-env.com"/>
    <s v="Roberto"/>
    <s v="Gasparini"/>
    <s v="US"/>
    <s v="F2A81F9A67E44F820A495E3F@038d2aa263c9deeb495fea.e"/>
    <x v="1"/>
    <x v="0"/>
    <x v="0"/>
    <m/>
    <m/>
    <s v="USA - Advisory Services - Spirit - G&amp;A"/>
    <m/>
    <m/>
    <m/>
    <m/>
    <s v="Acrobat Pro (VIPMP - 99C0A3088A102BD9CB4A)"/>
    <m/>
    <m/>
    <x v="130"/>
    <x v="130"/>
    <n v="14.333333333333334"/>
    <n v="0"/>
    <n v="0"/>
    <n v="14.333333333333334"/>
    <n v="1"/>
  </r>
  <r>
    <s v="Federated ID"/>
    <s v="AnellaMcCamy@enthalpy.com"/>
    <s v="enthalpy.com"/>
    <s v="anellamccamy@enthalpy.com"/>
    <s v="Anella"/>
    <s v="McCamy"/>
    <s v="US"/>
    <s v="1E531F8367E56BA40A495EB7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KaylaKenyon@enthalpy.com"/>
    <s v="enthalpy.com"/>
    <s v="KaylaKenyon@enthalpy.com"/>
    <s v="Kayla"/>
    <s v="Kenyon"/>
    <s v="US"/>
    <s v="1CC01E7A67E577DE0A495CD6@038d2aa263c9deeb495fea.e"/>
    <x v="1"/>
    <x v="0"/>
    <x v="0"/>
    <m/>
    <m/>
    <s v="USA - Env Lab - Denver - Operations"/>
    <m/>
    <m/>
    <m/>
    <m/>
    <s v="Acrobat Pro (VIPMP - 99C0A3088A102BD9CB4A)"/>
    <m/>
    <m/>
    <x v="123"/>
    <x v="123"/>
    <n v="14.333333333333334"/>
    <n v="0"/>
    <n v="0"/>
    <n v="14.333333333333334"/>
    <n v="1"/>
  </r>
  <r>
    <s v="Federated ID"/>
    <s v="GarthHesseltine@montrose-env.com"/>
    <s v="montrose-env.com"/>
    <s v="GarthHesseltine@montrose-env.com"/>
    <s v="Garth"/>
    <s v="Hesseltine"/>
    <s v="US"/>
    <s v="213E1F9A67E589DF0A495E3F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bierly-farner@montrose-env.com"/>
    <s v="montrose-env.com"/>
    <s v="mbierly-farner@montrose-env.com"/>
    <s v="Mary"/>
    <s v="Bierly-Farner"/>
    <s v="US"/>
    <s v="BFC51F5867EAD2B20A495CF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EmilyArnold@montrose-env.com"/>
    <s v="montrose-env.com"/>
    <s v="EmilyArnold@montrose-env.com"/>
    <s v="Emily"/>
    <s v="Arnold"/>
    <s v="US"/>
    <s v="BCEC20D567EAE19D0A495EA7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ZacharyCornejo@montrose-env.com"/>
    <s v="montrose-env.com"/>
    <s v="ZACHARYCORNEJO@montrose-env.com"/>
    <s v="Zachary"/>
    <s v="Cornejo"/>
    <s v="US"/>
    <s v="EF061F7267EBC2660A495C1A@038d2aa263c9deeb495fea.e"/>
    <x v="1"/>
    <x v="0"/>
    <x v="0"/>
    <m/>
    <m/>
    <s v="USA - Environmental Consulting - Oakland - G&amp;A"/>
    <m/>
    <m/>
    <m/>
    <m/>
    <s v="Acrobat Pro (VIPMP - 99C0A3088A102BD9CB4A)"/>
    <m/>
    <m/>
    <x v="34"/>
    <x v="34"/>
    <n v="14.333333333333334"/>
    <n v="0"/>
    <n v="0"/>
    <n v="14.333333333333334"/>
    <n v="1"/>
  </r>
  <r>
    <s v="Federated ID"/>
    <s v="IanSullivan@montrose-env.com"/>
    <s v="montrose-env.com"/>
    <s v="IanSullivan@montrose-env.com"/>
    <s v="Ian"/>
    <s v="Sullivan"/>
    <s v="US"/>
    <s v="ECFC1F5867EBCC470A495C8B@038d2aa263c9deeb495fea.e"/>
    <x v="1"/>
    <x v="0"/>
    <x v="0"/>
    <m/>
    <m/>
    <s v="USA-CO-Loveland-North Denver Avenue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abrinaWilliams@enthalpy.com"/>
    <s v="enthalpy.com"/>
    <s v="SabrinaWilliams@enthalpy.com"/>
    <s v="Sabrina"/>
    <s v="Williams"/>
    <s v="US"/>
    <s v="E8CF1E7D67EBEF2A0A495FEF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mattloftin@montrose-env.com"/>
    <s v="montrose-env.com"/>
    <s v="mattloftin@montrose-env.com"/>
    <s v="Matt"/>
    <s v="Loftin"/>
    <s v="US"/>
    <s v="079E205F67EC347E0A495E4F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asonBrowne@montrose-env.com"/>
    <s v="montrose-env.com"/>
    <s v="jasonbrowne@montrose-env.com"/>
    <s v="Jason"/>
    <s v="Browne"/>
    <s v="US"/>
    <s v="0C38206867EC36A10A495FE5@038d2aa263c9deeb495fea.e"/>
    <x v="1"/>
    <x v="0"/>
    <x v="0"/>
    <m/>
    <m/>
    <s v="USA - Advisory Services - Spirit - G&amp;A"/>
    <m/>
    <m/>
    <m/>
    <m/>
    <s v="Acrobat Pro (VIPMP - 99C0A3088A102BD9CB4A)"/>
    <m/>
    <m/>
    <x v="130"/>
    <x v="130"/>
    <n v="14.333333333333334"/>
    <n v="0"/>
    <n v="0"/>
    <n v="14.333333333333334"/>
    <n v="1"/>
  </r>
  <r>
    <s v="Federated ID"/>
    <s v="NicholasAdams@enthalpy.com"/>
    <s v="enthalpy.com"/>
    <s v="NicholasAdams@enthalpy.com"/>
    <s v="Nicholas"/>
    <s v="Adams"/>
    <s v="US"/>
    <s v="0F3B218E67EC44510A495FCC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AnnamariaPastore@montrose-env.com"/>
    <s v="montrose-env.com"/>
    <s v="AnnamariaPastore@montrose-env.com"/>
    <s v="Annamaria"/>
    <s v="Pastore"/>
    <s v="US"/>
    <s v="0D21206067EC470B0A495ECC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KendallZogg@montrose-env.com"/>
    <s v="montrose-env.com"/>
    <s v="kendallzogg@montrose-env.com"/>
    <s v="Kendall"/>
    <s v="Zogg"/>
    <s v="US"/>
    <s v="147A208B67EC6F450A495C54@038d2aa263c9deeb495fea.e"/>
    <x v="1"/>
    <x v="0"/>
    <x v="0"/>
    <m/>
    <m/>
    <s v="USA - LDAR - California - Operations"/>
    <m/>
    <m/>
    <m/>
    <m/>
    <s v="Acrobat Pro (VIPMP - 99C0A3088A102BD9CB4A)"/>
    <m/>
    <m/>
    <x v="69"/>
    <x v="69"/>
    <n v="14.333333333333334"/>
    <n v="0"/>
    <n v="0"/>
    <n v="14.333333333333334"/>
    <n v="1"/>
  </r>
  <r>
    <s v="Federated ID"/>
    <s v="DesireeStuard@montrose-env.com"/>
    <s v="montrose-env.com"/>
    <s v="DesireeStuard@montrose-env.com"/>
    <s v="Desiree"/>
    <s v="Stuard"/>
    <s v="US"/>
    <s v="373F208B67ED5C480A495C54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SophiaLarabee@montrose-env.com"/>
    <s v="montrose-env.com"/>
    <s v="sophialarabee@montrose-env.com"/>
    <s v="Sophia"/>
    <s v="Larabee"/>
    <s v="US"/>
    <s v="3AF9206C67ED8BF40A495EAC@038d2aa263c9deeb495fea.e"/>
    <x v="1"/>
    <x v="0"/>
    <x v="0"/>
    <m/>
    <m/>
    <s v="USA - Advisory Services - Spirit - G&amp;A"/>
    <m/>
    <m/>
    <m/>
    <m/>
    <s v="Acrobat Pro (VIPMP - 99C0A3088A102BD9CB4A)"/>
    <m/>
    <m/>
    <x v="130"/>
    <x v="130"/>
    <n v="14.333333333333334"/>
    <n v="0"/>
    <n v="0"/>
    <n v="14.333333333333334"/>
    <n v="1"/>
  </r>
  <r>
    <s v="Federated ID"/>
    <s v="TerryBertas@enthalpy.com"/>
    <s v="enthalpy.com"/>
    <s v="terrybertas@enthalpy.com"/>
    <s v="Terry"/>
    <s v="Bertas"/>
    <s v="US"/>
    <s v="60F520AF67EEA4D50A495FEB@038d2aa263c9deeb495fea.e"/>
    <x v="1"/>
    <x v="0"/>
    <x v="0"/>
    <m/>
    <m/>
    <s v="USA - Env Lab - Denver - Operations"/>
    <m/>
    <m/>
    <m/>
    <m/>
    <s v="Acrobat Pro (VIPMP - 99C0A3088A102BD9CB4A)"/>
    <m/>
    <m/>
    <x v="42"/>
    <x v="42"/>
    <n v="14.333333333333334"/>
    <n v="0"/>
    <n v="0"/>
    <n v="14.333333333333334"/>
    <n v="1"/>
  </r>
  <r>
    <s v="Federated ID"/>
    <s v="TaraRodgers@montrose-env.com"/>
    <s v="montrose-env.com"/>
    <s v="TaraRodgers@montrose-env.com"/>
    <s v="Tara"/>
    <s v="Rodgers"/>
    <s v="US"/>
    <s v="71F0206667EEE0750A495FBE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DarrenLamsma@montrose-env.com"/>
    <s v="montrose-env.com"/>
    <s v="DarrenLamsma@montrose-env.com"/>
    <s v="Darren"/>
    <s v="Lamsma"/>
    <s v="US"/>
    <s v="7445206267EEFF770A495FE2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ollieEnck@montrose-env.com"/>
    <s v="montrose-env.com"/>
    <s v="MollieEnck@montrose-env.com"/>
    <s v="Mollie"/>
    <s v="Enck"/>
    <s v="US"/>
    <s v="852A667367F4091C0A495EF1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rebecastevens@montrose-env.com"/>
    <s v="montrose-env.com"/>
    <s v="rebecastevens@montrose-env.com"/>
    <s v="Rebeca"/>
    <s v="Stevens"/>
    <s v="US"/>
    <s v="7A125B1E67F419C90A495C71@038d2aa263c9deeb495fea.e"/>
    <x v="1"/>
    <x v="0"/>
    <x v="0"/>
    <m/>
    <m/>
    <s v="USA - Advisory Services - Spirit - G&amp;A"/>
    <m/>
    <m/>
    <m/>
    <m/>
    <s v="Acrobat Pro (VIPMP - 99C0A3088A102BD9CB4A)"/>
    <m/>
    <m/>
    <x v="120"/>
    <x v="120"/>
    <n v="14.333333333333334"/>
    <n v="0"/>
    <n v="0"/>
    <n v="14.333333333333334"/>
    <n v="1"/>
  </r>
  <r>
    <s v="Federated ID"/>
    <s v="KylePoisson@montrose-env.com"/>
    <s v="montrose-env.com"/>
    <s v="KylePoisson@montrose-env.com"/>
    <s v="Kyle"/>
    <s v="Poisson"/>
    <s v="US"/>
    <s v="9318491C67F43D3B0A495FE0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ariaHachikian@montrose-env.com"/>
    <s v="montrose-env.com"/>
    <s v="MariaHachikian@montrose-env.com"/>
    <s v="Maria"/>
    <s v="Hachikian"/>
    <s v="US"/>
    <s v="15F0206A67F449C70A495E20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lwheeling@montrose-env.com"/>
    <s v="montrose-env.com"/>
    <s v="lwheeling@montrose-env.com"/>
    <s v="Lara"/>
    <s v="Wheeling"/>
    <s v="US"/>
    <s v="39AC208767F573D70A495FAA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DerekStreet@montrose-env.com"/>
    <s v="montrose-env.com"/>
    <s v="DerekStreet@montrose-env.com"/>
    <s v="Derek"/>
    <s v="Street"/>
    <s v="US"/>
    <s v="7181206867F6A1270A495E9E@038d2aa263c9deeb495fea.e"/>
    <x v="2"/>
    <x v="0"/>
    <x v="0"/>
    <m/>
    <m/>
    <s v="USA - Environmental Consulting OH - G&amp;A"/>
    <m/>
    <m/>
    <m/>
    <m/>
    <s v="Acrobat Standard DC (VIPMP - 99C0A3088A102BD9CB4A)"/>
    <m/>
    <m/>
    <x v="17"/>
    <x v="17"/>
    <n v="8.6983333333333324"/>
    <n v="0"/>
    <n v="0"/>
    <n v="8.6983333333333324"/>
    <n v="1"/>
  </r>
  <r>
    <s v="Federated ID"/>
    <s v="AlisabethMcRae@montrose-env.com"/>
    <s v="montrose-env.com"/>
    <s v="AlisabethMcRae@montrose-env.com"/>
    <s v="Alisabeth"/>
    <s v="McRae"/>
    <s v="US"/>
    <s v="D7A9128467F6A2D60A495E7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dmzay@montrose-env.com"/>
    <s v="montrose-env.com"/>
    <s v="dmzay@montrose-env.com"/>
    <s v="Derek"/>
    <s v="Zay"/>
    <s v="US"/>
    <s v="63F5208867F6AD710A495C4C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SamanthaTaylor@enthalpy.com"/>
    <s v="enthalpy.com"/>
    <s v="SamanthaTaylor@enthalpy.com"/>
    <s v="Samantha"/>
    <s v="Taylor"/>
    <s v="US"/>
    <s v="7CE9206567F7BDDA0A495C0B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VictoriaVollert@montrose-env.com"/>
    <s v="montrose-env.com"/>
    <s v="VictoriaVollert@montrose-env.com"/>
    <s v="Victoria"/>
    <s v="Vollert"/>
    <s v="US"/>
    <s v="31874F6A67F967910A495C38@038d2aa263c9deeb495fea.e"/>
    <x v="1"/>
    <x v="0"/>
    <x v="0"/>
    <m/>
    <m/>
    <s v="USA-CO-Loveland-North Denver Avenue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adelineKonopinski@montrose-env.com"/>
    <s v="montrose-env.com"/>
    <s v="MadelineKonopinski@montrose-env.com"/>
    <s v="Madeline"/>
    <s v="Konopinski"/>
    <s v="US"/>
    <s v="BAF3206867F967B60A495EA2@038d2aa263c9deeb495fea.e"/>
    <x v="1"/>
    <x v="0"/>
    <x v="0"/>
    <m/>
    <m/>
    <s v="USA-CO-Loveland-North Denver Avenue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KalebMeihls@montrose-env.com"/>
    <s v="montrose-env.com"/>
    <s v="KalebMeihls@montrose-env.com"/>
    <s v="Kaleb"/>
    <s v="Meihls"/>
    <s v="US"/>
    <s v="C240206C67F968990A495C90@038d2aa263c9deeb495fea.e"/>
    <x v="1"/>
    <x v="0"/>
    <x v="0"/>
    <m/>
    <m/>
    <s v="USA - LDAR - OH - Sales"/>
    <m/>
    <m/>
    <m/>
    <m/>
    <s v="Acrobat Pro (VIPMP - 99C0A3088A102BD9CB4A)"/>
    <m/>
    <m/>
    <x v="94"/>
    <x v="94"/>
    <n v="14.333333333333334"/>
    <n v="0"/>
    <n v="0"/>
    <n v="14.333333333333334"/>
    <n v="1"/>
  </r>
  <r>
    <s v="Federated ID"/>
    <s v="AlisabethMcRae@enthalpy.com"/>
    <s v="enthalpy.com"/>
    <s v="AlisabethMcRae@enthalpy.com"/>
    <s v="Alisabeth"/>
    <s v="McRae"/>
    <s v="US"/>
    <s v="23B4208867FD2FAC0A495E26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jlthomas@montrose-env.com"/>
    <s v="montrose-env.com"/>
    <s v="jlthomas@montrose-env.com"/>
    <s v="Juanica"/>
    <s v="Thomas"/>
    <s v="US"/>
    <s v="A88A49B367FE66570A495C61@038d2aa263c9deeb495fea.e"/>
    <x v="0"/>
    <x v="0"/>
    <x v="0"/>
    <m/>
    <m/>
    <s v="USA - Env Lab - Wilmington - Operations"/>
    <m/>
    <m/>
    <m/>
    <m/>
    <m/>
    <m/>
    <m/>
    <x v="0"/>
    <x v="0"/>
    <n v="0"/>
    <n v="0"/>
    <n v="0"/>
    <n v="0"/>
    <m/>
  </r>
  <r>
    <s v="Federated ID"/>
    <s v="ceschwartz@montrose-env.com"/>
    <s v="montrose-env.com"/>
    <s v="ceschwartz@montrose-env.com"/>
    <s v="Charles"/>
    <s v="Schwartz"/>
    <s v="US"/>
    <s v="AB0C49B367FE73350A495C61@038d2aa263c9deeb495fea.e"/>
    <x v="2"/>
    <x v="0"/>
    <x v="0"/>
    <m/>
    <m/>
    <s v="USA - Environmental Consulting - Wilmington DE - Operations"/>
    <m/>
    <m/>
    <m/>
    <m/>
    <s v="Acrobat Standard DC (VIPMP - 99C0A3088A102BD9CB4A)"/>
    <m/>
    <m/>
    <x v="33"/>
    <x v="33"/>
    <n v="8.6983333333333324"/>
    <n v="0"/>
    <n v="0"/>
    <n v="8.6983333333333324"/>
    <n v="1"/>
  </r>
  <r>
    <s v="Federated ID"/>
    <s v="jenniferpellegrini@enthalpy.com"/>
    <s v="enthalpy.com"/>
    <s v="jenniferpellegrini@enthalpy.com"/>
    <s v="Jennifer"/>
    <s v="Pellegrini"/>
    <s v="US"/>
    <s v="AA25729F67FE9D1F0A495C17@038d2aa263c9deeb495fea.e"/>
    <x v="2"/>
    <x v="0"/>
    <x v="0"/>
    <m/>
    <m/>
    <s v="USA - Env Lab - Denver - Operations"/>
    <m/>
    <m/>
    <m/>
    <m/>
    <s v="Acrobat Standard DC (VIPMP - 99C0A3088A102BD9CB4A)"/>
    <m/>
    <m/>
    <x v="123"/>
    <x v="123"/>
    <n v="8.6983333333333324"/>
    <n v="0"/>
    <n v="0"/>
    <n v="8.6983333333333324"/>
    <n v="1"/>
  </r>
  <r>
    <s v="Federated ID"/>
    <s v="noelledoyle@enthalpy.com"/>
    <s v="enthalpy.com"/>
    <s v="noelledoyle@enthalpy.com"/>
    <s v="Noelle"/>
    <s v="Doyle"/>
    <s v="US"/>
    <s v="B2030D0B67FE9D710A495ECA@038d2aa263c9deeb495fea.e"/>
    <x v="0"/>
    <x v="0"/>
    <x v="0"/>
    <m/>
    <m/>
    <s v="USA - Env Lab - Denver - Operations"/>
    <m/>
    <m/>
    <m/>
    <m/>
    <m/>
    <m/>
    <m/>
    <x v="0"/>
    <x v="0"/>
    <n v="0"/>
    <n v="0"/>
    <n v="0"/>
    <n v="0"/>
    <m/>
  </r>
  <r>
    <s v="Federated ID"/>
    <s v="davidmathis@enthalpy.com"/>
    <s v="enthalpy.com"/>
    <s v="davidmathis@enthalpy.com"/>
    <s v="David"/>
    <s v="Mathis"/>
    <s v="US"/>
    <s v="40DB217F67FE9DA40A495EAF@038d2aa263c9deeb495fea.e"/>
    <x v="2"/>
    <x v="3"/>
    <x v="0"/>
    <m/>
    <m/>
    <s v="USA - Env Lab - Denver - Operations"/>
    <m/>
    <m/>
    <m/>
    <m/>
    <s v="Acrobat Standard DC (VIPMP - 99C0A3088A102BD9CB4A),Illustrator (VIPMP - 99C0A3088A102BD9CB4A)"/>
    <m/>
    <m/>
    <x v="123"/>
    <x v="123"/>
    <n v="8.6983333333333324"/>
    <n v="36.357500000000002"/>
    <n v="0"/>
    <n v="45.055833333333332"/>
    <n v="1"/>
  </r>
  <r>
    <s v="Federated ID"/>
    <s v="rechajkowski@montrose-env.com"/>
    <s v="montrose-env.com"/>
    <s v="rechajkowski@montrose-env.com"/>
    <s v="Rebekah"/>
    <s v="Chajkowski"/>
    <s v="US"/>
    <s v="A9522089680291F90A495F95@038d2aa263c9deeb495fea.e"/>
    <x v="1"/>
    <x v="0"/>
    <x v="0"/>
    <m/>
    <m/>
    <s v="USA - Stack - Gulf Coast - Operations"/>
    <m/>
    <m/>
    <m/>
    <m/>
    <s v="Acrobat Pro (VIPMP - 99C0A3088A102BD9CB4A)"/>
    <m/>
    <m/>
    <x v="60"/>
    <x v="60"/>
    <n v="14.333333333333334"/>
    <n v="0"/>
    <n v="0"/>
    <n v="14.333333333333334"/>
    <n v="1"/>
  </r>
  <r>
    <s v="Federated ID"/>
    <s v="NicholasCarey@enthalpy.com"/>
    <s v="enthalpy.com"/>
    <s v="nicholascarey@enthalpy.com"/>
    <s v="Nicholas"/>
    <s v="Carey"/>
    <s v="US"/>
    <s v="8E7A423B6806966B0A495C27@038d2aa263c9deeb495fea.e"/>
    <x v="2"/>
    <x v="0"/>
    <x v="0"/>
    <m/>
    <m/>
    <s v="USA - Env Lab - Richmond - Operations"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Adobe ID"/>
    <s v="nmcphee@montrose-env.ca"/>
    <s v="montrose-env.ca"/>
    <s v="nmcphee@montrose-env.ca"/>
    <s v="Nikki"/>
    <s v="McPhee"/>
    <s v="CA"/>
    <s v="3E3E20946807BF150A495C35@038d2aa263c9deeb495fea.e"/>
    <x v="2"/>
    <x v="0"/>
    <x v="0"/>
    <m/>
    <m/>
    <s v="CAN - Consulting &amp; Engineering - Env Sciences and Planning - West Ecology - Operations"/>
    <m/>
    <m/>
    <m/>
    <m/>
    <s v="Acrobat Standard DC (VIPMP - 99C0A3088A102BD9CB4A)"/>
    <m/>
    <m/>
    <x v="131"/>
    <x v="131"/>
    <n v="8.6983333333333324"/>
    <n v="0"/>
    <n v="0"/>
    <n v="8.6983333333333324"/>
    <n v="1"/>
  </r>
  <r>
    <s v="Adobe ID"/>
    <s v="jwiigs@montrose-env.ca"/>
    <s v="montrose-env.ca"/>
    <s v="jwiigs@montrose-env.ca"/>
    <s v="Jaron"/>
    <s v="Wiigs"/>
    <s v="CA"/>
    <s v="BFC8423A6807BF7D0A495FEE@038d2aa263c9deeb495fea.e"/>
    <x v="2"/>
    <x v="0"/>
    <x v="0"/>
    <m/>
    <m/>
    <s v="CAN - Consulting &amp; Engineering - Env Sciences and Planning - West Ecology - Operations"/>
    <m/>
    <m/>
    <m/>
    <m/>
    <s v="Acrobat Standard DC (VIPMP - 99C0A3088A102BD9CB4A)"/>
    <m/>
    <m/>
    <x v="131"/>
    <x v="131"/>
    <n v="8.6983333333333324"/>
    <n v="0"/>
    <n v="0"/>
    <n v="8.6983333333333324"/>
    <n v="1"/>
  </r>
  <r>
    <s v="Federated ID"/>
    <s v="AmySalvador@montrose-env.com"/>
    <s v="montrose-env.com"/>
    <s v="AmySalvador@montrose-env.com"/>
    <s v="Amy"/>
    <s v="Salvador"/>
    <s v="US"/>
    <s v="CD6F12E26807D32D0A495FC1@038d2aa263c9deeb495fea.e"/>
    <x v="0"/>
    <x v="0"/>
    <x v="0"/>
    <m/>
    <m/>
    <s v="USA - Environmental Consulting - Santa Ana (P&amp;C) - Operations"/>
    <m/>
    <m/>
    <m/>
    <m/>
    <m/>
    <m/>
    <m/>
    <x v="0"/>
    <x v="0"/>
    <n v="0"/>
    <n v="0"/>
    <n v="0"/>
    <n v="0"/>
    <m/>
  </r>
  <r>
    <s v="Federated ID"/>
    <s v="RichardBegley@montrose-env.com"/>
    <s v="montrose-env.com"/>
    <s v="RichardBegley@montrose-env.com"/>
    <s v="Richard"/>
    <s v="Begley"/>
    <s v="US"/>
    <s v="3ECD206E6807D49F0A495E99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idanWilson@montrose-env.com"/>
    <s v="montrose-env.com"/>
    <s v="AidanWilson@montrose-env.com"/>
    <s v="Aidan"/>
    <s v="Wilson"/>
    <s v="US"/>
    <s v="095A216B680A93F70A495ECD@038d2aa263c9deeb495fea.e"/>
    <x v="0"/>
    <x v="0"/>
    <x v="0"/>
    <m/>
    <m/>
    <s v="USA - Advisory Services - Two Dot - Operations"/>
    <m/>
    <m/>
    <m/>
    <m/>
    <m/>
    <m/>
    <m/>
    <x v="0"/>
    <x v="0"/>
    <n v="0"/>
    <n v="0"/>
    <n v="0"/>
    <n v="0"/>
    <m/>
  </r>
  <r>
    <s v="Federated ID"/>
    <s v="cherielewellen@montrose-env.com"/>
    <s v="montrose-env.com"/>
    <s v="cherielewellen@montrose-env.com"/>
    <s v="Cherie"/>
    <s v="Lewellen"/>
    <s v="US"/>
    <s v="2E302170680BD2730A495F8A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KatelynDrake@enthalpy.com"/>
    <s v="enthalpy.com"/>
    <s v="KatelynDrake@enthalpy.com"/>
    <s v="Katelyn"/>
    <s v="Drake"/>
    <s v="US"/>
    <s v="309A216C680BD3A30A495FD5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NicholasTraversa@enthalpy.com"/>
    <s v="enthalpy.com"/>
    <s v="NicholasTraversa@enthalpy.com"/>
    <s v="Nicholas"/>
    <s v="Traversa"/>
    <s v="US"/>
    <s v="891A218A680F89110A495FDE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JacobCox@montrose-env.com"/>
    <s v="montrose-env.com"/>
    <s v="JacobCox@montrose-env.com"/>
    <s v="Jacob"/>
    <s v="Cox"/>
    <s v="US"/>
    <s v="91A821B5680FB5AA0A495C0E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JessicaBurton@montrose-env.com"/>
    <s v="montrose-env.com"/>
    <s v="JessicaBurton@montrose-env.com"/>
    <s v="Jessica"/>
    <s v="Burton"/>
    <s v="US"/>
    <s v="AEC7216C6810C59D0A495FF3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SamuelWilson@montrose-env.com"/>
    <s v="montrose-env.com"/>
    <s v="SamuelWilson@montrose-env.com"/>
    <s v="Samuel"/>
    <s v="Wilson"/>
    <s v="US"/>
    <s v="03662166681377F10A495C67@038d2aa263c9deeb495fea.e"/>
    <x v="0"/>
    <x v="0"/>
    <x v="0"/>
    <m/>
    <m/>
    <s v="USA - Advisory Services - Two Dot - Operations"/>
    <m/>
    <m/>
    <m/>
    <m/>
    <m/>
    <m/>
    <m/>
    <x v="0"/>
    <x v="0"/>
    <n v="0"/>
    <n v="0"/>
    <n v="0"/>
    <n v="0"/>
    <m/>
  </r>
  <r>
    <s v="Federated ID"/>
    <s v="ext-JosephLanders@montrose-env.com"/>
    <s v="montrose-env.com"/>
    <s v="ext-JosephLanders@montrose-env.com"/>
    <s v="Joseph"/>
    <s v="Landers"/>
    <s v="US"/>
    <s v="0A9821676813A4EC0A495FB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KristinaHysler@montrose-env.com"/>
    <s v="montrose-env.com"/>
    <s v="KristinaHysler@montrose-env.com"/>
    <s v="Kristina"/>
    <s v="Hysler"/>
    <s v="US"/>
    <s v="976C216C6818F7CA0A495FD5@038d2aa263c9deeb495fea.e"/>
    <x v="2"/>
    <x v="0"/>
    <x v="0"/>
    <m/>
    <m/>
    <s v="USA - Environmental Consulting - Environmental Intelligence - G&amp;A"/>
    <m/>
    <m/>
    <m/>
    <m/>
    <s v="Acrobat Standard DC (VIPMP - 99C0A3088A102BD9CB4A)"/>
    <m/>
    <m/>
    <x v="63"/>
    <x v="63"/>
    <n v="8.6983333333333324"/>
    <n v="0"/>
    <n v="0"/>
    <n v="8.6983333333333324"/>
    <n v="1"/>
  </r>
  <r>
    <s v="Federated ID"/>
    <s v="JoshuaBarrera@montrose-env.com"/>
    <s v="montrose-env.com"/>
    <s v="JoshuaBarrera@montrose-env.com"/>
    <s v="Joshua"/>
    <s v="Barrera"/>
    <s v="US"/>
    <s v="BBE32190681A0B500A495CF5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yubai@montrose-env.com"/>
    <s v="montrose-env.com"/>
    <s v="yubai@montrose-env.com"/>
    <s v="Yunxuan"/>
    <s v="Bai"/>
    <s v="US"/>
    <s v="B768218F681A2F170A495CDD@038d2aa263c9deeb495fea.e"/>
    <x v="0"/>
    <x v="0"/>
    <x v="0"/>
    <m/>
    <m/>
    <s v="USA - Environmental Consulting OH - Finance"/>
    <m/>
    <m/>
    <m/>
    <m/>
    <m/>
    <m/>
    <m/>
    <x v="0"/>
    <x v="0"/>
    <n v="0"/>
    <n v="0"/>
    <n v="0"/>
    <n v="0"/>
    <m/>
  </r>
  <r>
    <s v="Federated ID"/>
    <s v="matthew.webster@enthalpy.com"/>
    <s v="enthalpy.com"/>
    <s v="matthew.webster@enthalpy.com"/>
    <s v="Matthew"/>
    <s v="Webster"/>
    <s v="US"/>
    <s v="B76B216C681A42F20A495FF3@038d2aa263c9deeb495fea.e"/>
    <x v="2"/>
    <x v="0"/>
    <x v="0"/>
    <m/>
    <m/>
    <m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Federated ID"/>
    <s v="anders.bisgaard@enthalpy.com"/>
    <s v="enthalpy.com"/>
    <s v="anders.bisgaard@enthalpy.com"/>
    <s v="Andrew"/>
    <s v="Bisgaard"/>
    <s v="US"/>
    <s v="B9602196681A42F20A495EFA@038d2aa263c9deeb495fea.e"/>
    <x v="2"/>
    <x v="0"/>
    <x v="0"/>
    <m/>
    <m/>
    <m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Federated ID"/>
    <s v="AlyssaSharbaugh@montrose-env.com"/>
    <s v="montrose-env.com"/>
    <s v="AlyssaSharbaugh@montrose-env.com"/>
    <s v="Alyssa"/>
    <s v="Sharbaugh"/>
    <s v="US"/>
    <s v="C0DE216A681A63BF0A495E04@038d2aa263c9deeb495fea.e"/>
    <x v="1"/>
    <x v="0"/>
    <x v="0"/>
    <m/>
    <m/>
    <s v="USA - Stack - Gulf Coast - Operations"/>
    <m/>
    <m/>
    <m/>
    <m/>
    <s v="Acrobat Pro (VIPMP - 99C0A3088A102BD9CB4A)"/>
    <m/>
    <m/>
    <x v="60"/>
    <x v="60"/>
    <n v="14.333333333333334"/>
    <n v="0"/>
    <n v="0"/>
    <n v="14.333333333333334"/>
    <n v="1"/>
  </r>
  <r>
    <s v="Federated ID"/>
    <s v="AdamCard@montrose-env.com"/>
    <s v="montrose-env.com"/>
    <s v="adamcard@montrose-env.com"/>
    <s v="Adam"/>
    <s v="Card"/>
    <s v="US"/>
    <s v="1820230A681BC1BA0A495C9F@038d2aa263c9deeb495fea.e"/>
    <x v="0"/>
    <x v="0"/>
    <x v="0"/>
    <m/>
    <m/>
    <s v="USA - Environmental Consulting - Oakland - Operations"/>
    <m/>
    <m/>
    <m/>
    <m/>
    <m/>
    <m/>
    <m/>
    <x v="0"/>
    <x v="0"/>
    <n v="0"/>
    <n v="0"/>
    <n v="0"/>
    <n v="0"/>
    <m/>
  </r>
  <r>
    <s v="Federated ID"/>
    <s v="DerekDouglas@montrose-env.com"/>
    <s v="montrose-env.com"/>
    <s v="DerekDouglas@montrose-env.com"/>
    <s v="Derek"/>
    <s v="Douglas"/>
    <s v="US"/>
    <s v="17BD2326681BCC090A495F89@038d2aa263c9deeb495fea.e"/>
    <x v="2"/>
    <x v="0"/>
    <x v="0"/>
    <m/>
    <m/>
    <s v="USA - Environmental Consulting - Tampa - Operations"/>
    <m/>
    <m/>
    <m/>
    <m/>
    <s v="Acrobat Standard DC (VIPMP - 99C0A3088A102BD9CB4A)"/>
    <m/>
    <m/>
    <x v="6"/>
    <x v="6"/>
    <n v="8.6983333333333324"/>
    <n v="0"/>
    <n v="0"/>
    <n v="8.6983333333333324"/>
    <n v="1"/>
  </r>
  <r>
    <s v="Federated ID"/>
    <s v="SpencerHorn@montrose-env.com"/>
    <s v="montrose-env.com"/>
    <s v="SpencerHorn@montrose-env.com"/>
    <s v="Spencer"/>
    <s v="Horn"/>
    <s v="US"/>
    <s v="184F2252681BD8F10A495E61@038d2aa263c9deeb495fea.e"/>
    <x v="0"/>
    <x v="0"/>
    <x v="0"/>
    <m/>
    <m/>
    <s v="USA - Environmental Consulting - Tampa - Operations"/>
    <m/>
    <m/>
    <m/>
    <m/>
    <m/>
    <m/>
    <m/>
    <x v="0"/>
    <x v="0"/>
    <n v="0"/>
    <n v="0"/>
    <n v="0"/>
    <n v="0"/>
    <m/>
  </r>
  <r>
    <s v="Federated ID"/>
    <s v="JamiaMcFadden@montrose-env.com"/>
    <s v="montrose-env.com"/>
    <s v="JamiaMcFadden@montrose-env.com"/>
    <s v="Jamia"/>
    <s v="McFadden"/>
    <s v="US"/>
    <s v="1819230C681BD9930A495E25@038d2aa263c9deeb495fea.e"/>
    <x v="2"/>
    <x v="0"/>
    <x v="0"/>
    <m/>
    <m/>
    <s v="USA - MES - COE"/>
    <m/>
    <m/>
    <m/>
    <m/>
    <s v="Acrobat Standard DC (VIPMP - 99C0A3088A102BD9CB4A)"/>
    <m/>
    <m/>
    <x v="113"/>
    <x v="113"/>
    <n v="8.6983333333333324"/>
    <n v="0"/>
    <n v="0"/>
    <n v="8.6983333333333324"/>
    <n v="1"/>
  </r>
  <r>
    <s v="Federated ID"/>
    <s v="ergaston@montrose-env.com"/>
    <s v="montrose-env.com"/>
    <s v="ergaston@montrose-env.com"/>
    <s v="Eric"/>
    <s v="Gaston"/>
    <s v="US"/>
    <s v="54B7230F681DFC0D0A495E98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MatthewEngel@montrose-env.com"/>
    <s v="montrose-env.com"/>
    <s v="MatthewEngel@montrose-env.com"/>
    <s v="Matthew"/>
    <s v="Engel"/>
    <s v="US"/>
    <s v="5C93231A681E217A0A495FC0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ndreaborkenhagen@montrose-env.com"/>
    <s v="montrose-env.com"/>
    <s v="andreaborkenhagen@montrose-env.com"/>
    <s v="Andrea"/>
    <s v="Borkenhagen"/>
    <s v="US"/>
    <s v="AED222526822011E0A495E61@038d2aa263c9deeb495fea.e"/>
    <x v="0"/>
    <x v="0"/>
    <x v="0"/>
    <m/>
    <m/>
    <s v="USA - Advisory Services - Two Dot - Operations"/>
    <m/>
    <m/>
    <m/>
    <m/>
    <m/>
    <m/>
    <m/>
    <x v="0"/>
    <x v="0"/>
    <n v="0"/>
    <n v="0"/>
    <n v="0"/>
    <n v="0"/>
    <m/>
  </r>
  <r>
    <s v="Federated ID"/>
    <s v="DavidDeMartino@montrose-env.com"/>
    <s v="montrose-env.com"/>
    <s v="DavidDeMartino@montrose-env.com"/>
    <s v="David"/>
    <s v="DeMartino"/>
    <s v="US"/>
    <s v="EB4B231E6823CEE60A495CE7@038d2aa263c9deeb495fea.e"/>
    <x v="1"/>
    <x v="0"/>
    <x v="0"/>
    <m/>
    <m/>
    <s v="USA - Environmental Consulting - Central - Sales &amp; Marketing"/>
    <m/>
    <m/>
    <m/>
    <m/>
    <s v="Acrobat Pro (VIPMP - 99C0A3088A102BD9CB4A)"/>
    <m/>
    <m/>
    <x v="132"/>
    <x v="132"/>
    <n v="14.333333333333334"/>
    <n v="0"/>
    <n v="0"/>
    <n v="14.333333333333334"/>
    <n v="1"/>
  </r>
  <r>
    <s v="Federated ID"/>
    <s v="CameronTolar@montrose-env.com"/>
    <s v="montrose-env.com"/>
    <s v="CameronTolar@montrose-env.com"/>
    <s v="Cameron"/>
    <s v="Tolar"/>
    <s v="US"/>
    <s v="EDCE239B6823CF530A495C96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CameronBattles@montrose-env.com"/>
    <s v="montrose-env.com"/>
    <s v="CameronBattles@montrose-env.com"/>
    <s v="Cameron"/>
    <s v="Battles"/>
    <s v="US"/>
    <s v="EDB123266823CF540A495F89@038d2aa263c9deeb495fea.e"/>
    <x v="1"/>
    <x v="0"/>
    <x v="0"/>
    <m/>
    <m/>
    <s v="USA - Advisory Services - Two Dot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EmilySchlemmer@montrose-env.com"/>
    <s v="montrose-env.com"/>
    <s v="EmilySchlemmer@montrose-env.com"/>
    <s v="Emily"/>
    <s v="Schlemmer"/>
    <s v="US"/>
    <s v="F345231E6824368A0A495CE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KaitlynODonnell@enthalpy.com"/>
    <s v="enthalpy.com"/>
    <s v="KaitlynODonnell@enthalpy.com"/>
    <s v="Kaitlyn"/>
    <s v="ODonnell"/>
    <s v="US"/>
    <s v="FF99234B6824A12C0A495FF6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CameronEdmonson@montrose-env.com"/>
    <s v="montrose-env.com"/>
    <s v="cameronedmonson@montrose-env.com"/>
    <s v="Cameron"/>
    <s v="Edmonson"/>
    <s v="US"/>
    <s v="0CD221E168260C0A0A495E1C@038d2aa263c9deeb495fea.e"/>
    <x v="1"/>
    <x v="0"/>
    <x v="0"/>
    <m/>
    <m/>
    <s v="USA - Corp - Legal"/>
    <m/>
    <m/>
    <m/>
    <m/>
    <s v="Acrobat Pro (VIPMP - 99C0A3088A102BD9CB4A)"/>
    <m/>
    <m/>
    <x v="45"/>
    <x v="45"/>
    <n v="14.333333333333334"/>
    <n v="0"/>
    <n v="0"/>
    <n v="14.333333333333334"/>
    <n v="1"/>
  </r>
  <r>
    <s v="Federated ID"/>
    <s v="ThinhPham@enthalpy.com"/>
    <s v="enthalpy.com"/>
    <s v="ThinhPham@enthalpy.com"/>
    <s v="Thinh"/>
    <s v="Pham"/>
    <s v="US"/>
    <s v="0DE82272682614820A495EED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RogerClark@montrose-env.com"/>
    <s v="montrose-env.com"/>
    <s v="RogerClark@montrose-env.com"/>
    <s v="Roger"/>
    <s v="Clark"/>
    <s v="US"/>
    <s v="14E3228B6826347D0A495CCF@038d2aa263c9deeb495fea.e"/>
    <x v="2"/>
    <x v="0"/>
    <x v="0"/>
    <m/>
    <m/>
    <s v="USA - Environmental Consulting - Orlando - Operations"/>
    <m/>
    <m/>
    <m/>
    <m/>
    <s v="Acrobat Standard DC (VIPMP - 99C0A3088A102BD9CB4A)"/>
    <m/>
    <m/>
    <x v="28"/>
    <x v="28"/>
    <n v="8.6983333333333324"/>
    <n v="0"/>
    <n v="0"/>
    <n v="8.6983333333333324"/>
    <n v="1"/>
  </r>
  <r>
    <s v="Federated ID"/>
    <s v="SydneyRivera@montrose-env.com"/>
    <s v="montrose-env.com"/>
    <s v="SydneyRivera@montrose-env.com"/>
    <s v="Sydney"/>
    <s v="Rivera"/>
    <s v="US"/>
    <s v="174C22976826566C0A495FFE@038d2aa263c9deeb495fea.e"/>
    <x v="2"/>
    <x v="0"/>
    <x v="0"/>
    <m/>
    <m/>
    <s v="USA - Environmental Consulting - Orlando - Operations"/>
    <m/>
    <m/>
    <m/>
    <m/>
    <s v="Acrobat Standard DC (VIPMP - 99C0A3088A102BD9CB4A)"/>
    <m/>
    <m/>
    <x v="28"/>
    <x v="28"/>
    <n v="8.6983333333333324"/>
    <n v="0"/>
    <n v="0"/>
    <n v="8.6983333333333324"/>
    <n v="1"/>
  </r>
  <r>
    <s v="Federated ID"/>
    <s v="melzhallett@montrose-env.com"/>
    <s v="montrose-env.com"/>
    <s v="melzhallett@montrose-env.com"/>
    <s v="Melz"/>
    <s v="Hallett"/>
    <s v="US"/>
    <s v="470722956827C0CD0A495E83@038d2aa263c9deeb495fea.e"/>
    <x v="4"/>
    <x v="4"/>
    <x v="0"/>
    <m/>
    <m/>
    <s v="AUS - Epic - Operations"/>
    <m/>
    <m/>
    <m/>
    <m/>
    <s v="InDesign (VIPMP - 99C0A3088A102BD9CB4A),Photoshop (VIPMP - 99C0A3088A102BD9CB4A)"/>
    <m/>
    <m/>
    <x v="35"/>
    <x v="35"/>
    <n v="35.979166666666664"/>
    <n v="34.873750000000001"/>
    <n v="0"/>
    <n v="70.852916666666658"/>
    <n v="1"/>
  </r>
  <r>
    <s v="Federated ID"/>
    <s v="skylerhamm@montrose-env.com"/>
    <s v="montrose-env.com"/>
    <s v="skylerhamm@montrose-env.com"/>
    <s v="Skyler"/>
    <s v="Hamm"/>
    <s v="US"/>
    <s v="827B22A5682A91110A495E80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lmistick@montrose-env.com"/>
    <s v="montrose-env.com"/>
    <s v="lmistick@montrose-env.com"/>
    <s v="Leah"/>
    <s v="Mistick"/>
    <s v="US"/>
    <s v="A770237C682B7E230A495EAD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LaviniaBoehmer@montrose-env.com"/>
    <s v="montrose-env.com"/>
    <s v="LaviniaBoehmer@montrose-env.com"/>
    <s v="Lavinia"/>
    <s v="Boehmer"/>
    <s v="US"/>
    <s v="15F42375682F00DA0A495FC3@038d2aa263c9deeb495fea.e"/>
    <x v="2"/>
    <x v="0"/>
    <x v="0"/>
    <m/>
    <m/>
    <s v="USA - MES - COE"/>
    <m/>
    <m/>
    <m/>
    <m/>
    <s v="Acrobat Standard DC (VIPMP - 99C0A3088A102BD9CB4A)"/>
    <m/>
    <m/>
    <x v="113"/>
    <x v="113"/>
    <n v="8.6983333333333324"/>
    <n v="0"/>
    <n v="0"/>
    <n v="8.6983333333333324"/>
    <n v="1"/>
  </r>
  <r>
    <s v="Federated ID"/>
    <s v="NathanBrandwein@montrose-env.com"/>
    <s v="montrose-env.com"/>
    <s v="NathanBrandwein@montrose-env.com"/>
    <s v="Nathan"/>
    <s v="Brandwein"/>
    <s v="US"/>
    <s v="19462373682F0DF80A495C60@038d2aa263c9deeb495fea.e"/>
    <x v="2"/>
    <x v="0"/>
    <x v="0"/>
    <m/>
    <m/>
    <s v="USA - Environmental Consulting - Robbinsville - Operations"/>
    <m/>
    <m/>
    <m/>
    <m/>
    <s v="Acrobat Standard DC (VIPMP - 99C0A3088A102BD9CB4A)"/>
    <m/>
    <m/>
    <x v="40"/>
    <x v="40"/>
    <n v="8.6983333333333324"/>
    <n v="0"/>
    <n v="0"/>
    <n v="8.6983333333333324"/>
    <n v="1"/>
  </r>
  <r>
    <s v="Federated ID"/>
    <s v="mhess@montrose-env.com"/>
    <s v="montrose-env.com"/>
    <s v="mhess@montrose-env.com"/>
    <s v="Michael"/>
    <s v="Hess"/>
    <s v="US"/>
    <s v="D3BE23966835B83D0A495CD2@038d2aa263c9deeb495fea.e"/>
    <x v="2"/>
    <x v="0"/>
    <x v="0"/>
    <m/>
    <m/>
    <s v="USA - Stack - Chicago - Operations"/>
    <m/>
    <m/>
    <m/>
    <m/>
    <s v="Acrobat Standard DC (VIPMP - 99C0A3088A102BD9CB4A)"/>
    <m/>
    <m/>
    <x v="12"/>
    <x v="12"/>
    <n v="8.6983333333333324"/>
    <n v="0"/>
    <n v="0"/>
    <n v="8.6983333333333324"/>
    <n v="1"/>
  </r>
  <r>
    <s v="Federated ID"/>
    <s v="AlexanderMacDonald@montrose-env.com"/>
    <s v="montrose-env.com"/>
    <s v="AlexanderMacDonald@montrose-env.com"/>
    <s v="Alexander"/>
    <s v="MacDonald"/>
    <s v="US"/>
    <s v="D16C21E86835D6790A495C7C@038d2aa263c9deeb495fea.e"/>
    <x v="2"/>
    <x v="0"/>
    <x v="0"/>
    <m/>
    <m/>
    <s v="USA - Stack - Northeast - Operations"/>
    <m/>
    <m/>
    <m/>
    <m/>
    <s v="Acrobat Standard DC (VIPMP - 99C0A3088A102BD9CB4A)"/>
    <m/>
    <m/>
    <x v="84"/>
    <x v="84"/>
    <n v="8.6983333333333324"/>
    <n v="0"/>
    <n v="0"/>
    <n v="8.6983333333333324"/>
    <n v="1"/>
  </r>
  <r>
    <s v="Federated ID"/>
    <s v="msallen@montrose-env.com"/>
    <s v="enthalpy.com"/>
    <s v="mike.allen@enthalpy.com"/>
    <s v="Mike"/>
    <s v="Allen"/>
    <s v="US"/>
    <s v="DB9523766835D8E90A495E36@038d2aa263c9deeb495fea.e"/>
    <x v="1"/>
    <x v="0"/>
    <x v="0"/>
    <m/>
    <m/>
    <s v="USA - Labs - OH - G&amp;A"/>
    <m/>
    <m/>
    <m/>
    <m/>
    <s v="Acrobat Pro (VIPMP - 99C0A3088A102BD9CB4A)"/>
    <m/>
    <m/>
    <x v="43"/>
    <x v="43"/>
    <n v="14.333333333333334"/>
    <n v="0"/>
    <n v="0"/>
    <n v="14.333333333333334"/>
    <n v="1"/>
  </r>
  <r>
    <s v="Federated ID"/>
    <s v="twojtach@montrose-env.com"/>
    <s v="montrose-env.com"/>
    <s v="twojtach@montrose-env.com"/>
    <s v="Timothy"/>
    <s v="Wojtach"/>
    <s v="US"/>
    <s v="0DCF2205683763950A495FFA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rappelle@montrose-env.com"/>
    <s v="montrose-env.com"/>
    <s v="rappelle@montrose-env.com"/>
    <s v="Robin"/>
    <s v="Appelle"/>
    <s v="US"/>
    <s v="33602229683872300A495FBE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limyers@montrose-env.com"/>
    <s v="montrose-env.com"/>
    <s v="limyers@montrose-env.com"/>
    <s v="Linda"/>
    <s v="Myers"/>
    <s v="US"/>
    <s v="3784222968388F8C0A495CDC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ndrewparisi@montrose-env.com"/>
    <s v="montrose-env.com"/>
    <s v="andrewparisi@montrose-env.com"/>
    <s v="Andrew"/>
    <s v="Parisi"/>
    <s v="US"/>
    <s v="50022201683946140A495FB0@038d2aa263c9deeb495fea.e"/>
    <x v="1"/>
    <x v="0"/>
    <x v="0"/>
    <m/>
    <m/>
    <s v="USA - Advisory Services - Spirit - Operations"/>
    <m/>
    <m/>
    <m/>
    <m/>
    <s v="Acrobat Pro (VIPMP - 99C0A3088A102BD9CB4A)"/>
    <m/>
    <m/>
    <x v="130"/>
    <x v="130"/>
    <n v="14.333333333333334"/>
    <n v="0"/>
    <n v="0"/>
    <n v="14.333333333333334"/>
    <n v="1"/>
  </r>
  <r>
    <s v="Federated ID"/>
    <s v="EricKolb@montrose-env.com"/>
    <s v="montrose-env.com"/>
    <s v="erickolb@montrose-env.com"/>
    <s v="Eric"/>
    <s v="Kolb"/>
    <s v="US"/>
    <s v="4FF82229683946970A495CDC@038d2aa263c9deeb495fea.e"/>
    <x v="1"/>
    <x v="0"/>
    <x v="0"/>
    <m/>
    <m/>
    <s v="USA - Advisory Services - Spirit - Operations"/>
    <m/>
    <m/>
    <m/>
    <m/>
    <s v="Acrobat Pro (VIPMP - 99C0A3088A102BD9CB4A)"/>
    <m/>
    <m/>
    <x v="130"/>
    <x v="130"/>
    <n v="14.333333333333334"/>
    <n v="0"/>
    <n v="0"/>
    <n v="14.333333333333334"/>
    <n v="1"/>
  </r>
  <r>
    <s v="Federated ID"/>
    <s v="HannahDay@montrose-env.com"/>
    <s v="montrose-env.com"/>
    <s v="HannahDay@montrose-env.com"/>
    <s v="Hannah"/>
    <s v="Day"/>
    <s v="US"/>
    <s v="5E54222C6839B39C0A495C57@038d2aa263c9deeb495fea.e"/>
    <x v="0"/>
    <x v="0"/>
    <x v="0"/>
    <m/>
    <m/>
    <s v="USA - Advisory Services - Two Dot - Operations"/>
    <m/>
    <m/>
    <m/>
    <m/>
    <m/>
    <m/>
    <m/>
    <x v="0"/>
    <x v="0"/>
    <n v="0"/>
    <n v="0"/>
    <n v="0"/>
    <n v="0"/>
    <m/>
  </r>
  <r>
    <s v="Federated ID"/>
    <s v="AnnaMarshall@montrose-env.com"/>
    <s v="montrose-env.com"/>
    <s v="AnnaMarshall@montrose-env.com"/>
    <s v="Anna"/>
    <s v="Marshall"/>
    <s v="US"/>
    <s v="60D2222C6839D4880A495CFB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ParkerPalen@montrose-env.com"/>
    <s v="montrose-env.com"/>
    <s v="ParkerPalen@montrose-env.com"/>
    <s v="Parker"/>
    <s v="Palen"/>
    <s v="US"/>
    <s v="5E43222A6839D4880A495CEB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rusaldana@montrose-env.com"/>
    <s v="montrose-env.com"/>
    <s v="rusaldana@montrose-env.com"/>
    <s v="Ruben"/>
    <s v="Saldana"/>
    <s v="US"/>
    <s v="8EB42229683BC04E0A495FBE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LaurenBlair@montrose-env.com"/>
    <s v="montrose-env.com"/>
    <s v="LaurenBlair@montrose-env.com"/>
    <s v="Lauren"/>
    <s v="Blair"/>
    <s v="US"/>
    <s v="B3E72207683DBA870A495CF8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KatieGatelein@montrose-env.com"/>
    <s v="montrose-env.com"/>
    <s v="KatieGatelein@montrose-env.com"/>
    <s v="Katie"/>
    <s v="Gatelein"/>
    <s v="US"/>
    <s v="BA742207683DC4910A495F89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OwenGillick@montrose-env.com"/>
    <s v="montrose-env.com"/>
    <s v="OwenGillick@montrose-env.com"/>
    <s v="Owen"/>
    <s v="Gillick"/>
    <s v="US"/>
    <s v="BF6C2229683DD34F0A495FBE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josatterfield@montrose-env.com"/>
    <s v="montrose-env.com"/>
    <s v="josatterfield@montrose-env.com"/>
    <s v="John"/>
    <s v="Satterfield"/>
    <s v="US"/>
    <s v="CB6621FB683E28FB0A495FD2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mirFaeizi@enthalpy.com"/>
    <s v="enthalpy.com"/>
    <s v="AmirFaeizi@enthalpy.com"/>
    <s v="Amir"/>
    <s v="Faeizi"/>
    <s v="US"/>
    <s v="E0A72207683EEE780A495C4F@038d2aa263c9deeb495fea.e"/>
    <x v="2"/>
    <x v="0"/>
    <x v="0"/>
    <m/>
    <m/>
    <s v="USA - Env Lab - Durham - Operations"/>
    <m/>
    <m/>
    <m/>
    <m/>
    <s v="Acrobat Standard DC (VIPMP - 99C0A3088A102BD9CB4A)"/>
    <m/>
    <m/>
    <x v="57"/>
    <x v="57"/>
    <n v="8.6983333333333324"/>
    <n v="0"/>
    <n v="0"/>
    <n v="8.6983333333333324"/>
    <n v="1"/>
  </r>
  <r>
    <s v="Federated ID"/>
    <s v="BriannaBruce@enthalpy.com"/>
    <s v="enthalpy.com"/>
    <s v="BriannaBruce@enthalpy.com"/>
    <s v="Brianna"/>
    <s v="Bruce"/>
    <s v="US"/>
    <s v="EB5F2201683F18450A495FC8@038d2aa263c9deeb495fea.e"/>
    <x v="2"/>
    <x v="0"/>
    <x v="0"/>
    <m/>
    <m/>
    <s v="USA - Env Lab - Durham - Operations"/>
    <m/>
    <m/>
    <m/>
    <m/>
    <s v="Acrobat Standard DC (VIPMP - 99C0A3088A102BD9CB4A)"/>
    <m/>
    <m/>
    <x v="57"/>
    <x v="57"/>
    <n v="8.6983333333333324"/>
    <n v="0"/>
    <n v="0"/>
    <n v="8.6983333333333324"/>
    <n v="1"/>
  </r>
  <r>
    <s v="Federated ID"/>
    <s v="KyCao@montrose-env.com"/>
    <s v="montrose-env.com"/>
    <s v="kycao@montrose-env.com"/>
    <s v="Ky Duyen"/>
    <s v="Cao"/>
    <s v="US"/>
    <s v="EFE4222B683F1F1F0A495E71@038d2aa263c9deeb495fea.e"/>
    <x v="1"/>
    <x v="0"/>
    <x v="0"/>
    <m/>
    <m/>
    <s v="USA - Advisory Services - Spirit - Operations"/>
    <m/>
    <m/>
    <m/>
    <m/>
    <s v="Acrobat Pro (VIPMP - 99C0A3088A102BD9CB4A)"/>
    <m/>
    <m/>
    <x v="130"/>
    <x v="130"/>
    <n v="14.333333333333334"/>
    <n v="0"/>
    <n v="0"/>
    <n v="14.333333333333334"/>
    <n v="1"/>
  </r>
  <r>
    <s v="Federated ID"/>
    <s v="MelindaMarin@montrose-env.com"/>
    <s v="montrose-env.com"/>
    <s v="MelindaMarin@montrose-env.com"/>
    <s v="Melinda"/>
    <s v="Marin"/>
    <s v="US"/>
    <s v="F3432201683F5A7C0A495FB0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NathanielLave@montrose-env.com"/>
    <s v="montrose-env.com"/>
    <s v="NathanielLave@montrose-env.com"/>
    <s v="Nathaniel"/>
    <s v="Lave"/>
    <s v="US"/>
    <s v="FA1C226F683F66C50A495EBF@038d2aa263c9deeb495fea.e"/>
    <x v="1"/>
    <x v="0"/>
    <x v="0"/>
    <m/>
    <m/>
    <s v="USA - Advisory Services - Two Dot - Operations"/>
    <m/>
    <m/>
    <m/>
    <m/>
    <s v="Acrobat Pro (VIPMP - 99C0A3088A102BD9CB4A)"/>
    <m/>
    <m/>
    <x v="110"/>
    <x v="110"/>
    <n v="14.333333333333334"/>
    <n v="0"/>
    <n v="0"/>
    <n v="14.333333333333334"/>
    <n v="1"/>
  </r>
  <r>
    <s v="Federated ID"/>
    <s v="LindsayScarola@montrose-env.com"/>
    <s v="montrose-env.com"/>
    <s v="LindsayScarola@montrose-env.com"/>
    <s v="Lindsay"/>
    <s v="Scarola"/>
    <s v="US"/>
    <s v="F63F2203683F6DEC0A495FDD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jcallahan@montrose-env.com"/>
    <s v="montrose-env.com"/>
    <s v="jcallahan@montrose-env.com"/>
    <s v="Jason"/>
    <s v="Callahan"/>
    <s v="US"/>
    <s v="19EC220668406D870A495C82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MakenzieElliott@montrose-env.com"/>
    <s v="montrose-env.com"/>
    <s v="makenzieelliott@montrose-env.com"/>
    <s v="Makenzie"/>
    <s v="Elliott"/>
    <s v="US"/>
    <s v="237F22076840AFBA0A495EAE@038d2aa263c9deeb495fea.e"/>
    <x v="4"/>
    <x v="0"/>
    <x v="0"/>
    <m/>
    <m/>
    <s v="AUS - Epic - Operations"/>
    <m/>
    <m/>
    <m/>
    <m/>
    <s v="InDesign (VIPMP - 99C0A3088A102BD9CB4A)"/>
    <m/>
    <m/>
    <x v="133"/>
    <x v="133"/>
    <n v="35.979166666666664"/>
    <n v="0"/>
    <n v="0"/>
    <n v="35.979166666666664"/>
    <n v="1"/>
  </r>
  <r>
    <s v="Federated ID"/>
    <s v="RichardCarland@montrose-env.com"/>
    <s v="montrose-env.com"/>
    <s v="RichardCarland@montrose-env.com"/>
    <s v="Richard"/>
    <s v="Carland"/>
    <s v="US"/>
    <s v="238D22036840EC640A495C24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alprzybylowicz@montrose-env.com"/>
    <s v="montrose-env.com"/>
    <s v="alprzybylowicz@montrose-env.com"/>
    <s v="Alexander"/>
    <s v="Przybylowicz"/>
    <s v="US"/>
    <s v="0F1422596841F04F0A495FE2@038d2aa263c9deeb495fea.e"/>
    <x v="2"/>
    <x v="0"/>
    <x v="0"/>
    <m/>
    <m/>
    <s v="USA - Stack - Northeast - Operations"/>
    <m/>
    <m/>
    <m/>
    <m/>
    <s v="Acrobat Standard DC (VIPMP - 99C0A3088A102BD9CB4A)"/>
    <m/>
    <m/>
    <x v="84"/>
    <x v="84"/>
    <n v="8.6983333333333324"/>
    <n v="0"/>
    <n v="0"/>
    <n v="8.6983333333333324"/>
    <n v="1"/>
  </r>
  <r>
    <s v="Federated ID"/>
    <s v="YeMyint@enthalpy.com"/>
    <s v="enthalpy.com"/>
    <s v="yemyint@enthalpy.com"/>
    <s v="Ye"/>
    <s v="Myint"/>
    <s v="US"/>
    <s v="399F2256684386C00A495C2F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ChristinaYackey@montrose-env.com"/>
    <s v="montrose-env.com"/>
    <s v="ChristinaYackey@montrose-env.com"/>
    <s v="Christina"/>
    <s v="Yackey"/>
    <s v="US"/>
    <s v="85C6225C6846DBD20A495FCB@038d2aa263c9deeb495fea.e"/>
    <x v="1"/>
    <x v="0"/>
    <x v="0"/>
    <m/>
    <m/>
    <s v="USA - Environmental Consulting - Central - G&amp;A"/>
    <m/>
    <m/>
    <m/>
    <m/>
    <s v="Acrobat Pro (VIPMP - 99C0A3088A102BD9CB4A)"/>
    <m/>
    <m/>
    <x v="134"/>
    <x v="134"/>
    <n v="14.333333333333334"/>
    <n v="0"/>
    <n v="0"/>
    <n v="14.333333333333334"/>
    <n v="1"/>
  </r>
  <r>
    <s v="Federated ID"/>
    <s v="DevynHallett@montrose-env.com"/>
    <s v="montrose-env.com"/>
    <s v="DevynHallett@montrose-env.com"/>
    <s v="Devyn"/>
    <s v="Hallett"/>
    <s v="US"/>
    <s v="904B222F6846FF7E0A495FA6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QuentishaForrester@montrose-env.com"/>
    <s v="montrose-env.com"/>
    <s v="QuentishaForrester@montrose-env.com"/>
    <s v="Quentisha"/>
    <s v="Forrester"/>
    <s v="US"/>
    <s v="905E2251684704D30A495E24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AlyssaWingard@montrose-env.com"/>
    <s v="montrose-env.com"/>
    <s v="AlyssaWingard@montrose-env.com"/>
    <s v="Alyssa"/>
    <s v="Wingard"/>
    <s v="US"/>
    <s v="8D98222D68470C1E0A495EF3@038d2aa263c9deeb495fea.e"/>
    <x v="1"/>
    <x v="0"/>
    <x v="0"/>
    <m/>
    <m/>
    <s v="USA - Environmental Consulting - Orlando - Operations"/>
    <m/>
    <m/>
    <m/>
    <m/>
    <s v="Acrobat Pro (VIPMP - 99C0A3088A102BD9CB4A)"/>
    <m/>
    <m/>
    <x v="92"/>
    <x v="92"/>
    <n v="14.333333333333334"/>
    <n v="0"/>
    <n v="0"/>
    <n v="14.333333333333334"/>
    <n v="1"/>
  </r>
  <r>
    <s v="Federated ID"/>
    <s v="twhitman@montrose-env.com"/>
    <s v="montrose-env.com"/>
    <s v="twhitman@montrose-env.com"/>
    <s v="Tiffany"/>
    <s v="Whitman"/>
    <s v="US"/>
    <s v="BB742226684865670A495FB8@038d2aa263c9deeb495fea.e"/>
    <x v="1"/>
    <x v="0"/>
    <x v="0"/>
    <m/>
    <m/>
    <s v="USA - Corp - Global Business Services"/>
    <m/>
    <m/>
    <m/>
    <m/>
    <s v="Acrobat Pro (VIPMP - 99C0A3088A102BD9CB4A)"/>
    <m/>
    <m/>
    <x v="65"/>
    <x v="65"/>
    <n v="14.333333333333334"/>
    <n v="0"/>
    <n v="0"/>
    <n v="14.333333333333334"/>
    <n v="1"/>
  </r>
  <r>
    <s v="Federated ID"/>
    <s v="EricMaez@montrose-env.com"/>
    <s v="montrose-env.com"/>
    <s v="EricMaez@montrose-env.com"/>
    <s v="Eric"/>
    <s v="Maez"/>
    <s v="US"/>
    <s v="BF2B22246848772F0A495C78@038d2aa263c9deeb495fea.e"/>
    <x v="2"/>
    <x v="0"/>
    <x v="0"/>
    <m/>
    <m/>
    <s v="USA - Environmental Consulting - Santa Ana (P&amp;C) - Operations"/>
    <m/>
    <m/>
    <m/>
    <m/>
    <s v="Acrobat Standard DC (VIPMP - 99C0A3088A102BD9CB4A)"/>
    <m/>
    <m/>
    <x v="25"/>
    <x v="25"/>
    <n v="8.6983333333333324"/>
    <n v="0"/>
    <n v="0"/>
    <n v="8.6983333333333324"/>
    <n v="1"/>
  </r>
  <r>
    <s v="Federated ID"/>
    <s v="ext-MattEidemiller@montrose-env.com"/>
    <s v="montrose-env.com"/>
    <s v="ext-MattEidemiller@montrose-env.com"/>
    <s v="Matt"/>
    <s v="EideMiller"/>
    <s v="US"/>
    <s v="C15F222C6848836D0A495CF1@038d2aa263c9deeb495fea.e"/>
    <x v="1"/>
    <x v="0"/>
    <x v="0"/>
    <m/>
    <m/>
    <s v="USA - Corp - Financial Systems"/>
    <m/>
    <m/>
    <m/>
    <m/>
    <s v="Acrobat Pro (VIPMP - 99C0A3088A102BD9CB4A)"/>
    <m/>
    <m/>
    <x v="70"/>
    <x v="70"/>
    <n v="14.333333333333334"/>
    <n v="0"/>
    <n v="0"/>
    <n v="14.333333333333334"/>
    <n v="1"/>
  </r>
  <r>
    <s v="Federated ID"/>
    <s v="danielchang@montrose-env.com"/>
    <s v="montrose-env.com"/>
    <s v="danielchang@montrose-env.com"/>
    <s v="Daniel"/>
    <s v="Chang"/>
    <s v="US"/>
    <s v="C78A222C684898AC0A495C6E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liciaLopez@montrose-env.com"/>
    <s v="montrose-env.com"/>
    <s v="alicialopez@montrose-env.com"/>
    <s v="Alicia"/>
    <s v="Lopez"/>
    <s v="US"/>
    <s v="E364225B68499A020A495ECC@038d2aa263c9deeb495fea.e"/>
    <x v="1"/>
    <x v="0"/>
    <x v="0"/>
    <m/>
    <m/>
    <m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leescobedo@montrose-env.com"/>
    <s v="montrose-env.com"/>
    <s v="leescobedo@montrose-env.com"/>
    <s v="Leandrew"/>
    <s v="Escobedo"/>
    <s v="US"/>
    <s v="EDE422316849DA940A495E4A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EricCahill@montrose-env.com"/>
    <s v="montrose-env.com"/>
    <s v="EricCahill@montrose-env.com"/>
    <s v="Eric"/>
    <s v="Cahill"/>
    <s v="US"/>
    <s v="313B2229684C42ED0A495C1C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ndrewGreenwood@montrose-env.com"/>
    <s v="montrose-env.com"/>
    <s v="AndrewGreenwood@montrose-env.com"/>
    <s v="Andrew"/>
    <s v="Greenwood"/>
    <s v="US"/>
    <s v="33AA2236684C5FD70A495FF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TerryLam@montrose-env.com"/>
    <s v="montrose-env.com"/>
    <s v="terrylam@montrose-env.com"/>
    <s v="Terry"/>
    <s v="Lam"/>
    <s v="US"/>
    <s v="9ABC225A685073080A495C9A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astratton@montrose-env.com"/>
    <s v="montrose-env.com"/>
    <s v="ASTRATTON@MONTROSE-ENV.COM"/>
    <s v="Anthony"/>
    <s v="Stratton"/>
    <s v="US"/>
    <s v="B9A2225B68515E7D0A495ECC@038d2aa263c9deeb495fea.e"/>
    <x v="1"/>
    <x v="0"/>
    <x v="0"/>
    <m/>
    <m/>
    <s v="USA - Stack - Northeast - Operations"/>
    <m/>
    <m/>
    <m/>
    <m/>
    <s v="Acrobat Pro (VIPMP - 99C0A3088A102BD9CB4A)"/>
    <m/>
    <m/>
    <x v="84"/>
    <x v="84"/>
    <n v="14.333333333333334"/>
    <n v="0"/>
    <n v="0"/>
    <n v="14.333333333333334"/>
    <n v="1"/>
  </r>
  <r>
    <s v="Federated ID"/>
    <s v="paanaya@ect2.com"/>
    <s v="ect2.com"/>
    <s v="paanaya@ect2.com"/>
    <s v="Paige"/>
    <s v="Anaya"/>
    <s v="US"/>
    <s v="C1D4222868517C950A495E3F@038d2aa263c9deeb495fea.e"/>
    <x v="1"/>
    <x v="0"/>
    <x v="0"/>
    <m/>
    <m/>
    <s v="USA - RNG - Operations"/>
    <m/>
    <m/>
    <m/>
    <m/>
    <s v="Acrobat Pro (VIPMP - 99C0A3088A102BD9CB4A)"/>
    <m/>
    <m/>
    <x v="135"/>
    <x v="135"/>
    <n v="14.333333333333334"/>
    <n v="0"/>
    <n v="0"/>
    <n v="14.333333333333334"/>
    <n v="1"/>
  </r>
  <r>
    <s v="Federated ID"/>
    <s v="johncentofanti@montrose-env.com"/>
    <s v="montrose-env.com"/>
    <s v="johncentofanti@montrose-env.com"/>
    <s v="John"/>
    <s v="Centofanti"/>
    <s v="US"/>
    <s v="C13B2233685180600A495CA9@038d2aa263c9deeb495fea.e"/>
    <x v="1"/>
    <x v="0"/>
    <x v="0"/>
    <m/>
    <m/>
    <s v="USA - Environmental Consulting - Charlottesville - Operations"/>
    <m/>
    <m/>
    <m/>
    <m/>
    <s v="Acrobat Pro (VIPMP - 99C0A3088A102BD9CB4A)"/>
    <m/>
    <m/>
    <x v="81"/>
    <x v="81"/>
    <n v="14.333333333333334"/>
    <n v="0"/>
    <n v="0"/>
    <n v="14.333333333333334"/>
    <n v="1"/>
  </r>
  <r>
    <s v="Federated ID"/>
    <s v="QuentishaForrester@enthalpy.com"/>
    <s v="enthalpy.com"/>
    <s v="QuentishaForrester@enthalpy.com"/>
    <s v="Quentisha"/>
    <s v="Forrester"/>
    <s v="US"/>
    <s v="CCAD22776851BCE40A495C25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derekeggert@montrose-env.com"/>
    <s v="montrose-env.com"/>
    <s v="DerekEggert@montrose-env.com"/>
    <s v="Derek"/>
    <s v="Eggert"/>
    <s v="US"/>
    <s v="206272DD6852E8AE0A495FD5@038d2aa263c9deeb495fea.e"/>
    <x v="1"/>
    <x v="0"/>
    <x v="0"/>
    <m/>
    <m/>
    <s v="USA - Environmental Consulting - Central - Operations"/>
    <m/>
    <m/>
    <m/>
    <m/>
    <s v="Acrobat Pro (VIPMP - 99C0A3088A102BD9CB4A)"/>
    <m/>
    <m/>
    <x v="17"/>
    <x v="17"/>
    <n v="14.333333333333334"/>
    <n v="0"/>
    <n v="0"/>
    <n v="14.333333333333334"/>
    <n v="1"/>
  </r>
  <r>
    <s v="Federated ID"/>
    <s v="isabelmarrero@enthalpy.com"/>
    <s v="enthalpy.com"/>
    <s v="IsabelMarrero@enthalpy.com"/>
    <s v="Isabel"/>
    <s v="Marrero"/>
    <s v="US"/>
    <s v="221E22D26852E8AF0A495CDB@038d2aa263c9deeb495fea.e"/>
    <x v="0"/>
    <x v="0"/>
    <x v="0"/>
    <m/>
    <m/>
    <s v="USA - Env Lab - Durham - Operations"/>
    <m/>
    <m/>
    <m/>
    <m/>
    <m/>
    <m/>
    <m/>
    <x v="0"/>
    <x v="0"/>
    <n v="0"/>
    <n v="0"/>
    <n v="0"/>
    <n v="0"/>
    <m/>
  </r>
  <r>
    <s v="Federated ID"/>
    <s v="ryandecota@montrose-env.com"/>
    <s v="montrose-env.com"/>
    <s v="ryandecota@montrose-env.com"/>
    <s v="Ryan"/>
    <s v="DeCota"/>
    <s v="US"/>
    <s v="26520E5168530D9B0A495FC3@038d2aa263c9deeb495fea.e"/>
    <x v="2"/>
    <x v="0"/>
    <x v="0"/>
    <m/>
    <m/>
    <s v="USA - Corp - Investor Relations &amp; Treasury"/>
    <m/>
    <m/>
    <m/>
    <m/>
    <s v="Acrobat Standard DC (VIPMP - 99C0A3088A102BD9CB4A)"/>
    <m/>
    <m/>
    <x v="112"/>
    <x v="112"/>
    <n v="8.6983333333333324"/>
    <n v="0"/>
    <n v="0"/>
    <n v="8.6983333333333324"/>
    <n v="1"/>
  </r>
  <r>
    <s v="Federated ID"/>
    <s v="JoseJustiniano@enthalpy.com"/>
    <s v="enthalpy.com"/>
    <s v="JoseJustiniano@enthalpy.com"/>
    <s v="Jose"/>
    <s v="Justiniano"/>
    <s v="US"/>
    <s v="06BB22A4685405B80A495E0F@038d2aa263c9deeb495fea.e"/>
    <x v="0"/>
    <x v="0"/>
    <x v="0"/>
    <m/>
    <m/>
    <s v="USA - Env Lab - Wilmington - Operations"/>
    <m/>
    <m/>
    <m/>
    <s v="Acrobat Pro (VIPMP - 99C0A3088A102BD9CB4A)"/>
    <m/>
    <m/>
    <m/>
    <x v="0"/>
    <x v="0"/>
    <n v="0"/>
    <n v="0"/>
    <n v="0"/>
    <n v="0"/>
    <m/>
  </r>
  <r>
    <s v="Federated ID"/>
    <s v="silkeannmariz.mariano@enthalpy.com"/>
    <s v="enthalpy.com"/>
    <s v="silkeannmariz.mariano@enthalpy.com"/>
    <s v="Silke Ann Mariz"/>
    <s v="Mariano"/>
    <s v="US"/>
    <s v="093E229868540EE70A495FBE@038d2aa263c9deeb495fea.e"/>
    <x v="0"/>
    <x v="0"/>
    <x v="0"/>
    <m/>
    <m/>
    <s v="USA - Env Lab - El Dorado Hills - Operations"/>
    <m/>
    <m/>
    <m/>
    <m/>
    <m/>
    <m/>
    <m/>
    <x v="0"/>
    <x v="0"/>
    <n v="0"/>
    <n v="0"/>
    <n v="0"/>
    <n v="0"/>
    <m/>
  </r>
  <r>
    <s v="Federated ID"/>
    <s v="ParomitaBhaumik@montrose-env.com"/>
    <s v="montrose-env.com"/>
    <s v="ParomitaBhaumik@montrose-env.com"/>
    <s v="Paromita"/>
    <s v="Bhaumik"/>
    <s v="US"/>
    <s v="0ABC2278685428500A495EB9@038d2aa263c9deeb495fea.e"/>
    <x v="1"/>
    <x v="0"/>
    <x v="0"/>
    <m/>
    <m/>
    <s v="USA - MES - CO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jbeach@montrose-env.com"/>
    <s v="montrose-env.com"/>
    <s v="jbeach@montrose-env.com"/>
    <s v="James"/>
    <s v="Beach"/>
    <s v="US"/>
    <s v="12B4229F68545A0E0A495CA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MatthewFlacksenburg@enthalpy.com"/>
    <s v="enthalpy.com"/>
    <s v="MatthewFlacksenburg@enthalpy.com"/>
    <s v="Matthew"/>
    <s v="Flacksenburg"/>
    <s v="US"/>
    <s v="8EDE22A46859BB270A495C27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nakrohne@montrose-env.com"/>
    <s v="montrose-env.com"/>
    <s v="nakrohne@montrose-env.com"/>
    <s v="Nathan"/>
    <s v="Krohne"/>
    <s v="US"/>
    <s v="DE5522A9685C277D0A495EA0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ChrisVerheul@enthalpy.com"/>
    <s v="enthalpy.com"/>
    <s v="ChrisVerheul@enthalpy.com"/>
    <s v="Chris"/>
    <s v="Verheul"/>
    <s v="US"/>
    <s v="E8CF227D685C65D10A495C9A@038d2aa263c9deeb495fea.e"/>
    <x v="1"/>
    <x v="0"/>
    <x v="0"/>
    <m/>
    <m/>
    <s v="USA - Env Lab - Wilmington - G&amp;A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jordanbynon@enthalpy.com"/>
    <s v="enthalpy.com"/>
    <s v="jordanbynon@enthalpy.com"/>
    <s v="Jordan"/>
    <s v="Bynon"/>
    <s v="US"/>
    <s v="042723DE685D5EFC0A495FF0@038d2aa263c9deeb495fea.e"/>
    <x v="1"/>
    <x v="0"/>
    <x v="0"/>
    <m/>
    <m/>
    <m/>
    <m/>
    <m/>
    <m/>
    <m/>
    <s v="Acrobat Pro (VIPMP - 99C0A3088A102BD9CB4A)"/>
    <m/>
    <m/>
    <x v="123"/>
    <x v="123"/>
    <n v="14.333333333333334"/>
    <n v="0"/>
    <n v="0"/>
    <n v="14.333333333333334"/>
    <n v="1"/>
  </r>
  <r>
    <s v="Federated ID"/>
    <s v="jamesmaxwell@montrose-env.com"/>
    <s v="montrose-env.com"/>
    <s v="jamesmaxwell@montrose-env.com"/>
    <s v="James"/>
    <s v="Maxwell"/>
    <s v="US"/>
    <s v="067D23B9685D70FE0A495FD7@038d2aa263c9deeb495fea.e"/>
    <x v="0"/>
    <x v="0"/>
    <x v="0"/>
    <m/>
    <m/>
    <s v="USA - Environmental Consulting - Tampa - Operations"/>
    <m/>
    <m/>
    <m/>
    <s v="Acrobat Pro (VIPMP - 99C0A3088A102BD9CB4A)"/>
    <m/>
    <m/>
    <m/>
    <x v="0"/>
    <x v="0"/>
    <n v="0"/>
    <n v="0"/>
    <n v="0"/>
    <n v="0"/>
    <m/>
  </r>
  <r>
    <s v="Federated ID"/>
    <s v="jvera@montrose-env.com"/>
    <s v="montrose-env.com"/>
    <s v="jvera@montrose-env.com"/>
    <s v="Jose"/>
    <s v="Vera"/>
    <s v="US"/>
    <s v="B3C523E9686410C90A495E63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PamelaDerk@montrose-env.com"/>
    <s v="montrose-env.com"/>
    <s v="pameladerk@montrose-env.com"/>
    <s v="Pamela"/>
    <s v="Derk"/>
    <s v="US"/>
    <s v="E02223C8686535C90A495E1A@038d2aa263c9deeb495fea.e"/>
    <x v="1"/>
    <x v="0"/>
    <x v="0"/>
    <m/>
    <m/>
    <s v="USA - Stack - OH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vidiran@montrose-env.com"/>
    <s v="montrose-env.com"/>
    <s v="vidiran@montrose-env.com"/>
    <s v="Victor"/>
    <s v="Diran"/>
    <s v="US"/>
    <s v="197A23D96867043F0A495F8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RynFlood@enthalpy.com"/>
    <s v="enthalpy.com"/>
    <s v="RynFlood@enthalpy.com"/>
    <s v="Ryn"/>
    <s v="Flood"/>
    <s v="US"/>
    <s v="893423E1686BE59F0A495C25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DagmaraLodl@enthalpy.com"/>
    <s v="enthalpy.com"/>
    <s v="DagmaraLodl@enthalpy.com"/>
    <s v="Dagmara"/>
    <s v="Lodl"/>
    <s v="US"/>
    <s v="849423C2686BE5F50A495C4B@038d2aa263c9deeb495fea.e"/>
    <x v="1"/>
    <x v="0"/>
    <x v="0"/>
    <m/>
    <m/>
    <s v="USA - Env Lab - Denver - Operations"/>
    <m/>
    <m/>
    <m/>
    <m/>
    <s v="Acrobat Pro (VIPMP - 99C0A3088A102BD9CB4A)"/>
    <m/>
    <m/>
    <x v="123"/>
    <x v="123"/>
    <n v="14.333333333333334"/>
    <n v="0"/>
    <n v="0"/>
    <n v="14.333333333333334"/>
    <n v="1"/>
  </r>
  <r>
    <s v="Federated ID"/>
    <s v="PaigePreston@montrose-env.com"/>
    <s v="montrose-env.com"/>
    <s v="PaigePreston@montrose-env.com"/>
    <s v="Paige"/>
    <s v="Preston"/>
    <s v="US"/>
    <s v="8B3323BA686BE6340A495E4A@038d2aa263c9deeb495fea.e"/>
    <x v="0"/>
    <x v="0"/>
    <x v="0"/>
    <m/>
    <m/>
    <s v="USA - Environmental Consulting - Central - Operations"/>
    <m/>
    <m/>
    <m/>
    <s v="Acrobat Pro (VIPMP - 99C0A3088A102BD9CB4A)"/>
    <m/>
    <m/>
    <m/>
    <x v="0"/>
    <x v="0"/>
    <n v="0"/>
    <n v="0"/>
    <n v="0"/>
    <n v="0"/>
    <m/>
  </r>
  <r>
    <s v="Federated ID"/>
    <s v="WilliDriscoll@montrose-env.com"/>
    <s v="montrose-env.com"/>
    <s v="WilliDriscoll@montrose-env.com"/>
    <s v="Willi"/>
    <s v="Driscoll"/>
    <s v="US"/>
    <s v="85EB23BD686BE6690A495C42@038d2aa263c9deeb495fea.e"/>
    <x v="0"/>
    <x v="0"/>
    <x v="0"/>
    <m/>
    <m/>
    <s v="USA - Environmental Consulting - Central - Operations"/>
    <m/>
    <m/>
    <m/>
    <s v="Acrobat Pro (VIPMP - 99C0A3088A102BD9CB4A)"/>
    <m/>
    <m/>
    <m/>
    <x v="0"/>
    <x v="0"/>
    <n v="0"/>
    <n v="0"/>
    <n v="0"/>
    <n v="0"/>
    <m/>
  </r>
  <r>
    <s v="Federated ID"/>
    <s v="JuliaCaporusso@montrose-env.com"/>
    <s v="montrose-env.com"/>
    <s v="JuliaCaporusso@montrose-env.com"/>
    <s v="Julia"/>
    <s v="Caporusso"/>
    <s v="US"/>
    <s v="8B4923BA686BE6B00A495E4A@038d2aa263c9deeb495fea.e"/>
    <x v="0"/>
    <x v="0"/>
    <x v="0"/>
    <m/>
    <m/>
    <s v="USA-CO-Loveland-North Denver Avenue"/>
    <m/>
    <m/>
    <m/>
    <s v="Acrobat Pro (VIPMP - 99C0A3088A102BD9CB4A)"/>
    <m/>
    <m/>
    <m/>
    <x v="0"/>
    <x v="0"/>
    <n v="0"/>
    <n v="0"/>
    <n v="0"/>
    <n v="0"/>
    <m/>
  </r>
  <r>
    <s v="Federated ID"/>
    <s v="KathleenSteward@enthalpy.com"/>
    <s v="enthalpy.com"/>
    <s v="KathleenSteward@enthalpy.com"/>
    <s v="Kathleen"/>
    <s v="Steward"/>
    <s v="US"/>
    <s v="84AB23FD686BE6DB0A495F9A@038d2aa263c9deeb495fea.e"/>
    <x v="0"/>
    <x v="0"/>
    <x v="0"/>
    <m/>
    <m/>
    <s v="USA - Labs - OH - Sales"/>
    <m/>
    <m/>
    <m/>
    <s v="Acrobat Pro (VIPMP - 99C0A3088A102BD9CB4A)"/>
    <m/>
    <m/>
    <m/>
    <x v="0"/>
    <x v="0"/>
    <n v="0"/>
    <n v="0"/>
    <n v="0"/>
    <n v="0"/>
    <m/>
  </r>
  <r>
    <s v="Federated ID"/>
    <s v="WesleyBonner@montrose-env.com"/>
    <s v="montrose-env.com"/>
    <s v="WesleyBonner@montrose-env.com"/>
    <s v="Wesley"/>
    <s v="Bonner"/>
    <s v="US"/>
    <s v="908F23D4686BE6FA0A495CBF@038d2aa263c9deeb495fea.e"/>
    <x v="0"/>
    <x v="0"/>
    <x v="0"/>
    <m/>
    <m/>
    <s v="USA - Environmental Consulting - Valley Forge - Operations"/>
    <m/>
    <m/>
    <m/>
    <m/>
    <m/>
    <m/>
    <m/>
    <x v="0"/>
    <x v="0"/>
    <n v="0"/>
    <n v="0"/>
    <n v="0"/>
    <n v="0"/>
    <m/>
  </r>
  <r>
    <s v="Federated ID"/>
    <s v="ScottDoig@montrose-env.com"/>
    <s v="montrose-env.com"/>
    <s v="ScottDoig@montrose-env.com"/>
    <s v="Scott"/>
    <s v="Doig"/>
    <s v="US"/>
    <s v="8796240B686BE71B0A495FD1@038d2aa263c9deeb495fea.e"/>
    <x v="0"/>
    <x v="0"/>
    <x v="0"/>
    <m/>
    <m/>
    <s v="USA - Environmental Consulting - Environmental Intelligence - Operations"/>
    <m/>
    <m/>
    <m/>
    <s v="Acrobat Pro (VIPMP - 99C0A3088A102BD9CB4A)"/>
    <m/>
    <m/>
    <m/>
    <x v="0"/>
    <x v="0"/>
    <n v="0"/>
    <n v="0"/>
    <n v="0"/>
    <n v="0"/>
    <m/>
  </r>
  <r>
    <s v="Federated ID"/>
    <s v="DesiraeMartz@montrose-env.com"/>
    <s v="montrose-env.com"/>
    <s v="DesiraeMartz@montrose-env.com"/>
    <s v="Desirae"/>
    <s v="Martz"/>
    <s v="US"/>
    <s v="83C223C0686BE73D0A495FE6@038d2aa263c9deeb495fea.e"/>
    <x v="0"/>
    <x v="0"/>
    <x v="0"/>
    <m/>
    <m/>
    <s v="USA - Environmental Consulting - Central - Operations"/>
    <m/>
    <m/>
    <m/>
    <s v="Acrobat Pro (VIPMP - 99C0A3088A102BD9CB4A)"/>
    <m/>
    <m/>
    <m/>
    <x v="0"/>
    <x v="0"/>
    <n v="0"/>
    <n v="0"/>
    <n v="0"/>
    <n v="0"/>
    <m/>
  </r>
  <r>
    <s v="Federated ID"/>
    <s v="JackHennen@enthalpy.com"/>
    <s v="enthalpy.com"/>
    <s v="JackHennen@enthalpy.com"/>
    <s v="Jack"/>
    <s v="Hennen"/>
    <s v="US"/>
    <s v="93EE23BB686C28240A495E81@038d2aa263c9deeb495fea.e"/>
    <x v="0"/>
    <x v="0"/>
    <x v="0"/>
    <m/>
    <m/>
    <s v="USA - Env Lab - Denver - Operations"/>
    <m/>
    <m/>
    <m/>
    <s v="Acrobat Pro (VIPMP - 99C0A3088A102BD9CB4A)"/>
    <m/>
    <m/>
    <m/>
    <x v="0"/>
    <x v="0"/>
    <n v="0"/>
    <n v="0"/>
    <n v="0"/>
    <n v="0"/>
    <m/>
  </r>
  <r>
    <s v="Federated ID"/>
    <s v="AshleyParkhurst@montrose-env.com"/>
    <s v="montrose-env.com"/>
    <s v="AshleyParkhurst@montrose-env.com"/>
    <s v="Ashley"/>
    <s v="Parkhurst"/>
    <s v="US"/>
    <s v="B23523B8686D434A0A495C9C@038d2aa263c9deeb495fea.e"/>
    <x v="0"/>
    <x v="0"/>
    <x v="0"/>
    <m/>
    <m/>
    <s v="USA - Environmental Consulting - Central - Operations"/>
    <m/>
    <m/>
    <m/>
    <s v="Acrobat Pro (VIPMP - 99C0A3088A102BD9CB4A)"/>
    <m/>
    <m/>
    <m/>
    <x v="0"/>
    <x v="0"/>
    <n v="0"/>
    <n v="0"/>
    <n v="0"/>
    <n v="0"/>
    <m/>
  </r>
  <r>
    <s v="Federated ID"/>
    <s v="NicoleDOleo@montrose-env.com"/>
    <s v="montrose-env.com"/>
    <s v="NicoleDOleo@montrose-env.com"/>
    <s v="Nicole"/>
    <s v="DOleo"/>
    <s v="US"/>
    <s v="BA1523B8686D43DD0A495CCD@038d2aa263c9deeb495fea.e"/>
    <x v="0"/>
    <x v="0"/>
    <x v="0"/>
    <m/>
    <m/>
    <s v="USA - Advisory Services - Chemistry - Operations"/>
    <m/>
    <m/>
    <m/>
    <s v="Acrobat Pro (VIPMP - 99C0A3088A102BD9CB4A)"/>
    <m/>
    <m/>
    <m/>
    <x v="0"/>
    <x v="0"/>
    <n v="0"/>
    <n v="0"/>
    <n v="0"/>
    <n v="0"/>
    <m/>
  </r>
  <r>
    <s v="Federated ID"/>
    <s v="AnthonyStratton@montrose-env.com"/>
    <s v="montrose-env.com"/>
    <s v="AnthonyStratton@montrose-env.com"/>
    <s v="Anthony"/>
    <s v="Stratton"/>
    <s v="US"/>
    <s v="B13B23BB686D43FC0A495C54@038d2aa263c9deeb495fea.e"/>
    <x v="0"/>
    <x v="0"/>
    <x v="0"/>
    <m/>
    <m/>
    <s v="USA - Stack - Northeast - Operations"/>
    <m/>
    <m/>
    <m/>
    <s v="Acrobat Pro (VIPMP - 99C0A3088A102BD9CB4A)"/>
    <m/>
    <m/>
    <m/>
    <x v="0"/>
    <x v="0"/>
    <n v="0"/>
    <n v="0"/>
    <n v="0"/>
    <n v="0"/>
    <m/>
  </r>
  <r>
    <s v="Federated ID"/>
    <s v="thorne.gregory@enthalpy.com"/>
    <s v="montrose-env.com"/>
    <s v="tgregory@montrose-env.com"/>
    <s v="Thorne"/>
    <s v="Gregory"/>
    <s v="US"/>
    <s v="E62823BA686E8DF80A495EF6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LukasPadua@montrose-env.com"/>
    <s v="montrose-env.com"/>
    <s v="LukasPadua@montrose-env.com"/>
    <s v="Lukas"/>
    <s v="Padua"/>
    <s v="US"/>
    <s v="F8A423D4686EB49E0A495CBF@038d2aa263c9deeb495fea.e"/>
    <x v="0"/>
    <x v="0"/>
    <x v="0"/>
    <m/>
    <m/>
    <s v="USA - Environmental Consulting - Long Beach - Operations"/>
    <m/>
    <m/>
    <m/>
    <s v="Acrobat Pro (VIPMP - 99C0A3088A102BD9CB4A)"/>
    <m/>
    <m/>
    <m/>
    <x v="0"/>
    <x v="0"/>
    <n v="0"/>
    <n v="0"/>
    <n v="0"/>
    <n v="0"/>
    <m/>
  </r>
  <r>
    <s v="Federated ID"/>
    <s v="HarleyBachler@montrose-env.com"/>
    <s v="montrose-env.com"/>
    <s v="HarleyBachler@montrose-env.com"/>
    <s v="Harley"/>
    <s v="Bachler"/>
    <s v="US"/>
    <s v="F22523BD686EB49E0A495CCF@038d2aa263c9deeb495fea.e"/>
    <x v="2"/>
    <x v="0"/>
    <x v="0"/>
    <m/>
    <m/>
    <s v="USA - Environmental Consulting - Environmental Intelligence - Operations"/>
    <m/>
    <m/>
    <m/>
    <s v="Acrobat Pro (VIPMP - 99C0A3088A102BD9CB4A)"/>
    <s v="Acrobat Standard DC (VIPMP - 99C0A3088A102BD9CB4A)"/>
    <m/>
    <m/>
    <x v="3"/>
    <x v="3"/>
    <n v="8.6983333333333324"/>
    <n v="0"/>
    <n v="0"/>
    <n v="8.6983333333333324"/>
    <n v="1"/>
  </r>
  <r>
    <s v="Federated ID"/>
    <s v="IsabellaRealey@montrose-env.com"/>
    <s v="montrose-env.com"/>
    <s v="IsabellaRealey@montrose-env.com"/>
    <s v="Isabella"/>
    <s v="Realey"/>
    <s v="US"/>
    <s v="F23323BC686EF70F0A495C34@038d2aa263c9deeb495fea.e"/>
    <x v="0"/>
    <x v="0"/>
    <x v="0"/>
    <m/>
    <m/>
    <s v="USA - Advisory Services - Two Dot - Operations"/>
    <m/>
    <m/>
    <m/>
    <s v="Acrobat Pro (VIPMP - 99C0A3088A102BD9CB4A)"/>
    <m/>
    <m/>
    <m/>
    <x v="0"/>
    <x v="0"/>
    <n v="0"/>
    <n v="0"/>
    <n v="0"/>
    <n v="0"/>
    <m/>
  </r>
  <r>
    <s v="Federated ID"/>
    <s v="MadisonLester@enthalpy.com"/>
    <s v="enthalpy.com"/>
    <s v="MadisonLester@enthalpy.com"/>
    <s v="Madison"/>
    <s v="Lester"/>
    <s v="US"/>
    <s v="09B722C2686FE2F00A495C6C@038d2aa263c9deeb495fea.e"/>
    <x v="0"/>
    <x v="0"/>
    <x v="0"/>
    <m/>
    <m/>
    <s v="USA - Env Lab - Durham - Operations"/>
    <m/>
    <m/>
    <m/>
    <s v="Acrobat Pro (VIPMP - 99C0A3088A102BD9CB4A)"/>
    <m/>
    <m/>
    <m/>
    <x v="0"/>
    <x v="0"/>
    <n v="0"/>
    <n v="0"/>
    <n v="0"/>
    <n v="0"/>
    <m/>
  </r>
  <r>
    <s v="Federated ID"/>
    <s v="joshuacha@enthalpy.com"/>
    <s v="enthalpy.com"/>
    <s v="joshuacha@enthalpy.com"/>
    <s v="Joshua"/>
    <s v="Cha"/>
    <s v="US"/>
    <s v="3B292273687174820A495C1D@038d2aa263c9deeb495fea.e"/>
    <x v="1"/>
    <x v="0"/>
    <x v="0"/>
    <m/>
    <m/>
    <s v="USA - Env Lab - Denver - Operations"/>
    <m/>
    <m/>
    <m/>
    <m/>
    <s v="Acrobat Pro (VIPMP - 99C0A3088A102BD9CB4A)"/>
    <m/>
    <m/>
    <x v="123"/>
    <x v="123"/>
    <n v="14.333333333333334"/>
    <n v="0"/>
    <n v="0"/>
    <n v="14.333333333333334"/>
    <n v="1"/>
  </r>
  <r>
    <s v="Federated ID"/>
    <s v="tochoa@montrose-env.com"/>
    <s v="montrose-env.com"/>
    <s v="tochoa@montrose-env.com"/>
    <s v="Tammy"/>
    <s v="Ochoa"/>
    <s v="US"/>
    <s v="97B2227E687554760A495FAC@038d2aa263c9deeb495fea.e"/>
    <x v="0"/>
    <x v="0"/>
    <x v="0"/>
    <m/>
    <m/>
    <m/>
    <m/>
    <m/>
    <m/>
    <s v="Acrobat Pro (VIPMP - 99C0A3088A102BD9CB4A)"/>
    <m/>
    <m/>
    <m/>
    <x v="0"/>
    <x v="0"/>
    <n v="0"/>
    <n v="0"/>
    <n v="0"/>
    <n v="0"/>
    <m/>
  </r>
  <r>
    <s v="Federated ID"/>
    <s v="cacheng@montrose-env.com"/>
    <s v="montrose-env.com"/>
    <s v="cacheng@montrose-env.com"/>
    <s v="Casey"/>
    <s v="Cheng"/>
    <s v="US"/>
    <s v="427421C3687AB8B80A495E79@038d2aa263c9deeb495fea.e"/>
    <x v="1"/>
    <x v="0"/>
    <x v="0"/>
    <m/>
    <m/>
    <m/>
    <m/>
    <m/>
    <m/>
    <m/>
    <s v="Acrobat Pro (VIPMP - 99C0A3088A102BD9CB4A)"/>
    <m/>
    <m/>
    <x v="25"/>
    <x v="25"/>
    <n v="14.333333333333334"/>
    <n v="0"/>
    <n v="0"/>
    <n v="14.333333333333334"/>
    <n v="1"/>
  </r>
  <r>
    <s v="Federated ID"/>
    <s v="tshilt@montrose-env.com"/>
    <s v="montrose-env.com"/>
    <s v="tshilt@montrose-env.com"/>
    <s v="Todd"/>
    <s v="Shilt"/>
    <s v="US"/>
    <s v="DC5821E3687FD7560A495CD5@038d2aa263c9deeb495fea.e"/>
    <x v="2"/>
    <x v="0"/>
    <x v="0"/>
    <m/>
    <m/>
    <s v="USA - Stack - OH - Safety"/>
    <m/>
    <m/>
    <m/>
    <m/>
    <s v="Acrobat Standard DC (VIPMP - 99C0A3088A102BD9CB4A)"/>
    <m/>
    <m/>
    <x v="106"/>
    <x v="106"/>
    <n v="8.6983333333333324"/>
    <n v="0"/>
    <n v="0"/>
    <n v="8.6983333333333324"/>
    <n v="1"/>
  </r>
  <r>
    <s v="Federated ID"/>
    <s v="CalebMeadows@montrose-env.com"/>
    <s v="montrose-env.com"/>
    <s v="CalebMeadows@montrose-env.com"/>
    <s v="Caleb"/>
    <s v="Meadows"/>
    <s v="US"/>
    <s v="E82B21DC68803CDA0A495C75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KaylaBoon@montrose-env.com"/>
    <s v="montrose-env.com"/>
    <s v="KaylaBoon@montrose-env.com"/>
    <s v="Kayla"/>
    <s v="Boon"/>
    <s v="US"/>
    <s v="0AE421B668813C2C0A495FF4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rscott@montrose-env.com"/>
    <s v="montrose-env.com"/>
    <s v="arscott@montrose-env.com"/>
    <s v="Arik"/>
    <s v="Scott"/>
    <s v="US"/>
    <s v="0A3F21C3688157550A495FDF@038d2aa263c9deeb495fea.e"/>
    <x v="2"/>
    <x v="0"/>
    <x v="0"/>
    <m/>
    <m/>
    <s v="USA - Stack - Santa Ana - Operations"/>
    <m/>
    <m/>
    <m/>
    <m/>
    <s v="Acrobat Standard DC (VIPMP - 99C0A3088A102BD9CB4A)"/>
    <m/>
    <m/>
    <x v="21"/>
    <x v="21"/>
    <n v="8.6983333333333324"/>
    <n v="0"/>
    <n v="0"/>
    <n v="8.6983333333333324"/>
    <n v="1"/>
  </r>
  <r>
    <s v="Federated ID"/>
    <s v="paleblanc@montrose-env.com"/>
    <s v="montrose-env.com"/>
    <s v="paleblanc@montrose-env.com"/>
    <s v="Parker"/>
    <s v="LeBlanc"/>
    <s v="US"/>
    <s v="1FC921E7688223680A495E3F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StevenSaldana@montrose-env.com"/>
    <s v="montrose-env.com"/>
    <s v="StevenSaldana@montrose-env.com"/>
    <s v="Steven"/>
    <s v="Saldana"/>
    <s v="US"/>
    <s v="164021E7688292C70A495C30@038d2aa263c9deeb495fea.e"/>
    <x v="2"/>
    <x v="0"/>
    <x v="0"/>
    <m/>
    <m/>
    <s v="USA - LDAR - Texas - Operations"/>
    <m/>
    <m/>
    <m/>
    <m/>
    <s v="Acrobat Standard DC (VIPMP - 99C0A3088A102BD9CB4A)"/>
    <m/>
    <m/>
    <x v="136"/>
    <x v="136"/>
    <n v="8.6983333333333324"/>
    <n v="0"/>
    <n v="0"/>
    <n v="8.6983333333333324"/>
    <n v="1"/>
  </r>
  <r>
    <s v="Federated ID"/>
    <s v="mabennett@montrose-env.com"/>
    <s v="montrose-env.com"/>
    <s v="mabennett@montrose-env.com"/>
    <s v="Malinda"/>
    <s v="Bennett"/>
    <s v="US"/>
    <s v="33ED21C968839DA00A495EC4@038d2aa263c9deeb495fea.e"/>
    <x v="1"/>
    <x v="8"/>
    <x v="0"/>
    <m/>
    <m/>
    <s v="USA - Environmental Consulting - Tampa - Operations"/>
    <m/>
    <m/>
    <m/>
    <m/>
    <s v="Acrobat Pro (VIPMP - 99C0A3088A102BD9CB4A),Acrobat Standard DC (VIPMP - 99C0A3088A102BD9CB4A)"/>
    <m/>
    <m/>
    <x v="6"/>
    <x v="6"/>
    <n v="14.333333333333334"/>
    <n v="8.6983333333333324"/>
    <n v="0"/>
    <n v="23.031666666666666"/>
    <n v="1"/>
  </r>
  <r>
    <s v="Federated ID"/>
    <s v="EmilyKlang@enthalpy.com"/>
    <s v="enthalpy.com"/>
    <s v="EmilyKlang@enthalpy.com"/>
    <s v="Emily"/>
    <s v="Klang"/>
    <s v="US"/>
    <s v="353721F06883B0CB0A495ED9@038d2aa263c9deeb495fea.e"/>
    <x v="1"/>
    <x v="0"/>
    <x v="0"/>
    <m/>
    <m/>
    <s v="USA - Env Lab - Deer Park - Operations"/>
    <m/>
    <m/>
    <m/>
    <m/>
    <s v="Acrobat Pro (VIPMP - 99C0A3088A102BD9CB4A)"/>
    <m/>
    <m/>
    <x v="80"/>
    <x v="80"/>
    <n v="14.333333333333334"/>
    <n v="0"/>
    <n v="0"/>
    <n v="14.333333333333334"/>
    <n v="1"/>
  </r>
  <r>
    <s v="Federated ID"/>
    <s v="HilaryBrinegar@montrose-env.com"/>
    <s v="montrose-env.com"/>
    <s v="HilaryBrinegar@montrose-env.com"/>
    <s v="Hilary"/>
    <s v="Brinegar"/>
    <s v="US"/>
    <s v="356A21CC6883B0CB0A495EFB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AlixHuhta@montrose-env.com"/>
    <s v="montrose-env.com"/>
    <s v="AlixHuhta@montrose-env.com"/>
    <s v="Alix"/>
    <s v="Huhta"/>
    <s v="US"/>
    <s v="36B221EE6883B0CC0A495C60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LettyRodriguez@montrose-env.com"/>
    <s v="montrose-env.com"/>
    <s v="LettyRodriguez@montrose-env.com"/>
    <s v="Letty"/>
    <s v="Rodriguez"/>
    <s v="US"/>
    <s v="375321E76883B0CC0A495C26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hantAnassian@montrose-env.com"/>
    <s v="montrose-env.com"/>
    <s v="ShantAnassian@montrose-env.com"/>
    <s v="Shant"/>
    <s v="Anassian"/>
    <s v="US"/>
    <s v="A0C021BF688801570A495FB1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orichardson@montrose-env.com"/>
    <s v="montrose-env.com"/>
    <s v="jorichardson@montrose-env.com"/>
    <s v="Johnny"/>
    <s v="Richardson"/>
    <s v="US"/>
    <s v="C66121ED6888D2F20A495E84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TravisCumming@montrose-env.com"/>
    <s v="montrose-env.com"/>
    <s v="TravisCumming@montrose-env.com"/>
    <s v="Travis"/>
    <s v="Cumming"/>
    <s v="US"/>
    <s v="04E8229B68895C9A0A495C39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SamuelGarrett@enthalpy.com"/>
    <s v="enthalpy.com"/>
    <s v="SamuelGarrett@enthalpy.com"/>
    <s v="Samuel"/>
    <s v="Garrett"/>
    <s v="US"/>
    <s v="21412298688A2C490A495FD9@038d2aa263c9deeb495fea.e"/>
    <x v="2"/>
    <x v="0"/>
    <x v="0"/>
    <m/>
    <m/>
    <m/>
    <m/>
    <m/>
    <m/>
    <m/>
    <s v="Acrobat Standard DC (VIPMP - 99C0A3088A102BD9CB4A)"/>
    <m/>
    <m/>
    <x v="57"/>
    <x v="57"/>
    <n v="8.6983333333333324"/>
    <n v="0"/>
    <n v="0"/>
    <n v="8.6983333333333324"/>
    <n v="1"/>
  </r>
  <r>
    <s v="Federated ID"/>
    <s v="NarayanUpreti@montrose-env.com"/>
    <s v="montrose-env.com"/>
    <s v="NarayanUpreti@montrose-env.com"/>
    <s v="Narayan"/>
    <s v="Upreti"/>
    <s v="US"/>
    <s v="2C152298688A61630A495E28@038d2aa263c9deeb495fea.e"/>
    <x v="2"/>
    <x v="0"/>
    <x v="0"/>
    <m/>
    <m/>
    <s v="USA - Environmental Consulting - Wilmington DE - Operations"/>
    <m/>
    <m/>
    <m/>
    <m/>
    <s v="Acrobat Standard DC (VIPMP - 99C0A3088A102BD9CB4A)"/>
    <m/>
    <m/>
    <x v="40"/>
    <x v="40"/>
    <n v="8.6983333333333324"/>
    <n v="0"/>
    <n v="0"/>
    <n v="8.6983333333333324"/>
    <n v="1"/>
  </r>
  <r>
    <s v="Federated ID"/>
    <s v="JoseNavarreteCruz@montrose-env.com"/>
    <s v="montrose-env.com"/>
    <s v="JoseNavarreteCruz@montrose-env.com"/>
    <s v="Jose"/>
    <s v="Navarrete Cruz"/>
    <s v="US"/>
    <s v="354922C8688A8C660A495FBB@038d2aa263c9deeb495fea.e"/>
    <x v="2"/>
    <x v="0"/>
    <x v="0"/>
    <m/>
    <m/>
    <s v="USA - Environmental Consulting - Tampa - Operations"/>
    <m/>
    <m/>
    <m/>
    <m/>
    <s v="Acrobat Standard DC (VIPMP - 99C0A3088A102BD9CB4A)"/>
    <m/>
    <m/>
    <x v="6"/>
    <x v="6"/>
    <n v="8.6983333333333324"/>
    <n v="0"/>
    <n v="0"/>
    <n v="8.6983333333333324"/>
    <n v="1"/>
  </r>
  <r>
    <s v="Federated ID"/>
    <s v="NicholasFetter@montrose-env.com"/>
    <s v="montrose-env.com"/>
    <s v="NicholasFetter@montrose-env.com"/>
    <s v="Nicholas"/>
    <s v="Fetter"/>
    <s v="US"/>
    <s v="362E22A1688A9A720A495EEC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SeanCalderon@enthalpy.com"/>
    <s v="enthalpy.com"/>
    <s v="SeanCalderon@enthalpy.com"/>
    <s v="Sean"/>
    <s v="Calderon"/>
    <s v="US"/>
    <s v="142D2280688B9E3A0A495E26@038d2aa263c9deeb495fea.e"/>
    <x v="2"/>
    <x v="0"/>
    <x v="0"/>
    <m/>
    <m/>
    <s v="USA - Env Lab - Wilmington - Operations"/>
    <m/>
    <m/>
    <m/>
    <m/>
    <s v="Acrobat Standard DC (VIPMP - 99C0A3088A102BD9CB4A)"/>
    <m/>
    <m/>
    <x v="75"/>
    <x v="75"/>
    <n v="8.6983333333333324"/>
    <n v="0"/>
    <n v="0"/>
    <n v="8.6983333333333324"/>
    <n v="1"/>
  </r>
  <r>
    <s v="Federated ID"/>
    <s v="BrianHunter@ect2.com"/>
    <s v="ect2.com"/>
    <s v="BrianHunter@ect2.com"/>
    <s v="Brian"/>
    <s v="Hunter"/>
    <s v="US"/>
    <s v="58CE22A6688CE4270A495CA6@038d2aa263c9deeb495fea.e"/>
    <x v="2"/>
    <x v="0"/>
    <x v="0"/>
    <m/>
    <m/>
    <s v="USA - ECT2 - Operations"/>
    <m/>
    <m/>
    <m/>
    <m/>
    <s v="Acrobat Standard DC (VIPMP - 99C0A3088A102BD9CB4A)"/>
    <m/>
    <m/>
    <x v="10"/>
    <x v="10"/>
    <n v="8.6983333333333324"/>
    <n v="0"/>
    <n v="0"/>
    <n v="8.6983333333333324"/>
    <n v="1"/>
  </r>
  <r>
    <s v="Federated ID"/>
    <s v="MayaFazio@montrose-env.com"/>
    <s v="montrose-env.com"/>
    <s v="MayaFazio@montrose-env.com"/>
    <s v="Maya"/>
    <s v="Fazio"/>
    <s v="US"/>
    <s v="5C4622D9688CE6B40A495E95@038d2aa263c9deeb495fea.e"/>
    <x v="2"/>
    <x v="0"/>
    <x v="0"/>
    <m/>
    <m/>
    <s v="USA - Sensible EDP - Denver - Operations"/>
    <m/>
    <m/>
    <m/>
    <m/>
    <s v="Acrobat Standard DC (VIPMP - 99C0A3088A102BD9CB4A)"/>
    <m/>
    <m/>
    <x v="61"/>
    <x v="61"/>
    <n v="8.6983333333333324"/>
    <n v="0"/>
    <n v="0"/>
    <n v="8.6983333333333324"/>
    <n v="1"/>
  </r>
  <r>
    <s v="Federated ID"/>
    <s v="btyler@montrose-env.com"/>
    <s v="enthalpy.com"/>
    <s v="bryan.tyler@enthalpy.com"/>
    <s v="Bryan"/>
    <s v="Tyler"/>
    <s v="US"/>
    <s v="61812286688CFC9F0A495EC1@038d2aa263c9deeb495fea.e"/>
    <x v="1"/>
    <x v="0"/>
    <x v="0"/>
    <m/>
    <m/>
    <s v="USA - Labs - OH - G&amp;A"/>
    <m/>
    <m/>
    <m/>
    <m/>
    <s v="Acrobat Pro (VIPMP - 99C0A3088A102BD9CB4A)"/>
    <m/>
    <m/>
    <x v="43"/>
    <x v="43"/>
    <n v="14.333333333333334"/>
    <n v="0"/>
    <n v="0"/>
    <n v="14.333333333333334"/>
    <n v="1"/>
  </r>
  <r>
    <s v="Federated ID"/>
    <s v="charlesmcfadden@montrose-env.com"/>
    <s v="montrose-env.com"/>
    <s v="charlesmcfadden@montrose-env.com"/>
    <s v="Charles"/>
    <s v="McFadden"/>
    <s v="US"/>
    <s v="0254228A6890F8C40A495CB0@038d2aa263c9deeb495fea.e"/>
    <x v="2"/>
    <x v="0"/>
    <x v="0"/>
    <m/>
    <m/>
    <s v="USA - Environmental Consulting - Santa Ana (Rem) - Operations"/>
    <m/>
    <m/>
    <m/>
    <m/>
    <s v="Acrobat Standard DC (VIPMP - 99C0A3088A102BD9CB4A)"/>
    <m/>
    <m/>
    <x v="1"/>
    <x v="1"/>
    <n v="8.6983333333333324"/>
    <n v="0"/>
    <n v="0"/>
    <n v="8.6983333333333324"/>
    <n v="1"/>
  </r>
  <r>
    <s v="Federated ID"/>
    <s v="CharlizeMondragon@montrose-env.com"/>
    <s v="montrose-env.com"/>
    <s v="CharlizeMondragon@montrose-env.com"/>
    <s v="Charlize"/>
    <s v="Mondragon"/>
    <s v="US"/>
    <s v="03012280689117A60A495E5E@038d2aa263c9deeb495fea.e"/>
    <x v="2"/>
    <x v="0"/>
    <x v="0"/>
    <m/>
    <m/>
    <s v="USA - Stack - Santa Ana - G&amp;A"/>
    <m/>
    <m/>
    <m/>
    <m/>
    <s v="Acrobat Standard DC (VIPMP - 99C0A3088A102BD9CB4A)"/>
    <m/>
    <m/>
    <x v="59"/>
    <x v="59"/>
    <n v="8.6983333333333324"/>
    <n v="0"/>
    <n v="0"/>
    <n v="8.6983333333333324"/>
    <n v="1"/>
  </r>
  <r>
    <s v="Federated ID"/>
    <s v="ElysiaFields@montrose-env.com"/>
    <s v="montrose-env.com"/>
    <s v="ElysiaFields@montrose-env.com"/>
    <s v="Elysia"/>
    <s v="Fields"/>
    <s v="US"/>
    <s v="0AE822BB689117CF0A495E6A@038d2aa263c9deeb495fea.e"/>
    <x v="2"/>
    <x v="0"/>
    <x v="0"/>
    <m/>
    <m/>
    <s v="USA - Stack - Santa Ana - Operations"/>
    <m/>
    <m/>
    <m/>
    <m/>
    <s v="Acrobat Standard DC (VIPMP - 99C0A3088A102BD9CB4A)"/>
    <m/>
    <m/>
    <x v="21"/>
    <x v="21"/>
    <n v="8.6983333333333324"/>
    <n v="0"/>
    <n v="0"/>
    <n v="8.6983333333333324"/>
    <n v="1"/>
  </r>
  <r>
    <s v="Federated ID"/>
    <s v="JuliaButler@montrose-env.com"/>
    <s v="montrose-env.com"/>
    <s v="JuliaButler@montrose-env.com"/>
    <s v="Julia"/>
    <s v="Butler"/>
    <s v="US"/>
    <s v="3F2322C0689219680A495C16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MatthewBauer@montrose-env.com"/>
    <s v="montrose-env.com"/>
    <s v="MatthewBauer@montrose-env.com"/>
    <s v="Matthew"/>
    <s v="Bauer"/>
    <s v="US"/>
    <s v="3CDE22A568922AD10A495FC6@038d2aa263c9deeb495fea.e"/>
    <x v="2"/>
    <x v="0"/>
    <x v="0"/>
    <m/>
    <m/>
    <s v="USA - Stack - Gulf Coast - Operations"/>
    <m/>
    <m/>
    <m/>
    <m/>
    <s v="Acrobat Standard DC (VIPMP - 99C0A3088A102BD9CB4A)"/>
    <m/>
    <m/>
    <x v="52"/>
    <x v="52"/>
    <n v="8.6983333333333324"/>
    <n v="0"/>
    <n v="0"/>
    <n v="8.6983333333333324"/>
    <n v="1"/>
  </r>
  <r>
    <s v="Federated ID"/>
    <s v="JulieNawiesniak@montrose-env.com"/>
    <s v="montrose-env.com"/>
    <s v="JulieNawiesniak@montrose-env.com"/>
    <s v="Julie"/>
    <s v="Nawiesniak"/>
    <s v="US"/>
    <s v="504422AC689260190A495F94@038d2aa263c9deeb495fea.e"/>
    <x v="1"/>
    <x v="0"/>
    <x v="0"/>
    <m/>
    <m/>
    <m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UmutSaltik@montrose-env.com"/>
    <s v="montrose-env.com"/>
    <s v="UmutSaltik@montrose-env.com"/>
    <s v="Umut"/>
    <s v="Saltik"/>
    <s v="US"/>
    <s v="84CC22846893E0C90A495C6A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SarahAasland@montrose-env.com"/>
    <s v="montrose-env.com"/>
    <s v="SarahAasland@montrose-env.com"/>
    <s v="Sarah"/>
    <s v="Aasland"/>
    <s v="US"/>
    <s v="1A6E21D2689538BE0A495EF4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xitlalyolivos@enthalpy.com"/>
    <s v="enthalpy.com"/>
    <s v="xitlalyolivos@enthalpy.com"/>
    <s v="Xitlaly"/>
    <s v="Olivos"/>
    <s v="US"/>
    <s v="3BB121B1689622E90A495FBB@038d2aa263c9deeb495fea.e"/>
    <x v="1"/>
    <x v="0"/>
    <x v="0"/>
    <m/>
    <m/>
    <s v="USA - Env Lab - El Dorado Hills - Operations"/>
    <m/>
    <m/>
    <m/>
    <m/>
    <s v="Acrobat Pro (VIPMP - 99C0A3088A102BD9CB4A)"/>
    <m/>
    <m/>
    <x v="104"/>
    <x v="104"/>
    <n v="14.333333333333334"/>
    <n v="0"/>
    <n v="0"/>
    <n v="14.333333333333334"/>
    <n v="1"/>
  </r>
  <r>
    <s v="Federated ID"/>
    <s v="pwhitman@montrose-env.com"/>
    <s v="montrose-env.com"/>
    <s v="pwhitman@montrose-env.com"/>
    <s v="Patrick"/>
    <s v="Whitman"/>
    <s v="US"/>
    <s v="3CA021AE6896295B0A495C20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damaxwell@montrose-env.com"/>
    <s v="montrose-env.com"/>
    <s v="damaxwell@montrose-env.com"/>
    <s v="David"/>
    <s v="Maxwell"/>
    <s v="US"/>
    <s v="9D3721E6689A2EBB0A495FF7@038d2aa263c9deeb495fea.e"/>
    <x v="2"/>
    <x v="0"/>
    <x v="0"/>
    <m/>
    <m/>
    <s v="USA - Stack - Gulf Coast - Operations"/>
    <m/>
    <m/>
    <m/>
    <m/>
    <s v="Acrobat Standard DC (VIPMP - 99C0A3088A102BD9CB4A)"/>
    <m/>
    <m/>
    <x v="60"/>
    <x v="60"/>
    <n v="8.6983333333333324"/>
    <n v="0"/>
    <n v="0"/>
    <n v="8.6983333333333324"/>
    <n v="1"/>
  </r>
  <r>
    <s v="Federated ID"/>
    <s v="SebWangGaouette@montrose-env.com"/>
    <s v="montrose-env.com"/>
    <s v="SebWangGaouette@montrose-env.com"/>
    <s v="Seb"/>
    <s v="Wang Gaouette"/>
    <s v="US"/>
    <s v="720E21A6689E3D7B0A495E25@038d2aa263c9deeb495fea.e"/>
    <x v="2"/>
    <x v="0"/>
    <x v="0"/>
    <m/>
    <m/>
    <s v="USA - Environmental Consulting - Oakland - Operations"/>
    <m/>
    <m/>
    <m/>
    <m/>
    <s v="Acrobat Standard DC (VIPMP - 99C0A3088A102BD9CB4A)"/>
    <m/>
    <m/>
    <x v="34"/>
    <x v="34"/>
    <n v="8.6983333333333324"/>
    <n v="0"/>
    <n v="0"/>
    <n v="8.6983333333333324"/>
    <n v="1"/>
  </r>
  <r>
    <s v="Federated ID"/>
    <s v="cmiller@montrose-env.com"/>
    <s v="montrose-env.com"/>
    <s v="cmiller@montrose-env.com"/>
    <s v="Cathy"/>
    <s v="Miller"/>
    <s v="US"/>
    <s v="74FC21AB689E46AB0A495FD9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laurenlachance@enthalpy.com"/>
    <s v="enthalpy.com"/>
    <s v="laurenlachance@enthalpy.com"/>
    <s v="Lauren"/>
    <s v="LaChance"/>
    <s v="US"/>
    <s v="9AB021A2689F439F0A495FB7@038d2aa263c9deeb495fea.e"/>
    <x v="2"/>
    <x v="0"/>
    <x v="0"/>
    <m/>
    <m/>
    <m/>
    <m/>
    <m/>
    <m/>
    <m/>
    <s v="Acrobat Standard DC (VIPMP - 99C0A3088A102BD9CB4A)"/>
    <m/>
    <m/>
    <x v="57"/>
    <x v="57"/>
    <n v="8.6983333333333324"/>
    <n v="0"/>
    <n v="0"/>
    <n v="8.6983333333333324"/>
    <n v="1"/>
  </r>
  <r>
    <s v="Federated ID"/>
    <s v="JonathanSamuel@enthalpy.com"/>
    <s v="enthalpy.com"/>
    <s v="JonathanSamuel@enthalpy.com"/>
    <s v="Jonathan"/>
    <s v="Samuel"/>
    <s v="US"/>
    <s v="9A2921EE689F4C240A495C17@038d2aa263c9deeb495fea.e"/>
    <x v="0"/>
    <x v="0"/>
    <x v="0"/>
    <m/>
    <m/>
    <m/>
    <m/>
    <m/>
    <m/>
    <s v="Acrobat Pro (VIPMP - 99C0A3088A102BD9CB4A)"/>
    <m/>
    <m/>
    <m/>
    <x v="0"/>
    <x v="0"/>
    <n v="0"/>
    <n v="0"/>
    <n v="0"/>
    <n v="0"/>
    <m/>
  </r>
  <r>
    <s v="Federated ID"/>
    <s v="KennedyLawson@montrose-env.com"/>
    <s v="montrose-env.com"/>
    <s v="KennedyLawson@montrose-env.com"/>
    <s v="Kennedy"/>
    <s v="Lawson"/>
    <s v="US"/>
    <s v="9DC821AD689F506D0A495E21@038d2aa263c9deeb495fea.e"/>
    <x v="0"/>
    <x v="0"/>
    <x v="0"/>
    <m/>
    <m/>
    <s v="USA - Environmental Consulting - Valley Forge - Operations"/>
    <m/>
    <m/>
    <m/>
    <s v="Acrobat Pro (VIPMP - 99C0A3088A102BD9CB4A)"/>
    <m/>
    <m/>
    <m/>
    <x v="0"/>
    <x v="0"/>
    <n v="0"/>
    <n v="0"/>
    <n v="0"/>
    <n v="0"/>
    <m/>
  </r>
  <r>
    <s v="Federated ID"/>
    <s v="MaananChowdhury@montrose-env.com"/>
    <s v="montrose-env.com"/>
    <s v="MaananChowdhury@montrose-env.com"/>
    <s v="Maanan"/>
    <s v="Chowdhury"/>
    <s v="US"/>
    <s v="A2E721C6689F667D0A495CE2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ZacharyLaird@montrose-env.com"/>
    <s v="montrose-env.com"/>
    <s v="ZacharyLaird@montrose-env.com"/>
    <s v="Zachary"/>
    <s v="Laird"/>
    <s v="US"/>
    <s v="AAA121C5689F7E340A495FCF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GabbyMcHugh@montrose-env.com"/>
    <s v="montrose-env.com"/>
    <s v="GabbyMcHugh@montrose-env.com"/>
    <s v="Gabby"/>
    <s v="McHugh"/>
    <s v="US"/>
    <s v="AA1121AE689FA17D0A495EC2@038d2aa263c9deeb495fea.e"/>
    <x v="1"/>
    <x v="0"/>
    <x v="0"/>
    <m/>
    <m/>
    <m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NicoleZuniga@montrose-env.com"/>
    <s v="montrose-env.com"/>
    <s v="NicoleZuniga@montrose-env.com"/>
    <s v="Nicole"/>
    <s v="Zuniga"/>
    <s v="US"/>
    <s v="AE7E21B4689FB2460A495E61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Daniel.Elliott@enthalpy.com"/>
    <s v="enthalpy.com"/>
    <s v="daniel.elliott@enthalpy.com"/>
    <s v="Daniel"/>
    <s v="Elliott"/>
    <s v="US"/>
    <s v="F9BC21CF68A331790A495E4A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erivera@montrose-env.com"/>
    <s v="montrose-env.com"/>
    <s v="erivera@montrose-env.com"/>
    <s v="Eduardo"/>
    <s v="Rivera"/>
    <s v="US"/>
    <s v="0C4D21DA68A35CA40A495CCA@038d2aa263c9deeb495fea.e"/>
    <x v="2"/>
    <x v="0"/>
    <x v="0"/>
    <m/>
    <m/>
    <m/>
    <m/>
    <m/>
    <m/>
    <m/>
    <s v="Acrobat Standard DC (VIPMP - 99C0A3088A102BD9CB4A)"/>
    <m/>
    <m/>
    <x v="1"/>
    <x v="1"/>
    <n v="8.6983333333333324"/>
    <n v="0"/>
    <n v="0"/>
    <n v="8.6983333333333324"/>
    <n v="1"/>
  </r>
  <r>
    <s v="Federated ID"/>
    <s v="AdamLirette@ect2.com"/>
    <s v="ect2.com"/>
    <s v="AdamLirette@ect2.com"/>
    <s v="Adam"/>
    <s v="Lirette"/>
    <s v="US"/>
    <s v="0CF121A568A362160A495E69@038d2aa263c9deeb495fea.e"/>
    <x v="2"/>
    <x v="0"/>
    <x v="0"/>
    <m/>
    <m/>
    <s v="USA - ECT2 - OH - Sales"/>
    <m/>
    <m/>
    <m/>
    <m/>
    <s v="Acrobat Standard DC (VIPMP - 99C0A3088A102BD9CB4A)"/>
    <m/>
    <m/>
    <x v="88"/>
    <x v="88"/>
    <n v="8.6983333333333324"/>
    <n v="0"/>
    <n v="0"/>
    <n v="8.6983333333333324"/>
    <n v="1"/>
  </r>
  <r>
    <s v="Adobe ID"/>
    <s v="tonorato@montrose-gov.com"/>
    <s v="montrose-gov.com"/>
    <s v="tonorato@montrose-gov.com"/>
    <s v="Tammy"/>
    <s v="Onorato"/>
    <s v="UD"/>
    <s v="106F224F68A38DDC0A495E3E@038d2aa263c9deeb495fea.e"/>
    <x v="1"/>
    <x v="0"/>
    <x v="0"/>
    <m/>
    <m/>
    <s v="USA - Corp - Federal"/>
    <m/>
    <m/>
    <m/>
    <m/>
    <s v="Acrobat Pro (VIPMP - 99C0A3088A102BD9CB4A)"/>
    <m/>
    <m/>
    <x v="116"/>
    <x v="116"/>
    <n v="14.333333333333334"/>
    <n v="0"/>
    <n v="0"/>
    <n v="14.333333333333334"/>
    <n v="1"/>
  </r>
  <r>
    <s v="Adobe ID"/>
    <s v="rbogert@montrose-gov.com"/>
    <s v="montrose-gov.com"/>
    <s v="rbogert@montrose-gov.com"/>
    <s v="Rob"/>
    <s v="Bogert"/>
    <s v="UD"/>
    <s v="16D921D368A38E5B0A495FD1@038d2aa263c9deeb495fea.e"/>
    <x v="1"/>
    <x v="0"/>
    <x v="0"/>
    <m/>
    <m/>
    <s v="USA - Corp - Federal"/>
    <m/>
    <m/>
    <m/>
    <m/>
    <s v="Acrobat Pro (VIPMP - 99C0A3088A102BD9CB4A)"/>
    <m/>
    <m/>
    <x v="116"/>
    <x v="116"/>
    <n v="14.333333333333334"/>
    <n v="0"/>
    <n v="0"/>
    <n v="14.333333333333334"/>
    <n v="1"/>
  </r>
  <r>
    <s v="Adobe ID"/>
    <s v="lwebb@montrose-gov.com"/>
    <s v="montrose-gov.com"/>
    <s v="lwebb@montrose-gov.com"/>
    <s v="Laurel"/>
    <s v="Webb"/>
    <s v="UD"/>
    <s v="164221A968A38E7B0A495FDF@038d2aa263c9deeb495fea.e"/>
    <x v="1"/>
    <x v="0"/>
    <x v="0"/>
    <m/>
    <m/>
    <s v="USA - Corp - Federal"/>
    <m/>
    <m/>
    <m/>
    <m/>
    <s v="Acrobat Pro (VIPMP - 99C0A3088A102BD9CB4A)"/>
    <m/>
    <m/>
    <x v="116"/>
    <x v="116"/>
    <n v="14.333333333333334"/>
    <n v="0"/>
    <n v="0"/>
    <n v="14.333333333333334"/>
    <n v="1"/>
  </r>
  <r>
    <s v="Federated ID"/>
    <s v="danwilczynski@montrose-env.com"/>
    <s v="montrose-env.com"/>
    <s v="danwilczynski@montrose-env.com"/>
    <s v="Dan"/>
    <s v="Wilczynski"/>
    <s v="US"/>
    <s v="44E0224F68A4B4D40A495E3E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jventura@montrose-env.com"/>
    <s v="montrose-env.com"/>
    <s v="jventura@montrose-env.com"/>
    <s v="Jordan"/>
    <s v="Ventura"/>
    <s v="US"/>
    <s v="52A021EB68A4D3300A495FD4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ennifer.Christmann@enthalpy.com"/>
    <s v="enthalpy.com"/>
    <s v="Jennifer.Christmann@enthalpy.com"/>
    <s v="Jennifer"/>
    <s v="Christmann"/>
    <s v="US"/>
    <s v="561221D768A4E37D0A495FCD@038d2aa263c9deeb495fea.e"/>
    <x v="1"/>
    <x v="0"/>
    <x v="0"/>
    <m/>
    <m/>
    <s v="USA - Labs - OH - Sales"/>
    <m/>
    <m/>
    <m/>
    <m/>
    <s v="Acrobat Pro (VIPMP - 99C0A3088A102BD9CB4A)"/>
    <m/>
    <m/>
    <x v="23"/>
    <x v="23"/>
    <n v="14.333333333333334"/>
    <n v="0"/>
    <n v="0"/>
    <n v="14.333333333333334"/>
    <n v="1"/>
  </r>
  <r>
    <s v="Federated ID"/>
    <s v="SophieCollet@montrose-env.com"/>
    <s v="montrose-env.com"/>
    <s v="SophieCollet@montrose-env.com"/>
    <s v="Sophie"/>
    <s v="Collet"/>
    <s v="US"/>
    <s v="6D7B21C668A5BD670A495FA2@038d2aa263c9deeb495fea.e"/>
    <x v="2"/>
    <x v="0"/>
    <x v="0"/>
    <m/>
    <m/>
    <s v="USA - Advisory Services - Chemistry - Operations"/>
    <m/>
    <m/>
    <m/>
    <m/>
    <s v="Acrobat Standard DC (VIPMP - 99C0A3088A102BD9CB4A)"/>
    <m/>
    <m/>
    <x v="22"/>
    <x v="22"/>
    <n v="8.6983333333333324"/>
    <n v="0"/>
    <n v="0"/>
    <n v="8.6983333333333324"/>
    <n v="1"/>
  </r>
  <r>
    <s v="Federated ID"/>
    <s v="elijah.sulal@enthalpy.com"/>
    <s v="enthalpy.com"/>
    <s v="elijah.sulal@enthalpy.com"/>
    <s v="Elijah"/>
    <s v="Sulal"/>
    <s v="US"/>
    <s v="8ACE21DA68A61FAA0A495CCA@038d2aa263c9deeb495fea.e"/>
    <x v="2"/>
    <x v="0"/>
    <x v="0"/>
    <m/>
    <m/>
    <s v="USA - Env Lab - Deer Park - Operations"/>
    <m/>
    <m/>
    <m/>
    <m/>
    <s v="Acrobat Standard DC (VIPMP - 99C0A3088A102BD9CB4A)"/>
    <m/>
    <m/>
    <x v="80"/>
    <x v="80"/>
    <n v="8.6983333333333324"/>
    <n v="0"/>
    <n v="0"/>
    <n v="8.6983333333333324"/>
    <n v="1"/>
  </r>
  <r>
    <s v="Federated ID"/>
    <s v="EverettMcAteer@montrose-env.com"/>
    <s v="montrose-env.com"/>
    <s v="EverettMcAteer@montrose-env.com"/>
    <s v="Everett"/>
    <s v="McAteer"/>
    <s v="US"/>
    <s v="10C321A168A754D90A495FC3@038d2aa263c9deeb495fea.e"/>
    <x v="0"/>
    <x v="0"/>
    <x v="0"/>
    <m/>
    <m/>
    <s v="USA - Environmental Consulting - Valley Forge - Operations"/>
    <m/>
    <m/>
    <m/>
    <s v="Acrobat Pro (VIPMP - 99C0A3088A102BD9CB4A)"/>
    <m/>
    <m/>
    <m/>
    <x v="0"/>
    <x v="0"/>
    <n v="0"/>
    <n v="0"/>
    <n v="0"/>
    <n v="0"/>
    <m/>
  </r>
  <r>
    <s v="Federated ID"/>
    <s v="krosenberg@montrose-env.com"/>
    <s v="montrose-env.com"/>
    <s v="krosenberg@montrose-env.com"/>
    <s v="Kevin"/>
    <s v="Rosenberg"/>
    <s v="US"/>
    <s v="B03321AF68ACAB740A495C87@038d2aa263c9deeb495fea.e"/>
    <x v="1"/>
    <x v="0"/>
    <x v="0"/>
    <m/>
    <m/>
    <s v="USA - Stack - Southeast - Operations"/>
    <m/>
    <m/>
    <m/>
    <m/>
    <s v="Acrobat Pro (VIPMP - 99C0A3088A102BD9CB4A)"/>
    <m/>
    <m/>
    <x v="137"/>
    <x v="137"/>
    <n v="14.333333333333334"/>
    <n v="0"/>
    <n v="0"/>
    <n v="14.333333333333334"/>
    <n v="1"/>
  </r>
  <r>
    <s v="Federated ID"/>
    <s v="taboyko@montrose-env.com"/>
    <s v="montrose-env.com"/>
    <s v="taboyko@montrose-env.com"/>
    <s v="Taylor"/>
    <s v="Boyko"/>
    <s v="US"/>
    <s v="B1A121A768ACAC6D0A495E40@038d2aa263c9deeb495fea.e"/>
    <x v="2"/>
    <x v="0"/>
    <x v="0"/>
    <m/>
    <m/>
    <s v="USA - Environmental Consulting - Wilmington - Operations"/>
    <m/>
    <m/>
    <m/>
    <m/>
    <s v="Acrobat Standard DC (VIPMP - 99C0A3088A102BD9CB4A)"/>
    <m/>
    <m/>
    <x v="71"/>
    <x v="71"/>
    <n v="8.6983333333333324"/>
    <n v="0"/>
    <n v="0"/>
    <n v="8.6983333333333324"/>
    <n v="1"/>
  </r>
  <r>
    <s v="Federated ID"/>
    <s v="JohnFlicker@montrose-env.com"/>
    <s v="montrose-env.com"/>
    <s v="JohnFlicker@montrose-env.com"/>
    <s v="John"/>
    <s v="Flicker"/>
    <s v="US"/>
    <s v="2CD821C168AF74FC0A495E64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oseOrtiz@enthalpy.com"/>
    <s v="enthalpy.com"/>
    <s v="joseortiz@enthalpy.com"/>
    <s v="Jose"/>
    <s v="Ortiz"/>
    <s v="US"/>
    <s v="61DD21C768B0CB520A495C31@038d2aa263c9deeb495fea.e"/>
    <x v="2"/>
    <x v="0"/>
    <x v="0"/>
    <m/>
    <m/>
    <s v="USA - Env Lab - Deer Park - Operations"/>
    <m/>
    <m/>
    <m/>
    <m/>
    <s v="Acrobat Standard DC (VIPMP - 99C0A3088A102BD9CB4A)"/>
    <m/>
    <m/>
    <x v="80"/>
    <x v="80"/>
    <n v="8.6983333333333324"/>
    <n v="0"/>
    <n v="0"/>
    <n v="8.6983333333333324"/>
    <n v="1"/>
  </r>
  <r>
    <s v="Federated ID"/>
    <s v="JeffDaniels@montrose-env.com"/>
    <s v="montrose-env.com"/>
    <s v="JeffDaniels@montrose-env.com"/>
    <s v="Jeff"/>
    <s v="Daniels"/>
    <s v="US"/>
    <s v="1353222B68B1C9CA0A495EF1@038d2aa263c9deeb495fea.e"/>
    <x v="2"/>
    <x v="0"/>
    <x v="0"/>
    <m/>
    <m/>
    <s v="USA - Stack - OH - G&amp;A"/>
    <m/>
    <m/>
    <m/>
    <m/>
    <s v="Acrobat Standard DC (VIPMP - 99C0A3088A102BD9CB4A)"/>
    <m/>
    <m/>
    <x v="24"/>
    <x v="24"/>
    <n v="8.6983333333333324"/>
    <n v="0"/>
    <n v="0"/>
    <n v="8.6983333333333324"/>
    <n v="1"/>
  </r>
  <r>
    <s v="Federated ID"/>
    <s v="IlanaNguyen@montrose-env.com"/>
    <s v="montrose-env.com"/>
    <s v="IlanaNguyen@montrose-env.com"/>
    <s v="Ilana"/>
    <s v="Nguyen"/>
    <s v="US"/>
    <s v="1452220168B1C9CA0A495E69@038d2aa263c9deeb495fea.e"/>
    <x v="2"/>
    <x v="0"/>
    <x v="0"/>
    <m/>
    <m/>
    <s v="USA - Sensible EDP - Austin - Operations"/>
    <m/>
    <m/>
    <m/>
    <m/>
    <s v="Acrobat Standard DC (VIPMP - 99C0A3088A102BD9CB4A)"/>
    <m/>
    <m/>
    <x v="90"/>
    <x v="90"/>
    <n v="8.6983333333333324"/>
    <n v="0"/>
    <n v="0"/>
    <n v="8.6983333333333324"/>
    <n v="1"/>
  </r>
  <r>
    <s v="Federated ID"/>
    <s v="LorinChamberlain@montrose-env.com"/>
    <s v="montrose-env.com"/>
    <s v="LorinChamberlain@montrose-env.com"/>
    <s v="Lorin"/>
    <s v="Chamberlain"/>
    <s v="US"/>
    <s v="129F220B68B1CA780A495E86@038d2aa263c9deeb495fea.e"/>
    <x v="2"/>
    <x v="0"/>
    <x v="0"/>
    <m/>
    <m/>
    <s v="USA - LDAR - OH - Finance"/>
    <m/>
    <m/>
    <m/>
    <m/>
    <s v="Acrobat Standard DC (VIPMP - 99C0A3088A102BD9CB4A)"/>
    <m/>
    <m/>
    <x v="50"/>
    <x v="50"/>
    <n v="8.6983333333333324"/>
    <n v="0"/>
    <n v="0"/>
    <n v="8.6983333333333324"/>
    <n v="1"/>
  </r>
  <r>
    <s v="Federated ID"/>
    <s v="amcclure@montrose-env.com"/>
    <s v="montrose-env.com"/>
    <s v="amcclure@montrose-env.com"/>
    <s v="Adam"/>
    <s v="McClure"/>
    <s v="US"/>
    <s v="1DCF223468B1FA8E0A495E0F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BrentJohnson@montrose-env.com"/>
    <s v="montrose-env.com"/>
    <s v="BrentJohnson@montrose-env.com"/>
    <s v="Brent"/>
    <s v="Johnson"/>
    <s v="US"/>
    <s v="AB4B223068B72D7D0A495E87@038d2aa263c9deeb495fea.e"/>
    <x v="2"/>
    <x v="0"/>
    <x v="0"/>
    <m/>
    <m/>
    <s v="USA - Environmental Consulting - Environmental Intelligence - Operations"/>
    <m/>
    <m/>
    <m/>
    <m/>
    <s v="Acrobat Standard DC (VIPMP - 99C0A3088A102BD9CB4A)"/>
    <m/>
    <m/>
    <x v="3"/>
    <x v="3"/>
    <n v="8.6983333333333324"/>
    <n v="0"/>
    <n v="0"/>
    <n v="8.6983333333333324"/>
    <n v="1"/>
  </r>
  <r>
    <s v="Federated ID"/>
    <s v="BrandonStewart@enthalpy.com"/>
    <s v="enthalpy.com"/>
    <s v="BrandonStewart@enthalpy.com"/>
    <s v="Brandon"/>
    <s v="Stewart"/>
    <s v="US"/>
    <s v="ADC4220E68B731C90A495C6E@038d2aa263c9deeb495fea.e"/>
    <x v="2"/>
    <x v="0"/>
    <x v="0"/>
    <m/>
    <m/>
    <s v="USA - Env Lab - Orange - G&amp;A"/>
    <m/>
    <m/>
    <m/>
    <m/>
    <s v="Acrobat Standard DC (VIPMP - 99C0A3088A102BD9CB4A)"/>
    <m/>
    <m/>
    <x v="138"/>
    <x v="138"/>
    <n v="8.6983333333333324"/>
    <n v="0"/>
    <n v="0"/>
    <n v="8.6983333333333324"/>
    <n v="1"/>
  </r>
  <r>
    <s v="Federated ID"/>
    <s v="SunilaGupta@montrose-env.com"/>
    <s v="montrose-env.com"/>
    <s v="SunilaGupta@montrose-env.com"/>
    <s v="Sunila"/>
    <s v="Gupta"/>
    <s v="US"/>
    <s v="B3DC220E68B747490A495C1E@038d2aa263c9deeb495fea.e"/>
    <x v="1"/>
    <x v="0"/>
    <x v="0"/>
    <m/>
    <m/>
    <s v="USA - Corp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JohnGregory@montrose-env.com"/>
    <s v="montrose-env.com"/>
    <s v="JohnGregory@montrose-env.com"/>
    <s v="John"/>
    <s v="Gregory"/>
    <s v="US"/>
    <s v="B890223168B761D80A495FFB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marcus.hueppe@enthalpy.com"/>
    <s v="enthalpy.com"/>
    <s v="marcus.hueppe@enthalpy.com"/>
    <s v="Marcus"/>
    <s v="Hueppe"/>
    <s v="US"/>
    <s v="E346220B68B864260A495EE3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jacksullivan@enthalpy.com"/>
    <s v="enthalpy.com"/>
    <s v="jacksullivan@enthalpy.com"/>
    <s v="Jack"/>
    <s v="Sullivan"/>
    <s v="US"/>
    <s v="F8D9222E68B8C2BE0A495C70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DenverSheets@montrose-env.com"/>
    <s v="montrose-env.com"/>
    <s v="DenverSheets@montrose-env.com"/>
    <s v="Denver"/>
    <s v="Sheets"/>
    <s v="US"/>
    <s v="2432230268BA06D40A495FCA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arios@montrose-env.com"/>
    <s v="montrose-env.com"/>
    <s v="marios@montrose-env.com"/>
    <s v="Marcos"/>
    <s v="Rios"/>
    <s v="US"/>
    <s v="24F522E368BA071F0A495E3C@038d2aa263c9deeb495fea.e"/>
    <x v="1"/>
    <x v="0"/>
    <x v="0"/>
    <m/>
    <m/>
    <s v="USA - OGI - Operations"/>
    <m/>
    <m/>
    <m/>
    <m/>
    <s v="Acrobat Pro (VIPMP - 99C0A3088A102BD9CB4A)"/>
    <m/>
    <m/>
    <x v="30"/>
    <x v="30"/>
    <n v="14.333333333333334"/>
    <n v="0"/>
    <n v="0"/>
    <n v="14.333333333333334"/>
    <n v="1"/>
  </r>
  <r>
    <s v="Federated ID"/>
    <s v="SheaHewage@enthalpy.com"/>
    <s v="enthalpy.com"/>
    <s v="SheaHewage@enthalpy.com"/>
    <s v="Shea"/>
    <s v="Hewage"/>
    <s v="US"/>
    <s v="3FDF22E368BAE56C0A495E44@038d2aa263c9deeb495fea.e"/>
    <x v="1"/>
    <x v="0"/>
    <x v="0"/>
    <m/>
    <m/>
    <m/>
    <m/>
    <m/>
    <m/>
    <m/>
    <s v="Acrobat Pro (VIPMP - 99C0A3088A102BD9CB4A)"/>
    <m/>
    <m/>
    <x v="56"/>
    <x v="56"/>
    <n v="14.333333333333334"/>
    <n v="0"/>
    <n v="0"/>
    <n v="14.333333333333334"/>
    <n v="1"/>
  </r>
  <r>
    <s v="Federated ID"/>
    <s v="MinhNguyetHong@enthalpy.com"/>
    <s v="enthalpy.com"/>
    <s v="MinhNguyetHong@enthalpy.com"/>
    <s v="Minh-Nguyet"/>
    <s v="Hong"/>
    <s v="US"/>
    <s v="5085233668BB5F2B0A495C3F@038d2aa263c9deeb495fea.e"/>
    <x v="2"/>
    <x v="0"/>
    <x v="0"/>
    <m/>
    <m/>
    <s v="USA - Env Lab - Orange - Operations"/>
    <m/>
    <m/>
    <m/>
    <m/>
    <s v="Acrobat Standard DC (VIPMP - 99C0A3088A102BD9CB4A)"/>
    <m/>
    <m/>
    <x v="26"/>
    <x v="26"/>
    <n v="8.6983333333333324"/>
    <n v="0"/>
    <n v="0"/>
    <n v="8.6983333333333324"/>
    <n v="1"/>
  </r>
  <r>
    <s v="Federated ID"/>
    <s v="minhchi.doan@enthalpy.com"/>
    <s v="enthalpy.com"/>
    <s v="minhchi.doan@enthalpy.com"/>
    <s v="MinhChi"/>
    <s v="Doan"/>
    <s v="US"/>
    <s v="4D3A230768BB5FAD0A495F91@038d2aa263c9deeb495fea.e"/>
    <x v="1"/>
    <x v="0"/>
    <x v="0"/>
    <m/>
    <m/>
    <s v="USA - Env Lab - Orange - Operations"/>
    <m/>
    <m/>
    <m/>
    <m/>
    <s v="Acrobat Pro (VIPMP - 99C0A3088A102BD9CB4A)"/>
    <m/>
    <m/>
    <x v="26"/>
    <x v="26"/>
    <n v="14.333333333333334"/>
    <n v="0"/>
    <n v="0"/>
    <n v="14.333333333333334"/>
    <n v="1"/>
  </r>
  <r>
    <s v="Federated ID"/>
    <s v="cruberti@montrose-env.com"/>
    <s v="montrose-env.com"/>
    <s v="cruberti@montrose-env.com"/>
    <s v="Craig"/>
    <s v="Ruberti"/>
    <s v="US"/>
    <s v="9C4022E968BED4D10A495FF5@038d2aa263c9deeb495fea.e"/>
    <x v="1"/>
    <x v="0"/>
    <x v="0"/>
    <m/>
    <m/>
    <s v="USA - ECT2 - OH - Safety"/>
    <m/>
    <m/>
    <m/>
    <m/>
    <s v="Acrobat Pro (VIPMP - 99C0A3088A102BD9CB4A)"/>
    <m/>
    <m/>
    <x v="139"/>
    <x v="139"/>
    <n v="14.333333333333334"/>
    <n v="0"/>
    <n v="0"/>
    <n v="14.333333333333334"/>
    <n v="1"/>
  </r>
  <r>
    <s v="Federated ID"/>
    <s v="KatieEberhardt@montrose-env.com"/>
    <s v="montrose-env.com"/>
    <s v="KatieEberhardt@montrose-env.com"/>
    <s v="Katie"/>
    <s v="Eberhardt"/>
    <s v="US"/>
    <s v="A8C3222B68BF0D5B0A495C1B@038d2aa263c9deeb495fea.e"/>
    <x v="3"/>
    <x v="0"/>
    <x v="0"/>
    <m/>
    <m/>
    <s v="USA - Corp - Marketing"/>
    <m/>
    <m/>
    <m/>
    <m/>
    <s v="All Apps plan (VIPMP - 99C0A3088A102BD9CB4A)"/>
    <m/>
    <m/>
    <x v="44"/>
    <x v="44"/>
    <n v="82.24"/>
    <n v="0"/>
    <n v="0"/>
    <n v="82.24"/>
    <n v="1"/>
  </r>
  <r>
    <s v="Federated ID"/>
    <s v="IsiahMunoz@montrose-env.com"/>
    <s v="montrose-env.com"/>
    <s v="IsiahMunoz@montrose-env.com"/>
    <s v="Isiah"/>
    <s v="Munoz"/>
    <s v="US"/>
    <s v="B59C221468BF51990A495E5E@038d2aa263c9deeb495fea.e"/>
    <x v="1"/>
    <x v="1"/>
    <x v="0"/>
    <m/>
    <m/>
    <s v="USA - Corp - Sales"/>
    <m/>
    <m/>
    <m/>
    <m/>
    <s v="Acrobat Pro (VIPMP - 99C0A3088A102BD9CB4A),InDesign (VIPMP - 99C0A3088A102BD9CB4A)"/>
    <m/>
    <m/>
    <x v="14"/>
    <x v="14"/>
    <n v="14.333333333333334"/>
    <n v="35.979166666666664"/>
    <n v="0"/>
    <n v="50.3125"/>
    <n v="1"/>
  </r>
  <r>
    <s v="Federated ID"/>
    <s v="JakeDugger@montrose-env.com"/>
    <s v="montrose-env.com"/>
    <s v="JakeDugger@montrose-env.com"/>
    <s v="Jake"/>
    <s v="Dugger"/>
    <s v="US"/>
    <s v="D429222168C012A40A495C0D@038d2aa263c9deeb495fea.e"/>
    <x v="2"/>
    <x v="0"/>
    <x v="0"/>
    <m/>
    <m/>
    <s v="USA - MES - COE"/>
    <m/>
    <m/>
    <m/>
    <m/>
    <s v="Acrobat Standard DC (VIPMP - 99C0A3088A102BD9CB4A)"/>
    <m/>
    <m/>
    <x v="113"/>
    <x v="113"/>
    <n v="8.6983333333333324"/>
    <n v="0"/>
    <n v="0"/>
    <n v="8.6983333333333324"/>
    <n v="1"/>
  </r>
  <r>
    <s v="Federated ID"/>
    <s v="jaevans@montrose-env.com"/>
    <s v="enthalpy.com"/>
    <s v="Jim.Evans@enthalpy.com"/>
    <s v="James"/>
    <s v="Evans"/>
    <s v="US"/>
    <s v="DAD422E068C0422C0A495FCD@038d2aa263c9deeb495fea.e"/>
    <x v="0"/>
    <x v="0"/>
    <x v="0"/>
    <m/>
    <m/>
    <s v="USA - Env Lab - Wilmington - Operations"/>
    <m/>
    <m/>
    <m/>
    <m/>
    <m/>
    <m/>
    <m/>
    <x v="0"/>
    <x v="0"/>
    <n v="0"/>
    <n v="0"/>
    <n v="0"/>
    <n v="0"/>
    <m/>
  </r>
  <r>
    <s v="Federated ID"/>
    <s v="GabrielGadwood@montrose-env.com"/>
    <s v="montrose-env.com"/>
    <s v="GabrielGadwood@montrose-env.com"/>
    <s v="Gabriel"/>
    <s v="Gadwood"/>
    <s v="US"/>
    <s v="DDAE222168C0442D0A495C0D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aLaFleur@montrose-env.com"/>
    <s v="montrose-env.com"/>
    <s v="JaLaFleur@montrose-env.com"/>
    <s v="Jackson"/>
    <s v="LaFleur"/>
    <s v="US"/>
    <s v="E2B4221668C04E610A495CD2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thhelmich@montrose-env.com"/>
    <s v="montrose-env.com"/>
    <s v="thhelmich@montrose-env.com"/>
    <s v="Thomas"/>
    <s v="Helmich"/>
    <s v="US"/>
    <s v="1316230268C16B610A495FCA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HollyLinton@ect2.com"/>
    <s v="ect2.com"/>
    <s v="HollyLinton@ect2.com"/>
    <s v="Holly"/>
    <s v="Linton"/>
    <s v="US"/>
    <s v="0FCA22E868C1770A0A495E14@038d2aa263c9deeb495fea.e"/>
    <x v="1"/>
    <x v="0"/>
    <x v="0"/>
    <m/>
    <m/>
    <s v="AUS - ECT2 - OH - Safety"/>
    <m/>
    <m/>
    <m/>
    <m/>
    <s v="Acrobat Pro (VIPMP - 99C0A3088A102BD9CB4A)"/>
    <m/>
    <m/>
    <x v="140"/>
    <x v="140"/>
    <n v="14.333333333333334"/>
    <n v="0"/>
    <n v="0"/>
    <n v="14.333333333333334"/>
    <n v="1"/>
  </r>
  <r>
    <s v="Federated ID"/>
    <s v="jacob.mcfadden@enthalpy.com"/>
    <s v="enthalpy.com"/>
    <s v="jacob.mcfadden@enthalpy.com"/>
    <s v="Jacob"/>
    <s v="McFadden"/>
    <s v="US"/>
    <s v="21F3230A68C1BA650A495FC0@038d2aa263c9deeb495fea.e"/>
    <x v="1"/>
    <x v="0"/>
    <x v="0"/>
    <m/>
    <m/>
    <s v="USA - Labs - OH - Finance"/>
    <m/>
    <m/>
    <m/>
    <m/>
    <s v="Acrobat Pro (VIPMP - 99C0A3088A102BD9CB4A)"/>
    <m/>
    <m/>
    <x v="42"/>
    <x v="42"/>
    <n v="14.333333333333334"/>
    <n v="0"/>
    <n v="0"/>
    <n v="14.333333333333334"/>
    <n v="1"/>
  </r>
  <r>
    <s v="Federated ID"/>
    <s v="KeithTura@montrose-env.com"/>
    <s v="montrose-env.com"/>
    <s v="KeithTura@montrose-env.com"/>
    <s v="Keith"/>
    <s v="Tura"/>
    <s v="US"/>
    <s v="18DA230568C315D30A495EEF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vasilkhaliaukin@enthalpy.com"/>
    <s v="enthalpy.com"/>
    <s v="vasilkhaliaukin@enthalpy.com"/>
    <s v="Vasil"/>
    <s v="Khaliaukin"/>
    <s v="US"/>
    <s v="5007231468C46AE10A495E13@038d2aa263c9deeb495fea.e"/>
    <x v="2"/>
    <x v="0"/>
    <x v="0"/>
    <m/>
    <m/>
    <s v="USA - Env Lab - Denver - Operations"/>
    <m/>
    <m/>
    <m/>
    <m/>
    <s v="Acrobat Standard DC (VIPMP - 99C0A3088A102BD9CB4A)"/>
    <m/>
    <m/>
    <x v="123"/>
    <x v="123"/>
    <n v="8.6983333333333324"/>
    <n v="0"/>
    <n v="0"/>
    <n v="8.6983333333333324"/>
    <n v="1"/>
  </r>
  <r>
    <s v="Federated ID"/>
    <s v="SuzanneRoche@montrose-env.com"/>
    <s v="montrose-env.com"/>
    <s v="SuzanneRoche@montrose-env.com"/>
    <s v="Suzanne"/>
    <s v="Roche"/>
    <s v="US"/>
    <s v="A31422E568C8199F0A495C86@038d2aa263c9deeb495fea.e"/>
    <x v="1"/>
    <x v="0"/>
    <x v="0"/>
    <m/>
    <m/>
    <s v="USA - Environmental Consulting - Wilmington - Operations"/>
    <m/>
    <m/>
    <m/>
    <m/>
    <s v="Acrobat Pro (VIPMP - 99C0A3088A102BD9CB4A)"/>
    <m/>
    <m/>
    <x v="71"/>
    <x v="71"/>
    <n v="14.333333333333334"/>
    <n v="0"/>
    <n v="0"/>
    <n v="14.333333333333334"/>
    <n v="1"/>
  </r>
  <r>
    <s v="Federated ID"/>
    <s v="AlexanderFucci@enthalpy.com"/>
    <s v="enthalpy.com"/>
    <s v="AlexanderFucci@enthalpy.com"/>
    <s v="Alexander"/>
    <s v="Fucci"/>
    <s v="US"/>
    <s v="ADB522E568C848E30A495C86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ordanGoff@montrose-env.com"/>
    <s v="montrose-env.com"/>
    <s v="JordanGoff@montrose-env.com"/>
    <s v="Jordan"/>
    <s v="Goff"/>
    <s v="US"/>
    <s v="E100230E68C983840A495C37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ErichHeinzel@montrose-env.com"/>
    <s v="montrose-env.com"/>
    <s v="ErichHeinzel@montrose-env.com"/>
    <s v="Erich"/>
    <s v="Heinzel"/>
    <s v="US"/>
    <s v="22F7226868CAFE860A495C3B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KaitlynCaminiti@enthalpy.com"/>
    <s v="enthalpy.com"/>
    <s v="KaitlynCaminiti@enthalpy.com"/>
    <s v="Kaitlyn"/>
    <s v="Caminiti"/>
    <s v="US"/>
    <s v="269F21E668CB0F5A0A495F85@038d2aa263c9deeb495fea.e"/>
    <x v="2"/>
    <x v="0"/>
    <x v="0"/>
    <m/>
    <m/>
    <s v="USA - Env Lab - Durham - Operations"/>
    <m/>
    <m/>
    <m/>
    <m/>
    <s v="Acrobat Standard DC (VIPMP - 99C0A3088A102BD9CB4A)"/>
    <m/>
    <m/>
    <x v="57"/>
    <x v="57"/>
    <n v="8.6983333333333324"/>
    <n v="0"/>
    <n v="0"/>
    <n v="8.6983333333333324"/>
    <n v="1"/>
  </r>
  <r>
    <s v="Federated ID"/>
    <s v="ShannonWiley@montrose-env.com"/>
    <s v="montrose-env.com"/>
    <s v="ShannonWiley@montrose-env.com"/>
    <s v="Shannon"/>
    <s v="Wiley"/>
    <s v="US"/>
    <s v="282B220268CB14C30A495F95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bettina.benedict@enthalpy.com"/>
    <s v="enthalpy.com"/>
    <s v="bettina.benedict@enthalpy.com"/>
    <s v="Bettina"/>
    <s v="Benedict"/>
    <s v="US"/>
    <s v="548F220568CC42AF0A495E98@038d2aa263c9deeb495fea.e"/>
    <x v="1"/>
    <x v="0"/>
    <x v="0"/>
    <m/>
    <m/>
    <s v="USA - Env Lab - El Dorado Hills - Operations"/>
    <m/>
    <m/>
    <m/>
    <m/>
    <s v="Acrobat Pro (VIPMP - 99C0A3088A102BD9CB4A)"/>
    <m/>
    <m/>
    <x v="104"/>
    <x v="104"/>
    <n v="14.333333333333334"/>
    <n v="0"/>
    <n v="0"/>
    <n v="14.333333333333334"/>
    <n v="1"/>
  </r>
  <r>
    <s v="Federated ID"/>
    <s v="atianaromain@enthalpy.com"/>
    <s v="enthalpy.com"/>
    <s v="atianaromain@enthalpy.com"/>
    <s v="Atiana"/>
    <s v="Romain"/>
    <s v="US"/>
    <s v="581A220C68CC6FCB0A495E58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CodyMiller@montrose-env.com"/>
    <s v="montrose-env.com"/>
    <s v="CodyMiller@montrose-env.com"/>
    <s v="Cody"/>
    <s v="Miller"/>
    <s v="US"/>
    <s v="5AC8223268CC778C0A495E40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GradyGermain@montrose-env.com"/>
    <s v="montrose-env.com"/>
    <s v="GradyGermain@montrose-env.com"/>
    <s v="Grady"/>
    <s v="Germain"/>
    <s v="US"/>
    <s v="DA27220868D1899F0A495C34@038d2aa263c9deeb495fea.e"/>
    <x v="1"/>
    <x v="0"/>
    <x v="0"/>
    <m/>
    <m/>
    <s v="USA - Environmental Consulting - Nashville - Operations"/>
    <m/>
    <m/>
    <m/>
    <m/>
    <s v="Acrobat Pro (VIPMP - 99C0A3088A102BD9CB4A)"/>
    <m/>
    <m/>
    <x v="117"/>
    <x v="117"/>
    <n v="14.333333333333334"/>
    <n v="0"/>
    <n v="0"/>
    <n v="14.333333333333334"/>
    <n v="1"/>
  </r>
  <r>
    <s v="Federated ID"/>
    <s v="MichelleBrooks@montrose-env.com"/>
    <s v="montrose-env.com"/>
    <s v="MichelleBrooks@montrose-env.com"/>
    <s v="Michelle"/>
    <s v="Brooks"/>
    <s v="US"/>
    <s v="D83A220268D18CEF0A495F95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dimontes@montrose-env.com"/>
    <s v="montrose-env.com"/>
    <s v="dimontes@montrose-env.com"/>
    <s v="Dianne"/>
    <s v="Montes"/>
    <s v="US"/>
    <s v="E0BD223168D1957B0A495C8A@038d2aa263c9deeb495fea.e"/>
    <x v="1"/>
    <x v="0"/>
    <x v="0"/>
    <m/>
    <m/>
    <s v="USA - Environmental Consulting - Orlando - Operations"/>
    <m/>
    <m/>
    <m/>
    <m/>
    <s v="Acrobat Pro (VIPMP - 99C0A3088A102BD9CB4A)"/>
    <m/>
    <m/>
    <x v="28"/>
    <x v="28"/>
    <n v="14.333333333333334"/>
    <n v="0"/>
    <n v="0"/>
    <n v="14.333333333333334"/>
    <n v="1"/>
  </r>
  <r>
    <s v="Federated ID"/>
    <s v="ChristaWelch@montrose-env.com"/>
    <s v="montrose-env.com"/>
    <s v="ChristaWelch@montrose-env.com"/>
    <s v="Christa"/>
    <s v="Welch"/>
    <s v="US"/>
    <s v="DC3421A668D1A09C0A495FF3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asepulveda@ect2.com"/>
    <s v="ect2.com"/>
    <s v="asepulveda@ect2.com"/>
    <s v="Andrea"/>
    <s v="Sepulveda"/>
    <s v="US"/>
    <s v="0652221568D2D5550A495C0C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davidtkac@enthalpy.com"/>
    <s v="enthalpy.com"/>
    <s v="davidtkac@enthalpy.com"/>
    <s v="David"/>
    <s v="Tkac"/>
    <s v="US"/>
    <s v="2D60220C68D40C650A495EDC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MaddyJordan@montrose-env.com"/>
    <s v="montrose-env.com"/>
    <s v="MaddyJordan@montrose-env.com"/>
    <s v="Maddy"/>
    <s v="Jordan"/>
    <s v="US"/>
    <s v="3B2421A168D472380A495F90@038d2aa263c9deeb495fea.e"/>
    <x v="1"/>
    <x v="0"/>
    <x v="0"/>
    <m/>
    <m/>
    <s v="CAN - Consulting &amp; Engineering - Env Sciences and Planning - Air Permit &amp; Comp - Operations"/>
    <m/>
    <m/>
    <m/>
    <m/>
    <s v="Acrobat Pro (VIPMP - 99C0A3088A102BD9CB4A)"/>
    <m/>
    <m/>
    <x v="100"/>
    <x v="100"/>
    <n v="14.333333333333334"/>
    <n v="0"/>
    <n v="0"/>
    <n v="14.333333333333334"/>
    <n v="1"/>
  </r>
  <r>
    <s v="Federated ID"/>
    <s v="noellemathis@enthalpy.com"/>
    <s v="enthalpy.com"/>
    <s v="noellemathis@enthalpy.com"/>
    <s v="Noelle"/>
    <s v="Doyle"/>
    <s v="US"/>
    <s v="7186220568D60A2E0A495FA9@038d2aa263c9deeb495fea.e"/>
    <x v="2"/>
    <x v="0"/>
    <x v="0"/>
    <m/>
    <m/>
    <s v="USA - Env Lab - Denver - Operations"/>
    <m/>
    <m/>
    <m/>
    <m/>
    <s v="Acrobat Standard DC (VIPMP - 99C0A3088A102BD9CB4A)"/>
    <m/>
    <m/>
    <x v="123"/>
    <x v="123"/>
    <n v="8.6983333333333324"/>
    <n v="0"/>
    <n v="0"/>
    <n v="8.6983333333333324"/>
    <n v="1"/>
  </r>
  <r>
    <s v="Federated ID"/>
    <s v="nicholas.dixon@enthalpy.com"/>
    <s v="enthalpy.com"/>
    <s v="nicholas.dixon@enthalpy.com"/>
    <s v="Nicholas"/>
    <s v="Dixon"/>
    <s v="US"/>
    <s v="8083220B68D6B5DC0A495CE0@038d2aa263c9deeb495fea.e"/>
    <x v="2"/>
    <x v="0"/>
    <x v="0"/>
    <m/>
    <m/>
    <s v="USA - Env Lab - Richmond - Operations"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Federated ID"/>
    <s v="ChristopherWambach@montrose-env.com"/>
    <s v="montrose-env.com"/>
    <s v="ChristopherWambach@montrose-env.com"/>
    <s v="Christopher"/>
    <s v="Wambach"/>
    <s v="US"/>
    <s v="7F55220568D6E7630A495E51@038d2aa263c9deeb495fea.e"/>
    <x v="1"/>
    <x v="0"/>
    <x v="0"/>
    <m/>
    <m/>
    <s v="USA - Environmental Consulting - Robbinsville - Operations"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NatashaGriswold@montrose-env.com"/>
    <s v="montrose-env.com"/>
    <s v="NatashaGriswold@montrose-env.com"/>
    <s v="Natasha"/>
    <s v="Griswold"/>
    <s v="US"/>
    <s v="875D21A468D6E7BA0A495FD5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brgiordanolanza@montrose-env.com"/>
    <s v="montrose-env.com"/>
    <s v="brgiordanolanza@montrose-env.com"/>
    <s v="Brandon"/>
    <s v="Giordanolanza"/>
    <s v="US"/>
    <s v="AF06221168D943070A495FC1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LaurenHill@montrose-env.com"/>
    <s v="montrose-env.com"/>
    <s v="LaurenHill@montrose-env.com"/>
    <s v="Lauren"/>
    <s v="Hill"/>
    <s v="US"/>
    <s v="E97B220868DAEB170A495EDF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RyanMcKay@montrose-env.com"/>
    <s v="montrose-env.com"/>
    <s v="ryanmckay@montrose-env.com"/>
    <s v="Ryan"/>
    <s v="McKay"/>
    <s v="US"/>
    <s v="F790220568DB0B8C0A495E98@038d2aa263c9deeb495fea.e"/>
    <x v="1"/>
    <x v="0"/>
    <x v="0"/>
    <m/>
    <m/>
    <s v="USA - Environmental Consulting OH - G&amp;A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WesleyBear@montrose-env.com"/>
    <s v="montrose-env.com"/>
    <s v="WesleyBear@montrose-env.com"/>
    <s v="Wesley"/>
    <s v="Bear"/>
    <s v="US"/>
    <s v="4C4B219A68DD55A20A495FAE@038d2aa263c9deeb495fea.e"/>
    <x v="0"/>
    <x v="0"/>
    <x v="0"/>
    <m/>
    <m/>
    <s v="USA - Stack - Gulf Coast - Operations"/>
    <m/>
    <m/>
    <m/>
    <m/>
    <m/>
    <m/>
    <m/>
    <x v="0"/>
    <x v="0"/>
    <n v="0"/>
    <n v="0"/>
    <n v="0"/>
    <n v="0"/>
    <m/>
  </r>
  <r>
    <s v="Federated ID"/>
    <s v="jhlee@montrose-env.com"/>
    <s v="montrose-env.com"/>
    <s v="jhlee@montrose-env.com"/>
    <s v="Jacqueline"/>
    <s v="Lee"/>
    <s v="US"/>
    <s v="457C219F68DD591E0A495FC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YerbolMyrzagulov@ect2.com"/>
    <s v="ect2.com"/>
    <s v="YerbolMyrzagulov@ect2.com"/>
    <s v="Yerbol"/>
    <s v="Myrzagulov"/>
    <s v="US"/>
    <s v="4950220C68DD63290A495C65@038d2aa263c9deeb495fea.e"/>
    <x v="1"/>
    <x v="0"/>
    <x v="0"/>
    <m/>
    <m/>
    <s v="USA - ECT2 - Operations"/>
    <m/>
    <m/>
    <m/>
    <m/>
    <s v="Acrobat Pro (VIPMP - 99C0A3088A102BD9CB4A)"/>
    <m/>
    <m/>
    <x v="10"/>
    <x v="10"/>
    <n v="14.333333333333334"/>
    <n v="0"/>
    <n v="0"/>
    <n v="14.333333333333334"/>
    <n v="1"/>
  </r>
  <r>
    <s v="Federated ID"/>
    <s v="robertosborn@montrose-env.com"/>
    <s v="montrose-env.com"/>
    <s v="robertosborn@montrose-env.com"/>
    <s v="Robert"/>
    <s v="Osborn"/>
    <s v="US"/>
    <s v="7AD4219A68DE988A0A495FAE@038d2aa263c9deeb495fea.e"/>
    <x v="1"/>
    <x v="0"/>
    <x v="0"/>
    <m/>
    <m/>
    <s v="USA - Advisory Services - Spirit - Operations"/>
    <m/>
    <m/>
    <m/>
    <m/>
    <s v="Acrobat Pro (VIPMP - 99C0A3088A102BD9CB4A)"/>
    <m/>
    <m/>
    <x v="130"/>
    <x v="130"/>
    <n v="14.333333333333334"/>
    <n v="0"/>
    <n v="0"/>
    <n v="14.333333333333334"/>
    <n v="1"/>
  </r>
  <r>
    <s v="Federated ID"/>
    <s v="jboulware@montrose-env.com"/>
    <s v="montrose-env.com"/>
    <s v="jboulware@montrose-env.com"/>
    <s v="Judith"/>
    <s v="Boulware"/>
    <s v="US"/>
    <s v="06E122FB68DFCB470A495C47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KaitlynOBoyle@montrose-env.com"/>
    <s v="montrose-env.com"/>
    <s v="KaitlynOBoyle@montrose-env.com"/>
    <s v="Kaitlyn"/>
    <s v="OBoyle"/>
    <s v="US"/>
    <s v="0C8A232868DFE8F70A495FD7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araHempe@montrose-env.com"/>
    <s v="montrose-env.com"/>
    <s v="SaraHempe@montrose-env.com"/>
    <s v="Sara"/>
    <s v="Hempe"/>
    <s v="US"/>
    <s v="0E1F230968DFEE030A495C24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GraceFroehlich@montrose-env.com"/>
    <s v="montrose-env.com"/>
    <s v="GraceFroehlich@montrose-env.com"/>
    <s v="Grace"/>
    <s v="Froehlich"/>
    <s v="US"/>
    <s v="0C40232868DFEF7C0A495E52@038d2aa263c9deeb495fea.e"/>
    <x v="1"/>
    <x v="0"/>
    <x v="0"/>
    <m/>
    <m/>
    <s v="USA - Advisory Services - Chemistry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MarissaBruno@montrose-env.com"/>
    <s v="montrose-env.com"/>
    <s v="MarissaBruno@montrose-env.com"/>
    <s v="Marissa"/>
    <s v="Bruno"/>
    <s v="US"/>
    <s v="0CFE230968DFEFEC0A495C37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adater@montrose-env.com"/>
    <s v="montrose-env.com"/>
    <s v="sadater@montrose-env.com"/>
    <s v="Scott"/>
    <s v="Dater"/>
    <s v="US"/>
    <s v="485C232A68E31C8D0A495FA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RayyanJohnson@montrose-env.com"/>
    <s v="montrose-env.com"/>
    <s v="RayyanJohnson@montrose-env.com"/>
    <s v="Rayyan"/>
    <s v="Johnson"/>
    <s v="US"/>
    <s v="6AA5231868E4407D0A495CB9@038d2aa263c9deeb495fea.e"/>
    <x v="1"/>
    <x v="0"/>
    <x v="0"/>
    <m/>
    <m/>
    <s v="USA - MES - COE"/>
    <m/>
    <m/>
    <m/>
    <m/>
    <s v="Acrobat Pro (VIPMP - 99C0A3088A102BD9CB4A)"/>
    <m/>
    <m/>
    <x v="113"/>
    <x v="113"/>
    <n v="14.333333333333334"/>
    <n v="0"/>
    <n v="0"/>
    <n v="14.333333333333334"/>
    <n v="1"/>
  </r>
  <r>
    <s v="Federated ID"/>
    <s v="zaraves@montrose-env.com"/>
    <s v="montrose-env.com"/>
    <s v="zaraves@montrose-env.com"/>
    <s v="Zachary"/>
    <s v="Raves"/>
    <s v="US"/>
    <s v="7C03232468E4EC9E0A495FEE@038d2aa263c9deeb495fea.e"/>
    <x v="1"/>
    <x v="0"/>
    <x v="0"/>
    <m/>
    <m/>
    <s v="USA - Environmental Consulting - Tampa - Operations"/>
    <m/>
    <m/>
    <m/>
    <m/>
    <s v="Acrobat Pro (VIPMP - 99C0A3088A102BD9CB4A)"/>
    <m/>
    <m/>
    <x v="6"/>
    <x v="6"/>
    <n v="14.333333333333334"/>
    <n v="0"/>
    <n v="0"/>
    <n v="14.333333333333334"/>
    <n v="1"/>
  </r>
  <r>
    <s v="Federated ID"/>
    <s v="BrittanyGamboa@montrose-env.com"/>
    <s v="montrose-env.com"/>
    <s v="BrittanyGamboa@montrose-env.com"/>
    <s v="Brittany"/>
    <s v="Gamboa"/>
    <s v="US"/>
    <s v="884A230368E531AB0A495C1B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garyscoggin@montrose-env.com"/>
    <s v="montrose-env.com"/>
    <s v="garyscoggin@montrose-env.com"/>
    <s v="Gary"/>
    <s v="Scoggin"/>
    <s v="US"/>
    <s v="8D0522F868E5528F0A495E0D@038d2aa263c9deeb495fea.e"/>
    <x v="2"/>
    <x v="0"/>
    <x v="0"/>
    <m/>
    <m/>
    <s v="USA - Environmental Consulting - Charlottesville - Operations"/>
    <m/>
    <m/>
    <m/>
    <m/>
    <s v="Acrobat Standard DC (VIPMP - 99C0A3088A102BD9CB4A)"/>
    <m/>
    <m/>
    <x v="81"/>
    <x v="81"/>
    <n v="8.6983333333333324"/>
    <n v="0"/>
    <n v="0"/>
    <n v="8.6983333333333324"/>
    <n v="1"/>
  </r>
  <r>
    <s v="Federated ID"/>
    <s v="CullenFlanders@montrose-env.com"/>
    <s v="montrose-env.com"/>
    <s v="CullenFlanders@montrose-env.com"/>
    <s v="Cullen"/>
    <s v="Flanders"/>
    <s v="US"/>
    <s v="AB3122FF68E669220A495E66@038d2aa263c9deeb495fea.e"/>
    <x v="1"/>
    <x v="0"/>
    <x v="0"/>
    <m/>
    <m/>
    <s v="USA - Corp - Sales"/>
    <m/>
    <m/>
    <m/>
    <m/>
    <s v="Acrobat Pro (VIPMP - 99C0A3088A102BD9CB4A)"/>
    <m/>
    <m/>
    <x v="14"/>
    <x v="14"/>
    <n v="14.333333333333334"/>
    <n v="0"/>
    <n v="0"/>
    <n v="14.333333333333334"/>
    <n v="1"/>
  </r>
  <r>
    <s v="Federated ID"/>
    <s v="ShrayaChangela@enthalpy.com"/>
    <s v="enthalpy.com"/>
    <s v="ShrayaChangela@enthalpy.com"/>
    <s v="Shraya"/>
    <s v="Changela"/>
    <s v="US"/>
    <s v="B5CD22FC68E6B6AB0A495C4E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  <r>
    <s v="Federated ID"/>
    <s v="TrexlerProffitt@montrose-env.com"/>
    <s v="montrose-env.com"/>
    <s v="TrexlerProffitt@montrose-env.com"/>
    <s v="Trexler"/>
    <s v="Proffitt"/>
    <s v="US"/>
    <s v="D01B231868E7C67A0A495CB9@038d2aa263c9deeb495fea.e"/>
    <x v="2"/>
    <x v="0"/>
    <x v="0"/>
    <m/>
    <m/>
    <m/>
    <m/>
    <m/>
    <m/>
    <m/>
    <s v="Acrobat Standard DC (VIPMP - 99C0A3088A102BD9CB4A)"/>
    <m/>
    <m/>
    <x v="113"/>
    <x v="113"/>
    <n v="8.6983333333333324"/>
    <n v="0"/>
    <n v="0"/>
    <n v="8.6983333333333324"/>
    <n v="1"/>
  </r>
  <r>
    <s v="Federated ID"/>
    <s v="JackCiulla@montrose-env.com"/>
    <s v="montrose-env.com"/>
    <s v="JackCiulla@montrose-env.com"/>
    <s v="Jack"/>
    <s v="Ciulla"/>
    <s v="US"/>
    <s v="D93A232E68E7E64F0A495FF8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FarrellBell@montrose-env.com"/>
    <s v="montrose-env.com"/>
    <s v="FarrellBell@montrose-env.com"/>
    <s v="Farrell"/>
    <s v="Bell"/>
    <s v="US"/>
    <s v="1F8022F868EE65110A495C38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elindaKoziol@montrose-env.com"/>
    <s v="montrose-env.com"/>
    <s v="MelindaKoziol@montrose-env.com"/>
    <s v="Melinda"/>
    <s v="Koziol"/>
    <s v="US"/>
    <s v="284C22D168EE99130A495FBF@038d2aa263c9deeb495fea.e"/>
    <x v="1"/>
    <x v="0"/>
    <x v="0"/>
    <m/>
    <m/>
    <s v="USA - Advisory Services - Chemistry  - Operations"/>
    <m/>
    <m/>
    <m/>
    <m/>
    <s v="Acrobat Pro (VIPMP - 99C0A3088A102BD9CB4A)"/>
    <m/>
    <m/>
    <x v="22"/>
    <x v="22"/>
    <n v="14.333333333333334"/>
    <n v="0"/>
    <n v="0"/>
    <n v="14.333333333333334"/>
    <n v="1"/>
  </r>
  <r>
    <s v="Federated ID"/>
    <s v="IzzieTurner@montrose-env.com"/>
    <s v="montrose-env.com"/>
    <s v="IzzieTurner@montrose-env.com"/>
    <s v="Izzie"/>
    <s v="Turner"/>
    <s v="US"/>
    <s v="2A7E22EF68EE9D550A495E6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nasullivan@montrose-env.com"/>
    <s v="montrose-env.com"/>
    <s v="nasullivan@montrose-env.com"/>
    <s v="Nancy"/>
    <s v="Sullivan"/>
    <s v="US"/>
    <s v="2A8B22C768EE9F920A495FC1@038d2aa263c9deeb495fea.e"/>
    <x v="1"/>
    <x v="0"/>
    <x v="0"/>
    <m/>
    <m/>
    <s v="USA - Environmental Consulting - Nashville - Operations"/>
    <m/>
    <m/>
    <m/>
    <m/>
    <s v="Acrobat Pro (VIPMP - 99C0A3088A102BD9CB4A)"/>
    <m/>
    <m/>
    <x v="117"/>
    <x v="117"/>
    <n v="14.333333333333334"/>
    <n v="0"/>
    <n v="0"/>
    <n v="14.333333333333334"/>
    <n v="1"/>
  </r>
  <r>
    <s v="Federated ID"/>
    <s v="PhilipCisco@montrose-env.com"/>
    <s v="montrose-env.com"/>
    <s v="PhilipCisco@montrose-env.com"/>
    <s v="Philip"/>
    <s v="Cisco"/>
    <s v="US"/>
    <s v="549922DE68EFF5690A495C06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cvalligny@montrose-env.com"/>
    <s v="montrose-env.com"/>
    <s v="cvalligny@montrose-env.com"/>
    <s v="Chris"/>
    <s v="Valligny"/>
    <s v="US"/>
    <s v="0EC322CE68F126430A495C1D@038d2aa263c9deeb495fea.e"/>
    <x v="1"/>
    <x v="0"/>
    <x v="0"/>
    <m/>
    <m/>
    <m/>
    <m/>
    <m/>
    <m/>
    <m/>
    <s v="Acrobat Pro (VIPMP - 99C0A3088A102BD9CB4A)"/>
    <m/>
    <m/>
    <x v="40"/>
    <x v="40"/>
    <n v="14.333333333333334"/>
    <n v="0"/>
    <n v="0"/>
    <n v="14.333333333333334"/>
    <n v="1"/>
  </r>
  <r>
    <s v="Federated ID"/>
    <s v="jagruzalski@montrose-env.com"/>
    <s v="montrose-env.com"/>
    <s v="jagruzalski@montrose-env.com"/>
    <s v="Jacob"/>
    <s v="Gruzalski"/>
    <s v="US"/>
    <s v="324922FE68F25AE80A495E7A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IsabellaMitchell@montrose-env.com"/>
    <s v="montrose-env.com"/>
    <s v="IsabellaMitchell@montrose-env.com"/>
    <s v="Isabella"/>
    <s v="Mitchell"/>
    <s v="US"/>
    <s v="9C0522CC68F67BE80A495C21@038d2aa263c9deeb495fea.e"/>
    <x v="1"/>
    <x v="0"/>
    <x v="0"/>
    <m/>
    <m/>
    <s v="USA-CO-Loveland-North Denver Avenue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LaurynYevincy@montrose-env.com"/>
    <s v="montrose-env.com"/>
    <s v="LaurynYevincy@montrose-env.com"/>
    <s v="Lauryn"/>
    <s v="Yevincy"/>
    <s v="US"/>
    <s v="A5D222F168F69D2B0A495EF7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BenHaith@montrose-env.com"/>
    <s v="montrose-env.com"/>
    <s v="BenHaith@montrose-env.com"/>
    <s v="Ben"/>
    <s v="Haith"/>
    <s v="US"/>
    <s v="CC6F231C68F7ACC10A495CCF@038d2aa263c9deeb495fea.e"/>
    <x v="1"/>
    <x v="0"/>
    <x v="0"/>
    <m/>
    <m/>
    <s v="USA - Environmental Consulting - Valley Forge - Operations"/>
    <m/>
    <m/>
    <m/>
    <m/>
    <s v="Acrobat Pro (VIPMP - 99C0A3088A102BD9CB4A)"/>
    <m/>
    <m/>
    <x v="2"/>
    <x v="2"/>
    <n v="14.333333333333334"/>
    <n v="0"/>
    <n v="0"/>
    <n v="14.333333333333334"/>
    <n v="1"/>
  </r>
  <r>
    <s v="Federated ID"/>
    <s v="ShadManning@montrose-env.com"/>
    <s v="montrose-env.com"/>
    <s v="ShadManning@montrose-env.com"/>
    <s v="Shad"/>
    <s v="Manning"/>
    <s v="US"/>
    <s v="CFC222FE68F7DBCD0A495E91@038d2aa263c9deeb495fea.e"/>
    <x v="2"/>
    <x v="0"/>
    <x v="0"/>
    <m/>
    <m/>
    <s v="USA - Environmental Consulting - Robbinsville - Operations"/>
    <m/>
    <m/>
    <m/>
    <m/>
    <s v="Acrobat Standard DC (VIPMP - 99C0A3088A102BD9CB4A)"/>
    <m/>
    <m/>
    <x v="40"/>
    <x v="40"/>
    <n v="8.6983333333333324"/>
    <n v="0"/>
    <n v="0"/>
    <n v="8.6983333333333324"/>
    <n v="1"/>
  </r>
  <r>
    <s v="Federated ID"/>
    <s v="KailMarler@enthalpy.com"/>
    <s v="enthalpy.com"/>
    <s v="KailMarler@enthalpy.com"/>
    <s v="Kail"/>
    <s v="Marler"/>
    <s v="US"/>
    <s v="D50322C268F7FD300A495C5F@038d2aa263c9deeb495fea.e"/>
    <x v="2"/>
    <x v="0"/>
    <x v="0"/>
    <m/>
    <m/>
    <s v="USA - Env Lab - Orange - Operations"/>
    <m/>
    <m/>
    <m/>
    <m/>
    <s v="Acrobat Standard DC (VIPMP - 99C0A3088A102BD9CB4A)"/>
    <m/>
    <m/>
    <x v="26"/>
    <x v="26"/>
    <n v="8.6983333333333324"/>
    <n v="0"/>
    <n v="0"/>
    <n v="8.6983333333333324"/>
    <n v="1"/>
  </r>
  <r>
    <s v="Federated ID"/>
    <s v="LilliStanley@enthalpy.com"/>
    <s v="enthalpy.com"/>
    <s v="LilliStanley@enthalpy.com"/>
    <s v="Lilli"/>
    <s v="Stanley"/>
    <s v="US"/>
    <s v="EF8B22CE68F8C7630A495C4A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goldfine@montrose-env.com"/>
    <s v="montrose-env.com"/>
    <s v="jgoldfine@montrose-env.com"/>
    <s v="Jeff"/>
    <s v="Goldfine"/>
    <s v="US"/>
    <s v="01D822CA68F91E690A495CB0@038d2aa263c9deeb495fea.e"/>
    <x v="2"/>
    <x v="0"/>
    <x v="0"/>
    <m/>
    <m/>
    <s v="USA - Stack - Great Plains - Operations"/>
    <m/>
    <m/>
    <m/>
    <m/>
    <s v="Acrobat Standard DC (VIPMP - 99C0A3088A102BD9CB4A)"/>
    <m/>
    <m/>
    <x v="79"/>
    <x v="79"/>
    <n v="8.6983333333333324"/>
    <n v="0"/>
    <n v="0"/>
    <n v="8.6983333333333324"/>
    <n v="1"/>
  </r>
  <r>
    <s v="Federated ID"/>
    <s v="travis.greene@enthalpy.com"/>
    <s v="enthalpy.com"/>
    <s v="travis.greene@enthalpy.com"/>
    <s v="Travis"/>
    <s v="Greene"/>
    <s v="US"/>
    <s v="131422CA68F95C250A495E22@038d2aa263c9deeb495fea.e"/>
    <x v="2"/>
    <x v="0"/>
    <x v="0"/>
    <m/>
    <m/>
    <s v="USA - Env Lab - Richmond - Operations"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Federated ID"/>
    <s v="Mksmith@montrose-env.com"/>
    <s v="montrose-env.com"/>
    <s v="Mksmith@montrose-env.com"/>
    <s v="Mk"/>
    <s v="Smith"/>
    <s v="US"/>
    <s v="0BC922EE68F95C260A495EB6@038d2aa263c9deeb495fea.e"/>
    <x v="2"/>
    <x v="0"/>
    <x v="0"/>
    <m/>
    <m/>
    <s v="USA - Env Lab - Richmond - Operations"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Federated ID"/>
    <s v="DanielBurke@enthalpy.com"/>
    <s v="enthalpy.com"/>
    <s v="DanielBurke@enthalpy.com"/>
    <s v="Daniel Burke"/>
    <m/>
    <s v="US"/>
    <s v="0D3E229968F95C270A495F9A@038d2aa263c9deeb495fea.e"/>
    <x v="2"/>
    <x v="0"/>
    <x v="0"/>
    <m/>
    <m/>
    <s v="USA - Env Lab - Richmond - Operations"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Federated ID"/>
    <s v="alyssalawrence@enthalpy.com"/>
    <s v="enthalpy.com"/>
    <s v="alyssalawrence@enthalpy.com"/>
    <s v="Alyssa"/>
    <s v="Lawrence"/>
    <s v="US"/>
    <s v="0CC922CD68F95C270A495C04@038d2aa263c9deeb495fea.e"/>
    <x v="2"/>
    <x v="0"/>
    <x v="0"/>
    <m/>
    <m/>
    <s v="USA - Env Lab - Richmond - Operations"/>
    <m/>
    <m/>
    <m/>
    <m/>
    <s v="Acrobat Standard DC (VIPMP - 99C0A3088A102BD9CB4A)"/>
    <m/>
    <m/>
    <x v="128"/>
    <x v="128"/>
    <n v="8.6983333333333324"/>
    <n v="0"/>
    <n v="0"/>
    <n v="8.6983333333333324"/>
    <n v="1"/>
  </r>
  <r>
    <s v="Federated ID"/>
    <s v="AbbyMoss@montrose-env.com"/>
    <s v="montrose-env.com"/>
    <s v="AbbyMoss@montrose-env.com"/>
    <s v="Abby"/>
    <s v="Moss"/>
    <s v="US"/>
    <s v="21B122C468FA01260A495C74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aryHill@montrose-env.com"/>
    <s v="montrose-env.com"/>
    <s v="MaryHill@montrose-env.com"/>
    <s v="Mary"/>
    <s v="Hill"/>
    <s v="US"/>
    <s v="1FE922BA68FA01270A495EEB@038d2aa263c9deeb495fea.e"/>
    <x v="1"/>
    <x v="0"/>
    <x v="0"/>
    <m/>
    <m/>
    <s v="USA - CTEH OH - G&amp;A"/>
    <m/>
    <m/>
    <m/>
    <m/>
    <s v="Acrobat Pro (VIPMP - 99C0A3088A102BD9CB4A)"/>
    <m/>
    <m/>
    <x v="66"/>
    <x v="66"/>
    <n v="14.333333333333334"/>
    <n v="0"/>
    <n v="0"/>
    <n v="14.333333333333334"/>
    <n v="1"/>
  </r>
  <r>
    <s v="Federated ID"/>
    <s v="KaiCastle@montrose-env.com"/>
    <s v="montrose-env.com"/>
    <s v="KaiCastle@montrose-env.com"/>
    <s v="Kai"/>
    <s v="Castle"/>
    <s v="US"/>
    <s v="1EC622CD68FA01270A495C04@038d2aa263c9deeb495fea.e"/>
    <x v="1"/>
    <x v="0"/>
    <x v="0"/>
    <m/>
    <m/>
    <s v="USA - Environmental Consulting - Central - Operations"/>
    <m/>
    <m/>
    <m/>
    <m/>
    <s v="Acrobat Pro (VIPMP - 99C0A3088A102BD9CB4A)"/>
    <m/>
    <m/>
    <x v="4"/>
    <x v="4"/>
    <n v="14.333333333333334"/>
    <n v="0"/>
    <n v="0"/>
    <n v="14.333333333333334"/>
    <n v="1"/>
  </r>
  <r>
    <s v="Federated ID"/>
    <s v="ChayVanDyke@montrose-env.com"/>
    <s v="montrose-env.com"/>
    <s v="ChayVanDyke@montrose-env.com"/>
    <s v="Chay"/>
    <s v="VanDyke"/>
    <s v="US"/>
    <s v="20CD22C468FA02B70A495FD9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arilynnRobinson@montrose-env.com"/>
    <s v="montrose-env.com"/>
    <s v="MarilynnRobinson@montrose-env.com"/>
    <s v="Marilynn"/>
    <s v="Robinson"/>
    <s v="US"/>
    <s v="582922CB68FBA5ED0A495CEC@038d2aa263c9deeb495fea.e"/>
    <x v="0"/>
    <x v="0"/>
    <x v="0"/>
    <m/>
    <m/>
    <s v="USA - MES - Segment"/>
    <m/>
    <m/>
    <m/>
    <s v="Acrobat Pro (VIPMP - 99C0A3088A102BD9CB4A)"/>
    <m/>
    <m/>
    <m/>
    <x v="0"/>
    <x v="0"/>
    <n v="0"/>
    <n v="0"/>
    <n v="0"/>
    <n v="0"/>
    <m/>
  </r>
  <r>
    <s v="Federated ID"/>
    <s v="RossHipple@montrose-env.com"/>
    <s v="montrose-env.com"/>
    <s v="RossHipple@montrose-env.com"/>
    <s v="Ross"/>
    <s v="Hipple"/>
    <s v="US"/>
    <s v="C5E322CF68FF90C20A495E7E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JoshMoralez@montrose-env.com"/>
    <s v="montrose-env.com"/>
    <s v="JoshMoralez@montrose-env.com"/>
    <s v="Josh"/>
    <s v="Moralez"/>
    <s v="US"/>
    <s v="C06222E168FFA9A30A495FD7@038d2aa263c9deeb495fea.e"/>
    <x v="2"/>
    <x v="0"/>
    <x v="0"/>
    <m/>
    <m/>
    <s v="USA - Sensible EDP - Albuquerque - Operations"/>
    <m/>
    <m/>
    <m/>
    <m/>
    <s v="Acrobat Standard DC (VIPMP - 99C0A3088A102BD9CB4A)"/>
    <m/>
    <m/>
    <x v="86"/>
    <x v="86"/>
    <n v="8.6983333333333324"/>
    <n v="0"/>
    <n v="0"/>
    <n v="8.6983333333333324"/>
    <n v="1"/>
  </r>
  <r>
    <s v="Federated ID"/>
    <s v="chrobare@ect2.com"/>
    <s v="ect2.com"/>
    <s v="chrobare@ect2.com"/>
    <s v="Christopher"/>
    <s v="Robare"/>
    <s v="US"/>
    <s v="F11A22BA6900BFB40A495EEB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ngelaLewis@enthalpy.com"/>
    <s v="enthalpy.com"/>
    <s v="AngelaLewis@enthalpy.com"/>
    <s v="Angela"/>
    <s v="Lewis"/>
    <s v="US"/>
    <s v="319222F1690243700A495EF7@038d2aa263c9deeb495fea.e"/>
    <x v="1"/>
    <x v="0"/>
    <x v="0"/>
    <m/>
    <m/>
    <s v="USA - Env Lab - Wilmington - Operations"/>
    <m/>
    <m/>
    <m/>
    <m/>
    <s v="Acrobat Pro (VIPMP - 99C0A3088A102BD9CB4A)"/>
    <m/>
    <m/>
    <x v="75"/>
    <x v="75"/>
    <n v="14.333333333333334"/>
    <n v="0"/>
    <n v="0"/>
    <n v="14.333333333333334"/>
    <n v="1"/>
  </r>
  <r>
    <s v="Federated ID"/>
    <s v="amydietrich@montrose-env.com"/>
    <s v="montrose-env.com"/>
    <s v="amydietrich@montrose-env.com"/>
    <s v="Amy"/>
    <s v="Dietrich"/>
    <s v="US"/>
    <s v="3C1222D36902ACFF0A495C75@038d2aa263c9deeb495fea.e"/>
    <x v="1"/>
    <x v="0"/>
    <x v="0"/>
    <m/>
    <m/>
    <s v="USA - Corp - Finance"/>
    <m/>
    <m/>
    <m/>
    <m/>
    <s v="Acrobat Pro (VIPMP - 99C0A3088A102BD9CB4A)"/>
    <m/>
    <m/>
    <x v="54"/>
    <x v="54"/>
    <n v="14.333333333333334"/>
    <n v="0"/>
    <n v="0"/>
    <n v="14.333333333333334"/>
    <n v="1"/>
  </r>
  <r>
    <s v="Federated ID"/>
    <s v="SarahSimonson@montrose-env.com"/>
    <s v="montrose-env.com"/>
    <s v="SarahSimonson@montrose-env.com"/>
    <s v="Sarah"/>
    <s v="Simonson"/>
    <s v="US"/>
    <s v="649922EC6903A1CF0A495CE3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oanaSaenzQuiroz@montrose-env.com"/>
    <s v="montrose-env.com"/>
    <s v="JoanaSaenzQuiroz@montrose-env.com"/>
    <s v="Joana"/>
    <s v="Saenz Quiroz"/>
    <s v="US"/>
    <s v="6AE622E76903CC200A495F94@038d2aa263c9deeb495fea.e"/>
    <x v="2"/>
    <x v="0"/>
    <x v="0"/>
    <m/>
    <m/>
    <s v="USA-CO-Loveland-North Denver Avenue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BarrettHouchen@montrose-env.com"/>
    <s v="montrose-env.com"/>
    <s v="BarrettHouchen@montrose-env.com"/>
    <s v="Barrett"/>
    <s v="Houchen"/>
    <s v="US"/>
    <s v="935522CC6905328C0A495CE4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ColeJimerson@montrose-env.com"/>
    <s v="montrose-env.com"/>
    <s v="ColeJimerson@montrose-env.com"/>
    <s v="Cole"/>
    <s v="Jimerson"/>
    <s v="US"/>
    <s v="96F1231C6905328D0A495CCF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josiahreamy@montrose-env.com"/>
    <s v="montrose-env.com"/>
    <s v="josiahreamy@montrose-env.com"/>
    <s v="Josiah"/>
    <s v="Reamy"/>
    <s v="US"/>
    <s v="915222CB6905330F0A495CEC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JuliaMatney@montrose-env.com"/>
    <s v="montrose-env.com"/>
    <s v="JuliaMatney@montrose-env.com"/>
    <s v="Julia"/>
    <s v="Matney"/>
    <s v="US"/>
    <s v="8BD622B9690533100A495F8C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AllysenValencia@montrose-env.com"/>
    <s v="montrose-env.com"/>
    <s v="AllysenValencia@montrose-env.com"/>
    <s v="Allysen"/>
    <s v="Valencia"/>
    <s v="US"/>
    <s v="FDC022CC69090FB50A495E19@038d2aa263c9deeb495fea.e"/>
    <x v="1"/>
    <x v="0"/>
    <x v="0"/>
    <m/>
    <m/>
    <s v="USA - Environmental Consulting - Environmental Intelligence - Operations"/>
    <m/>
    <m/>
    <m/>
    <m/>
    <s v="Acrobat Pro (VIPMP - 99C0A3088A102BD9CB4A)"/>
    <m/>
    <m/>
    <x v="3"/>
    <x v="3"/>
    <n v="14.333333333333334"/>
    <n v="0"/>
    <n v="0"/>
    <n v="14.333333333333334"/>
    <n v="1"/>
  </r>
  <r>
    <s v="Federated ID"/>
    <s v="JakeWilloughby@montrose-env.com"/>
    <s v="montrose-env.com"/>
    <s v="JakeWilloughby@montrose-env.com"/>
    <s v="Jake"/>
    <s v="Willoughby"/>
    <s v="US"/>
    <s v="FE5822D3690913B30A495FCA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ryanahlberg@montrose-env.com"/>
    <s v="montrose-env.com"/>
    <s v="ryanahlberg@montrose-env.com"/>
    <s v="Ryan"/>
    <s v="Ahlberg"/>
    <s v="US"/>
    <s v="FD6122E3690917110A495FDD@038d2aa263c9deeb495fea.e"/>
    <x v="1"/>
    <x v="0"/>
    <x v="0"/>
    <m/>
    <m/>
    <s v="USA - Environmental Consulting - Atlanta - Operations"/>
    <m/>
    <m/>
    <m/>
    <m/>
    <s v="Acrobat Pro (VIPMP - 99C0A3088A102BD9CB4A)"/>
    <m/>
    <m/>
    <x v="78"/>
    <x v="78"/>
    <n v="14.333333333333334"/>
    <n v="0"/>
    <n v="0"/>
    <n v="14.333333333333334"/>
    <n v="1"/>
  </r>
  <r>
    <s v="Federated ID"/>
    <s v="TroyGill@montrose-env.com"/>
    <s v="montrose-env.com"/>
    <s v="TroyGill@montrose-env.com"/>
    <s v="Troy"/>
    <s v="Gill"/>
    <s v="US"/>
    <s v="688722BA690BB4160A495EEB@038d2aa263c9deeb495fea.e"/>
    <x v="1"/>
    <x v="0"/>
    <x v="0"/>
    <m/>
    <m/>
    <s v="USA - Environmental Consulting - Santa Ana (Rem) - Operations"/>
    <m/>
    <m/>
    <m/>
    <m/>
    <s v="Acrobat Pro (VIPMP - 99C0A3088A102BD9CB4A)"/>
    <m/>
    <m/>
    <x v="1"/>
    <x v="1"/>
    <n v="14.333333333333334"/>
    <n v="0"/>
    <n v="0"/>
    <n v="14.333333333333334"/>
    <n v="1"/>
  </r>
  <r>
    <s v="Federated ID"/>
    <s v="kellyhogue@enthalpy.com"/>
    <s v="enthalpy.com"/>
    <s v="kellyhogue@enthalpy.com"/>
    <s v="Kelly"/>
    <s v="Hogue"/>
    <s v="US"/>
    <s v="497B22E7690E4CE60A495C4B@038d2aa263c9deeb495fea.e"/>
    <x v="2"/>
    <x v="0"/>
    <x v="0"/>
    <m/>
    <m/>
    <s v="USA - Labs - OH - G&amp;A"/>
    <m/>
    <m/>
    <m/>
    <m/>
    <s v="Acrobat Standard DC (VIPMP - 99C0A3088A102BD9CB4A)"/>
    <m/>
    <m/>
    <x v="43"/>
    <x v="43"/>
    <n v="8.6983333333333324"/>
    <n v="0"/>
    <n v="0"/>
    <n v="8.6983333333333324"/>
    <n v="1"/>
  </r>
  <r>
    <s v="Federated ID"/>
    <s v="TariqSpring@enthalpy.com"/>
    <s v="enthalpy.com"/>
    <s v="TariqSpring@enthalpy.com"/>
    <s v="Tariq"/>
    <s v="Spring"/>
    <s v="US"/>
    <s v="5109231C690E849C0A495FBE@038d2aa263c9deeb495fea.e"/>
    <x v="0"/>
    <x v="0"/>
    <x v="0"/>
    <m/>
    <m/>
    <s v="USA - Env Lab - Denver - Operations"/>
    <m/>
    <m/>
    <m/>
    <m/>
    <m/>
    <m/>
    <m/>
    <x v="0"/>
    <x v="0"/>
    <n v="0"/>
    <n v="0"/>
    <n v="0"/>
    <n v="0"/>
    <m/>
  </r>
  <r>
    <s v="Federated ID"/>
    <s v="DavidRauscher@montrose-env.com"/>
    <s v="montrose-env.com"/>
    <s v="DavidRauscher@montrose-env.com"/>
    <s v="David"/>
    <s v="Rauscher"/>
    <s v="US"/>
    <s v="AB8222DD691206C60A495C3F@038d2aa263c9deeb495fea.e"/>
    <x v="1"/>
    <x v="0"/>
    <x v="0"/>
    <m/>
    <m/>
    <s v="USA - CTEH OH - G&amp;A"/>
    <m/>
    <m/>
    <m/>
    <m/>
    <s v="Acrobat Pro (VIPMP - 99C0A3088A102BD9CB4A)"/>
    <m/>
    <m/>
    <x v="66"/>
    <x v="66"/>
    <n v="14.333333333333334"/>
    <n v="0"/>
    <n v="0"/>
    <n v="14.333333333333334"/>
    <n v="1"/>
  </r>
  <r>
    <s v="Federated ID"/>
    <s v="tathomas@montrose-env.com"/>
    <s v="montrose-env.com"/>
    <s v="tathomas@montrose-env.com"/>
    <s v="Tammy"/>
    <s v="Thomas"/>
    <s v="US"/>
    <s v="101B22EC6914C01D0A495E23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cguesnon@montrose-env.com"/>
    <s v="montrose-env.com"/>
    <s v="cguesnon@montrose-env.com"/>
    <s v="Chris"/>
    <s v="Guesnon"/>
    <s v="US"/>
    <s v="164322F46914D61A0A495CB9@038d2aa263c9deeb495fea.e"/>
    <x v="2"/>
    <x v="0"/>
    <x v="0"/>
    <m/>
    <m/>
    <s v="USA - Environmental Consulting - Santa Ana (Rem) - Operations"/>
    <m/>
    <m/>
    <m/>
    <m/>
    <s v="Acrobat Standard DC (VIPMP - 99C0A3088A102BD9CB4A)"/>
    <m/>
    <m/>
    <x v="1"/>
    <x v="1"/>
    <n v="8.6983333333333324"/>
    <n v="0"/>
    <n v="0"/>
    <n v="8.6983333333333324"/>
    <n v="1"/>
  </r>
  <r>
    <s v="Federated ID"/>
    <s v="EricMirkovich@montrose-env.com"/>
    <s v="montrose-env.com"/>
    <s v="EricMirkovich@montrose-env.com"/>
    <s v="Eric"/>
    <s v="Mirkovich"/>
    <s v="US"/>
    <s v="3DF422E26915F1700A495F93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LucienAnderson@montrose-env.com"/>
    <s v="montrose-env.com"/>
    <s v="LucienAnderson@montrose-env.com"/>
    <s v="Lucien"/>
    <s v="Anderson"/>
    <s v="US"/>
    <s v="47A42307691649550A495E0D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MichelleLaureano@montrose-env.com"/>
    <s v="montrose-env.com"/>
    <s v="MichelleLaureano@montrose-env.com"/>
    <s v="Michelle"/>
    <s v="Laureano Garibaldi"/>
    <s v="US"/>
    <s v="47B5230C691649560A495E4A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TobyReed@montrose-env.com"/>
    <s v="montrose-env.com"/>
    <s v="TobyReed@montrose-env.com"/>
    <s v="Toby"/>
    <s v="Reed"/>
    <s v="US"/>
    <s v="47AD22F269164A4C0A495FA2@038d2aa263c9deeb495fea.e"/>
    <x v="1"/>
    <x v="0"/>
    <x v="0"/>
    <m/>
    <m/>
    <s v="USA - Env Lab - Orange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JacobAbdulla@montrose-env.com"/>
    <s v="montrose-env.com"/>
    <s v="JacobAbdulla@montrose-env.com"/>
    <s v="Jacob"/>
    <s v="Abdulla"/>
    <s v="US"/>
    <s v="4A7E22F469164A4C0A495F9C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PabloAgudelo@montrose-env.com"/>
    <s v="montrose-env.com"/>
    <s v="PabloAgudelo@montrose-env.com"/>
    <s v="Pablo"/>
    <s v="Agudelo"/>
    <s v="US"/>
    <s v="47FE22F369164A4D0A495FE8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jlhuffman@montrose-env.com"/>
    <s v="montrose-env.com"/>
    <s v="jlhuffman@montrose-env.com"/>
    <s v="Joseph"/>
    <s v="Huffman"/>
    <s v="US"/>
    <s v="44B422FA691650640A495C70@038d2aa263c9deeb495fea.e"/>
    <x v="2"/>
    <x v="0"/>
    <x v="0"/>
    <m/>
    <m/>
    <s v="USA - Environmental Consulting - Wilmington DE - Operations"/>
    <m/>
    <m/>
    <m/>
    <m/>
    <s v="Acrobat Standard DC (VIPMP - 99C0A3088A102BD9CB4A)"/>
    <m/>
    <m/>
    <x v="33"/>
    <x v="33"/>
    <n v="8.6983333333333324"/>
    <n v="0"/>
    <n v="0"/>
    <n v="8.6983333333333324"/>
    <n v="1"/>
  </r>
  <r>
    <s v="Federated ID"/>
    <s v="danidiaz@montrose-env.com"/>
    <s v="montrose-env.com"/>
    <s v="danidiaz@montrose-env.com"/>
    <s v="Dani"/>
    <s v="Diaz"/>
    <s v="US"/>
    <s v="513E22E2691658020A495F93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austinsnavely@enthalpy.com"/>
    <s v="enthalpy.com"/>
    <s v="austinsnavely@enthalpy.com"/>
    <s v="Austin"/>
    <s v="Snavely"/>
    <s v="US"/>
    <s v="863222BA6917C8D00A495C3C@038d2aa263c9deeb495fea.e"/>
    <x v="2"/>
    <x v="0"/>
    <x v="0"/>
    <m/>
    <m/>
    <s v="USA - Env Lab - Orange - Operations"/>
    <m/>
    <m/>
    <m/>
    <m/>
    <s v="Acrobat Standard DC (VIPMP - 99C0A3088A102BD9CB4A)"/>
    <m/>
    <m/>
    <x v="26"/>
    <x v="26"/>
    <n v="8.6983333333333324"/>
    <n v="0"/>
    <n v="0"/>
    <n v="8.6983333333333324"/>
    <n v="1"/>
  </r>
  <r>
    <s v="Federated ID"/>
    <s v="innagenroberts@montrose-env.com"/>
    <s v="montrose-env.com"/>
    <s v="innagenroberts@montrose-env.com"/>
    <s v="Innagen"/>
    <s v="Roberts"/>
    <s v="US"/>
    <s v="7CC122F36917CCB00A495FE8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arahley@montrose-env.com"/>
    <s v="montrose-env.com"/>
    <s v="sarahley@montrose-env.com"/>
    <s v="Sarah"/>
    <s v="Ley"/>
    <s v="US"/>
    <s v="F91B230A691C17DB0A495FDA@038d2aa263c9deeb495fea.e"/>
    <x v="1"/>
    <x v="0"/>
    <x v="0"/>
    <m/>
    <m/>
    <s v="USA - Advisory Services - Risk Management Solutions - Operations"/>
    <m/>
    <m/>
    <m/>
    <m/>
    <s v="Acrobat Pro (VIPMP - 99C0A3088A102BD9CB4A)"/>
    <m/>
    <m/>
    <x v="73"/>
    <x v="73"/>
    <n v="14.333333333333334"/>
    <n v="0"/>
    <n v="0"/>
    <n v="14.333333333333334"/>
    <n v="1"/>
  </r>
  <r>
    <s v="Federated ID"/>
    <s v="PaigeWolski@montrose-env.com"/>
    <s v="montrose-env.com"/>
    <s v="paigewolski@montrose-env.com"/>
    <s v="Paige"/>
    <s v="Wolski"/>
    <s v="US"/>
    <s v="07FB22F4691C93AB0A495F8A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erpeck@montrose-env.com"/>
    <s v="montrose-env.com"/>
    <s v="erpeck@montrose-env.com"/>
    <s v="Erin"/>
    <s v="Peck"/>
    <s v="US"/>
    <s v="17E322E5691CDB410A495CBC@038d2aa263c9deeb495fea.e"/>
    <x v="2"/>
    <x v="0"/>
    <x v="0"/>
    <m/>
    <m/>
    <s v="USA - Sensible EDP - Denver - Operations"/>
    <m/>
    <m/>
    <m/>
    <m/>
    <s v="Acrobat Standard DC (VIPMP - 99C0A3088A102BD9CB4A)"/>
    <m/>
    <m/>
    <x v="61"/>
    <x v="61"/>
    <n v="8.6983333333333324"/>
    <n v="0"/>
    <n v="0"/>
    <n v="8.6983333333333324"/>
    <n v="1"/>
  </r>
  <r>
    <s v="Federated ID"/>
    <s v="gagomez@montrose-env.com"/>
    <s v="montrose-env.com"/>
    <s v="gagomez@montrose-env.com"/>
    <s v="Gabriella"/>
    <s v="Gomez"/>
    <s v="US"/>
    <s v="18FF230C691CEC100A495E4A@038d2aa263c9deeb495fea.e"/>
    <x v="1"/>
    <x v="0"/>
    <x v="0"/>
    <m/>
    <m/>
    <s v="USA - Stack - Antioch - Operations"/>
    <m/>
    <m/>
    <m/>
    <m/>
    <s v="Acrobat Pro (VIPMP - 99C0A3088A102BD9CB4A)"/>
    <m/>
    <m/>
    <x v="19"/>
    <x v="19"/>
    <n v="14.333333333333334"/>
    <n v="0"/>
    <n v="0"/>
    <n v="14.333333333333334"/>
    <n v="1"/>
  </r>
  <r>
    <s v="Federated ID"/>
    <s v="meboyer@montrose-env.com"/>
    <s v="montrose-env.com"/>
    <s v="meredithboyer@montrose-env.com"/>
    <s v="Meredith"/>
    <s v="Boyer"/>
    <s v="US"/>
    <s v="4C09231A691E3CA10A495EDC@038d2aa263c9deeb495fea.e"/>
    <x v="0"/>
    <x v="0"/>
    <x v="0"/>
    <m/>
    <m/>
    <s v="USA - Advisory Services - Risk Management Solutions - Operations"/>
    <m/>
    <m/>
    <m/>
    <m/>
    <m/>
    <m/>
    <m/>
    <x v="0"/>
    <x v="0"/>
    <n v="0"/>
    <n v="0"/>
    <n v="0"/>
    <n v="0"/>
    <m/>
  </r>
  <r>
    <s v="Federated ID"/>
    <s v="FatimaElmouden@montrose-env.com"/>
    <s v="montrose-env.com"/>
    <s v="FatimaElmouden@montrose-env.com"/>
    <s v="Fatima"/>
    <s v="Elmouden"/>
    <s v="US"/>
    <s v="4E7122DD691E3E8E0A495FDC@038d2aa263c9deeb495fea.e"/>
    <x v="1"/>
    <x v="0"/>
    <x v="0"/>
    <m/>
    <m/>
    <s v="USA - Advisory Services - Spirit - Operations"/>
    <m/>
    <m/>
    <m/>
    <m/>
    <s v="Acrobat Pro (VIPMP - 99C0A3088A102BD9CB4A)"/>
    <m/>
    <m/>
    <x v="130"/>
    <x v="130"/>
    <n v="14.333333333333334"/>
    <n v="0"/>
    <n v="0"/>
    <n v="14.333333333333334"/>
    <n v="1"/>
  </r>
  <r>
    <s v="Federated ID"/>
    <s v="christhoeny@montrose-env.com"/>
    <s v="montrose-env.com"/>
    <s v="christhoeny@montrose-env.com"/>
    <s v="Chris"/>
    <s v="Thoeny"/>
    <s v="US"/>
    <s v="0B6921EB691F31620A495CC9@038d2aa263c9deeb495fea.e"/>
    <x v="1"/>
    <x v="0"/>
    <x v="0"/>
    <m/>
    <m/>
    <s v="USA - Environmental Consulting - Wilmington DE - Operations"/>
    <m/>
    <m/>
    <m/>
    <m/>
    <s v="Acrobat Pro (VIPMP - 99C0A3088A102BD9CB4A)"/>
    <m/>
    <m/>
    <x v="33"/>
    <x v="33"/>
    <n v="14.333333333333334"/>
    <n v="0"/>
    <n v="0"/>
    <n v="14.333333333333334"/>
    <n v="1"/>
  </r>
  <r>
    <s v="Federated ID"/>
    <s v="MichelleChapekis@montrose-env.com"/>
    <s v="montrose-env.com"/>
    <s v="MichelleChapekis@montrose-env.com"/>
    <s v="Michelle"/>
    <s v="Chapekis"/>
    <s v="US"/>
    <s v="442E21D66920A4100A495E54@038d2aa263c9deeb495fea.e"/>
    <x v="1"/>
    <x v="0"/>
    <x v="0"/>
    <m/>
    <m/>
    <s v="USA - Environmental Consulting OH - HR"/>
    <m/>
    <m/>
    <m/>
    <m/>
    <s v="Acrobat Pro (VIPMP - 99C0A3088A102BD9CB4A)"/>
    <m/>
    <m/>
    <x v="83"/>
    <x v="83"/>
    <n v="14.333333333333334"/>
    <n v="0"/>
    <n v="0"/>
    <n v="14.333333333333334"/>
    <n v="1"/>
  </r>
  <r>
    <s v="Federated ID"/>
    <s v="LeahMeyer@montrose-env.com"/>
    <s v="montrose-env.com"/>
    <s v="LeahMeyer@montrose-env.com"/>
    <s v="Leah"/>
    <s v="Meyer"/>
    <s v="US"/>
    <s v="B03B21EA6924B95E0A495CF8@038d2aa263c9deeb495fea.e"/>
    <x v="1"/>
    <x v="0"/>
    <x v="0"/>
    <m/>
    <m/>
    <s v="USA-CO-Loveland-North Denver Avenue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DhurbaRajPandey@enthalpy.com"/>
    <s v="enthalpy.com"/>
    <s v="DhurbaRajPandey@enthalpy.com"/>
    <s v="Dhurba Raj"/>
    <s v="Pandey"/>
    <s v="US"/>
    <s v="B36921E46924B9E80A495C05@038d2aa263c9deeb495fea.e"/>
    <x v="2"/>
    <x v="0"/>
    <x v="0"/>
    <m/>
    <m/>
    <s v="USA - Env Lab - Wilmington - Operations"/>
    <m/>
    <m/>
    <m/>
    <m/>
    <s v="Acrobat Standard DC (VIPMP - 99C0A3088A102BD9CB4A)"/>
    <m/>
    <m/>
    <x v="75"/>
    <x v="75"/>
    <n v="8.6983333333333324"/>
    <n v="0"/>
    <n v="0"/>
    <n v="8.6983333333333324"/>
    <n v="1"/>
  </r>
  <r>
    <s v="Federated ID"/>
    <s v="UrsulaBakken@montrose-env.com"/>
    <s v="montrose-env.com"/>
    <s v="UrsulaBakken@montrose-env.com"/>
    <s v="Ursula"/>
    <s v="Bakken"/>
    <s v="US"/>
    <s v="E1DD21FB6926304D0A495FF0@038d2aa263c9deeb495fea.e"/>
    <x v="6"/>
    <x v="0"/>
    <x v="0"/>
    <m/>
    <m/>
    <s v="USA - Corp - Marketing"/>
    <m/>
    <m/>
    <m/>
    <m/>
    <s v="All Apps - Edition 4 (VIPMP - 99C0A3088A102BD9CB4A)"/>
    <m/>
    <m/>
    <x v="0"/>
    <x v="0"/>
    <n v="0"/>
    <n v="0"/>
    <n v="0"/>
    <n v="0"/>
    <m/>
  </r>
  <r>
    <s v="Federated ID"/>
    <s v="BrianNordmann@montrose-env.com"/>
    <s v="montrose-env.com"/>
    <s v="BrianNordmann@montrose-env.com"/>
    <s v="Brian"/>
    <s v="Nordmann"/>
    <s v="US"/>
    <s v="E84247AD69265C5B0A495E32@038d2aa263c9deeb495fea.e"/>
    <x v="1"/>
    <x v="0"/>
    <x v="0"/>
    <m/>
    <m/>
    <s v="USA - Corp - Executive"/>
    <m/>
    <m/>
    <m/>
    <m/>
    <s v="Acrobat Pro (VIPMP - 99C0A3088A102BD9CB4A)"/>
    <m/>
    <m/>
    <x v="37"/>
    <x v="37"/>
    <n v="14.333333333333334"/>
    <n v="0"/>
    <n v="0"/>
    <n v="14.333333333333334"/>
    <n v="1"/>
  </r>
  <r>
    <s v="Federated ID"/>
    <s v="enalvarado@montrose-env.com"/>
    <s v="montrose-env.com"/>
    <s v="enalvarado@montrose-env.com"/>
    <s v="Enrique"/>
    <s v="Alvarado"/>
    <s v="US"/>
    <s v="573421ED6929F5A30A495C39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KobeLott@enthalpy.com"/>
    <s v="enthalpy.com"/>
    <s v="KobeLott@enthalpy.com"/>
    <s v="Kobe"/>
    <s v="Lott"/>
    <s v="US"/>
    <s v="B4562216692DC70E0A495C19@038d2aa263c9deeb495fea.e"/>
    <x v="2"/>
    <x v="0"/>
    <x v="0"/>
    <m/>
    <m/>
    <s v="USA - Env Lab - Mt Pleasant - Operations"/>
    <m/>
    <m/>
    <m/>
    <m/>
    <s v="Acrobat Standard DC (VIPMP - 99C0A3088A102BD9CB4A)"/>
    <m/>
    <m/>
    <x v="82"/>
    <x v="82"/>
    <n v="8.6983333333333324"/>
    <n v="0"/>
    <n v="0"/>
    <n v="8.6983333333333324"/>
    <n v="1"/>
  </r>
  <r>
    <s v="Federated ID"/>
    <s v="JamesLanderos@montrose-env.com"/>
    <s v="montrose-env.com"/>
    <s v="JamesLanderos@montrose-env.com"/>
    <s v="James"/>
    <s v="Landeros"/>
    <s v="US"/>
    <s v="B3FF21EB692DE5FA0A495FEB@038d2aa263c9deeb495fea.e"/>
    <x v="1"/>
    <x v="0"/>
    <x v="0"/>
    <m/>
    <m/>
    <s v="USA - LDAR - OH - Safety"/>
    <m/>
    <m/>
    <m/>
    <m/>
    <s v="Acrobat Pro (VIPMP - 99C0A3088A102BD9CB4A)"/>
    <m/>
    <m/>
    <x v="106"/>
    <x v="106"/>
    <n v="14.333333333333334"/>
    <n v="0"/>
    <n v="0"/>
    <n v="14.333333333333334"/>
    <n v="1"/>
  </r>
  <r>
    <s v="Federated ID"/>
    <s v="NakshatraSingh@montrose-env.com"/>
    <s v="montrose-env.com"/>
    <s v="NakshatraSingh@montrose-env.com"/>
    <s v="Nakshatra"/>
    <s v="Singh"/>
    <s v="US"/>
    <s v="B81021D7692DF63D0A495E62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JarettZelinsky@montrose-env.com"/>
    <s v="montrose-env.com"/>
    <s v="JarettZelinsky@montrose-env.com"/>
    <s v="Jarett"/>
    <s v="Zelinsky"/>
    <s v="US"/>
    <s v="BDD621D3692DFD390A495CB1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CameronSchuler@montrose-env.com"/>
    <s v="montrose-env.com"/>
    <s v="CameronSchuler@montrose-env.com"/>
    <s v="Cameron"/>
    <s v="Schuler"/>
    <s v="US"/>
    <s v="BA6421FB692E03340A495F96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ReeceIannacone@montrose-env.com"/>
    <s v="montrose-env.com"/>
    <s v="ReeceIannacone@montrose-env.com"/>
    <s v="Reece"/>
    <s v="Iannacone"/>
    <s v="US"/>
    <s v="BEF821EC692E27920A495C22@038d2aa263c9deeb495fea.e"/>
    <x v="2"/>
    <x v="0"/>
    <x v="0"/>
    <m/>
    <m/>
    <s v="USA - Stack - Northeast - Operations"/>
    <m/>
    <m/>
    <m/>
    <m/>
    <s v="Acrobat Standard DC (VIPMP - 99C0A3088A102BD9CB4A)"/>
    <m/>
    <m/>
    <x v="84"/>
    <x v="84"/>
    <n v="8.6983333333333324"/>
    <n v="0"/>
    <n v="0"/>
    <n v="8.6983333333333324"/>
    <n v="1"/>
  </r>
  <r>
    <s v="Federated ID"/>
    <s v="jaterry@montrose-env.com"/>
    <s v="montrose-env.com"/>
    <s v="jaterry@montrose-env.com"/>
    <s v="Jacob"/>
    <s v="Terry"/>
    <s v="US"/>
    <s v="EA3E47AD692F4AAE0A495E32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SelahTatem@montrose-env.com"/>
    <s v="montrose-env.com"/>
    <s v="SelahTatem@montrose-env.com"/>
    <s v="Selah"/>
    <s v="Tatem"/>
    <s v="US"/>
    <s v="13E5482F6930722C0A495E1E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DylanLipscomb@montrose-env.com"/>
    <s v="montrose-env.com"/>
    <s v="DylanLipscomb@montrose-env.com"/>
    <s v="Dylan"/>
    <s v="Lipscomb"/>
    <s v="US"/>
    <s v="110621D16930722D0A495E22@038d2aa263c9deeb495fea.e"/>
    <x v="1"/>
    <x v="0"/>
    <x v="0"/>
    <m/>
    <m/>
    <m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AnaliseBracci@montrose-env.com"/>
    <s v="montrose-env.com"/>
    <s v="AnaliseBracci@montrose-env.com"/>
    <s v="Analise"/>
    <s v="Bracci"/>
    <s v="US"/>
    <s v="0FF421D56930722D0A495FA3@038d2aa263c9deeb495fea.e"/>
    <x v="1"/>
    <x v="0"/>
    <x v="0"/>
    <m/>
    <m/>
    <s v="USA - Environmental Consulting - Central - Operations"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SeanGriffin@montrose-env.com"/>
    <s v="montrose-env.com"/>
    <s v="SeanGriffin@montrose-env.com"/>
    <s v="Sean"/>
    <s v="Griffin"/>
    <s v="US"/>
    <s v="099621EC6930722E0A495FB5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SebastianNiestepski@montrose-env.com"/>
    <s v="montrose-env.com"/>
    <s v="SebastianNiestepski@montrose-env.com"/>
    <s v="Sebastian"/>
    <s v="Niestepski"/>
    <s v="US"/>
    <s v="0F36225B6930722E0A495C2C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MarcosPadilla@montrose-env.com"/>
    <s v="montrose-env.com"/>
    <s v="MarcosPadilla@montrose-env.com"/>
    <s v="Marcos"/>
    <s v="Padilla"/>
    <s v="US"/>
    <s v="173521CE6930A0590A495C6C@038d2aa263c9deeb495fea.e"/>
    <x v="2"/>
    <x v="0"/>
    <x v="0"/>
    <m/>
    <m/>
    <s v="USA - Environmental Consulting - Santa Ana (P&amp;C) - Operations"/>
    <m/>
    <m/>
    <m/>
    <m/>
    <s v="Acrobat Standard DC (VIPMP - 99C0A3088A102BD9CB4A)"/>
    <m/>
    <m/>
    <x v="25"/>
    <x v="25"/>
    <n v="8.6983333333333324"/>
    <n v="0"/>
    <n v="0"/>
    <n v="8.6983333333333324"/>
    <n v="1"/>
  </r>
  <r>
    <s v="Federated ID"/>
    <s v="ErickEstrada@montrose-env.com"/>
    <s v="montrose-env.com"/>
    <s v="ErickEstrada@montrose-env.com"/>
    <s v="Erick"/>
    <s v="Estrada"/>
    <s v="US"/>
    <s v="0D5E21E56930A05A0A495CB0@038d2aa263c9deeb495fea.e"/>
    <x v="2"/>
    <x v="0"/>
    <x v="0"/>
    <m/>
    <m/>
    <s v="USA - Stack - Antioch - G&amp;A"/>
    <m/>
    <m/>
    <m/>
    <m/>
    <s v="Acrobat Standard DC (VIPMP - 99C0A3088A102BD9CB4A)"/>
    <m/>
    <m/>
    <x v="51"/>
    <x v="51"/>
    <n v="8.6983333333333324"/>
    <n v="0"/>
    <n v="0"/>
    <n v="8.6983333333333324"/>
    <n v="1"/>
  </r>
  <r>
    <s v="Federated ID"/>
    <s v="rshen@montrose-env.com"/>
    <s v="montrose-env.com"/>
    <s v="rshen@montrose-env.com"/>
    <s v="Raymond"/>
    <s v="Shen"/>
    <s v="US"/>
    <s v="390F21D76931DBDC0A495FEC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JasonManzo@montrose-env.com"/>
    <s v="montrose-env.com"/>
    <s v="JasonManzo@montrose-env.com"/>
    <s v="Jason"/>
    <s v="Manzo"/>
    <s v="US"/>
    <s v="82AA21DC69349ED50A495FAC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laurenedwards@montrose-env.com"/>
    <s v="montrose-env.com"/>
    <s v="laurenedwards@montrose-env.com"/>
    <s v="Lauren"/>
    <s v="Edwards"/>
    <s v="US"/>
    <s v="C58021FA6936FE830A495C76@038d2aa263c9deeb495fea.e"/>
    <x v="2"/>
    <x v="0"/>
    <x v="0"/>
    <m/>
    <m/>
    <s v="USA - Advisory Services - Spirit - Operations"/>
    <m/>
    <m/>
    <m/>
    <m/>
    <s v="Acrobat Standard DC (VIPMP - 99C0A3088A102BD9CB4A)"/>
    <m/>
    <m/>
    <x v="130"/>
    <x v="130"/>
    <n v="8.6983333333333324"/>
    <n v="0"/>
    <n v="0"/>
    <n v="8.6983333333333324"/>
    <n v="1"/>
  </r>
  <r>
    <s v="Federated ID"/>
    <s v="abmenge@montrose-env.com"/>
    <s v="montrose-env.com"/>
    <s v="abmenge@montrose-env.com"/>
    <s v="Abbigail"/>
    <s v="Menge"/>
    <s v="US"/>
    <s v="5C1021CD693C2AD80A495E61@038d2aa263c9deeb495fea.e"/>
    <x v="2"/>
    <x v="0"/>
    <x v="0"/>
    <m/>
    <m/>
    <s v="USA - Labs - OH - Safety"/>
    <m/>
    <m/>
    <m/>
    <m/>
    <s v="Acrobat Standard DC (VIPMP - 99C0A3088A102BD9CB4A)"/>
    <m/>
    <m/>
    <x v="38"/>
    <x v="38"/>
    <n v="8.6983333333333324"/>
    <n v="0"/>
    <n v="0"/>
    <n v="8.6983333333333324"/>
    <n v="1"/>
  </r>
  <r>
    <s v="Federated ID"/>
    <s v="AnthonyMartin@montrose-env.com"/>
    <s v="montrose-env.com"/>
    <s v="AnthonyMartin@montrose-env.com"/>
    <s v="Anthony"/>
    <s v="Martin"/>
    <s v="US"/>
    <s v="6DF82216693C3CCD0A495E1C@038d2aa263c9deeb495fea.e"/>
    <x v="2"/>
    <x v="0"/>
    <x v="0"/>
    <m/>
    <m/>
    <s v="USA - Environmental Consulting - Central - Operations"/>
    <m/>
    <m/>
    <m/>
    <m/>
    <s v="Acrobat Standard DC (VIPMP - 99C0A3088A102BD9CB4A)"/>
    <m/>
    <m/>
    <x v="91"/>
    <x v="91"/>
    <n v="8.6983333333333324"/>
    <n v="0"/>
    <n v="0"/>
    <n v="8.6983333333333324"/>
    <n v="1"/>
  </r>
  <r>
    <s v="Federated ID"/>
    <s v="AllisonLiu@enthalpy.com"/>
    <s v="enthalpy.com"/>
    <s v="AllisonLiu@enthalpy.com"/>
    <s v="Allison"/>
    <s v="Liu"/>
    <s v="US"/>
    <s v="60F121D1693C4D9C0A495E22@038d2aa263c9deeb495fea.e"/>
    <x v="1"/>
    <x v="0"/>
    <x v="0"/>
    <m/>
    <m/>
    <s v="USA - Env Lab - El Dorado Hills - Operations"/>
    <m/>
    <m/>
    <m/>
    <m/>
    <s v="Acrobat Pro (VIPMP - 99C0A3088A102BD9CB4A)"/>
    <m/>
    <m/>
    <x v="104"/>
    <x v="104"/>
    <n v="14.333333333333334"/>
    <n v="0"/>
    <n v="0"/>
    <n v="14.333333333333334"/>
    <n v="1"/>
  </r>
  <r>
    <s v="Federated ID"/>
    <s v="NickDanna@montrose-env.com"/>
    <s v="montrose-env.com"/>
    <s v="NickDanna@montrose-env.com"/>
    <s v="Nick"/>
    <s v="Danna"/>
    <s v="US"/>
    <s v="F30521D16941B17C0A495E22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AloysiusAlbanese@enthalpy.com"/>
    <s v="enthalpy.com"/>
    <s v="aloysiusalbanese@enthalpy.com"/>
    <s v="Aloysius"/>
    <s v="Albanese"/>
    <s v="US"/>
    <s v="FACA21CE6941F5260A495C6C@038d2aa263c9deeb495fea.e"/>
    <x v="2"/>
    <x v="0"/>
    <x v="0"/>
    <m/>
    <m/>
    <s v="USA - Env Lab - Orange - Operations"/>
    <m/>
    <m/>
    <m/>
    <m/>
    <s v="Acrobat Standard DC (VIPMP - 99C0A3088A102BD9CB4A)"/>
    <m/>
    <m/>
    <x v="26"/>
    <x v="26"/>
    <n v="8.6983333333333324"/>
    <n v="0"/>
    <n v="0"/>
    <n v="8.6983333333333324"/>
    <n v="1"/>
  </r>
  <r>
    <s v="Federated ID"/>
    <s v="JohnMerino@montrose-env.com"/>
    <s v="montrose-env.com"/>
    <s v="JohnMerino@montrose-env.com"/>
    <s v="John"/>
    <s v="Merino"/>
    <s v="US"/>
    <s v="0C0B21CF6942AD090A495C8E@038d2aa263c9deeb495fea.e"/>
    <x v="2"/>
    <x v="0"/>
    <x v="0"/>
    <m/>
    <m/>
    <s v="USA - Sensible EDP - Austin - Operations"/>
    <m/>
    <m/>
    <m/>
    <m/>
    <s v="Acrobat Standard DC (VIPMP - 99C0A3088A102BD9CB4A)"/>
    <m/>
    <m/>
    <x v="90"/>
    <x v="90"/>
    <n v="8.6983333333333324"/>
    <n v="0"/>
    <n v="0"/>
    <n v="8.6983333333333324"/>
    <n v="1"/>
  </r>
  <r>
    <s v="Federated ID"/>
    <s v="JeffereyMilosch@montrose-env.com"/>
    <s v="montrose-env.com"/>
    <s v="JeffereyMilosch@montrose-env.com"/>
    <s v="Jefferey"/>
    <s v="Milosch"/>
    <s v="US"/>
    <s v="0F9D21DD6942D1D80A495E44@038d2aa263c9deeb495fea.e"/>
    <x v="0"/>
    <x v="0"/>
    <x v="0"/>
    <m/>
    <m/>
    <m/>
    <m/>
    <m/>
    <m/>
    <m/>
    <m/>
    <m/>
    <m/>
    <x v="0"/>
    <x v="0"/>
    <n v="0"/>
    <n v="0"/>
    <n v="0"/>
    <n v="0"/>
    <m/>
  </r>
  <r>
    <s v="Federated ID"/>
    <s v="ChristineWhitacre@montrose-env.com"/>
    <s v="montrose-env.com"/>
    <s v="ChristineWhitacre@montrose-env.com"/>
    <s v="Chrissy"/>
    <s v="Whitacre"/>
    <s v="US"/>
    <s v="07985D786944307A0A495E85@038d2aa263c9deeb495fea.e"/>
    <x v="1"/>
    <x v="0"/>
    <x v="0"/>
    <m/>
    <m/>
    <m/>
    <m/>
    <m/>
    <m/>
    <m/>
    <s v="Acrobat Pro (VIPMP - 99C0A3088A102BD9CB4A)"/>
    <m/>
    <m/>
    <x v="91"/>
    <x v="91"/>
    <n v="14.333333333333334"/>
    <n v="0"/>
    <n v="0"/>
    <n v="14.333333333333334"/>
    <n v="1"/>
  </r>
  <r>
    <s v="Federated ID"/>
    <s v="isabelobando@enthalpy.com"/>
    <s v="enthalpy.com"/>
    <s v="isabelobando@enthalpy.com"/>
    <s v="Isabel"/>
    <s v="Obando"/>
    <s v="US"/>
    <s v="07FF22BC694448E40A495E60@038d2aa263c9deeb495fea.e"/>
    <x v="1"/>
    <x v="0"/>
    <x v="0"/>
    <m/>
    <m/>
    <s v="USA - Env Lab - Durham - Operations"/>
    <m/>
    <m/>
    <m/>
    <m/>
    <s v="Acrobat Pro (VIPMP - 99C0A3088A102BD9CB4A)"/>
    <m/>
    <m/>
    <x v="57"/>
    <x v="57"/>
    <n v="14.333333333333334"/>
    <n v="0"/>
    <n v="0"/>
    <n v="14.33333333333333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4C2B0-5119-4DAB-9CB9-E8822F83824C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45" firstHeaderRow="0" firstDataRow="1" firstDataCol="2"/>
  <pivotFields count="2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x="4"/>
        <item x="19"/>
        <item x="51"/>
        <item x="21"/>
        <item x="59"/>
        <item x="60"/>
        <item x="41"/>
        <item x="79"/>
        <item x="97"/>
        <item x="31"/>
        <item x="137"/>
        <item x="12"/>
        <item x="5"/>
        <item x="8"/>
        <item x="84"/>
        <item x="121"/>
        <item x="102"/>
        <item x="101"/>
        <item x="50"/>
        <item x="106"/>
        <item x="18"/>
        <item x="86"/>
        <item x="69"/>
        <item x="108"/>
        <item x="136"/>
        <item x="98"/>
        <item x="30"/>
        <item x="126"/>
        <item x="87"/>
        <item x="9"/>
        <item x="127"/>
        <item x="26"/>
        <item x="138"/>
        <item x="57"/>
        <item x="82"/>
        <item x="89"/>
        <item x="128"/>
        <item x="75"/>
        <item x="56"/>
        <item x="80"/>
        <item x="42"/>
        <item x="118"/>
        <item x="38"/>
        <item x="1"/>
        <item x="27"/>
        <item x="6"/>
        <item x="124"/>
        <item x="13"/>
        <item x="40"/>
        <item x="7"/>
        <item x="78"/>
        <item x="10"/>
        <item x="140"/>
        <item x="25"/>
        <item x="77"/>
        <item m="1" x="141"/>
        <item x="100"/>
        <item x="29"/>
        <item x="37"/>
        <item x="54"/>
        <item x="45"/>
        <item x="55"/>
        <item x="74"/>
        <item x="119"/>
        <item x="122"/>
        <item x="44"/>
        <item x="43"/>
        <item x="36"/>
        <item x="64"/>
        <item x="99"/>
        <item x="20"/>
        <item x="49"/>
        <item x="24"/>
        <item x="72"/>
        <item x="109"/>
        <item x="139"/>
        <item x="95"/>
        <item x="32"/>
        <item x="111"/>
        <item x="91"/>
        <item x="134"/>
        <item x="132"/>
        <item x="15"/>
        <item x="28"/>
        <item x="92"/>
        <item x="71"/>
        <item x="81"/>
        <item x="104"/>
        <item x="14"/>
        <item x="63"/>
        <item x="3"/>
        <item x="52"/>
        <item x="53"/>
        <item x="107"/>
        <item m="1" x="145"/>
        <item x="17"/>
        <item x="85"/>
        <item x="16"/>
        <item x="35"/>
        <item x="66"/>
        <item x="93"/>
        <item x="83"/>
        <item x="34"/>
        <item x="39"/>
        <item x="62"/>
        <item x="116"/>
        <item x="61"/>
        <item x="90"/>
        <item x="22"/>
        <item x="67"/>
        <item x="117"/>
        <item x="58"/>
        <item x="2"/>
        <item x="125"/>
        <item x="65"/>
        <item x="76"/>
        <item x="94"/>
        <item x="48"/>
        <item x="70"/>
        <item x="23"/>
        <item x="88"/>
        <item m="1" x="142"/>
        <item x="73"/>
        <item x="33"/>
        <item x="105"/>
        <item x="131"/>
        <item x="103"/>
        <item x="133"/>
        <item x="114"/>
        <item x="110"/>
        <item x="129"/>
        <item x="120"/>
        <item x="130"/>
        <item x="123"/>
        <item x="96"/>
        <item x="113"/>
        <item x="112"/>
        <item x="47"/>
        <item m="1" x="144"/>
        <item x="11"/>
        <item x="68"/>
        <item x="115"/>
        <item m="1" x="143"/>
        <item x="135"/>
        <item x="4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x="114"/>
        <item x="133"/>
        <item x="32"/>
        <item x="140"/>
        <item x="100"/>
        <item x="131"/>
        <item x="105"/>
        <item m="1" x="143"/>
        <item x="103"/>
        <item x="127"/>
        <item x="9"/>
        <item x="102"/>
        <item x="101"/>
        <item x="50"/>
        <item x="99"/>
        <item x="64"/>
        <item x="18"/>
        <item x="106"/>
        <item x="94"/>
        <item x="48"/>
        <item x="120"/>
        <item x="130"/>
        <item x="93"/>
        <item x="22"/>
        <item x="85"/>
        <item m="1" x="145"/>
        <item x="73"/>
        <item x="78"/>
        <item x="134"/>
        <item x="91"/>
        <item x="132"/>
        <item x="81"/>
        <item x="63"/>
        <item x="3"/>
        <item x="117"/>
        <item x="39"/>
        <item x="34"/>
        <item x="113"/>
        <item x="111"/>
        <item x="66"/>
        <item x="83"/>
        <item x="115"/>
        <item x="35"/>
        <item x="77"/>
        <item x="17"/>
        <item x="16"/>
        <item x="135"/>
        <item x="92"/>
        <item x="28"/>
        <item x="68"/>
        <item x="7"/>
        <item x="40"/>
        <item x="25"/>
        <item x="27"/>
        <item x="1"/>
        <item x="124"/>
        <item x="6"/>
        <item x="13"/>
        <item x="129"/>
        <item x="110"/>
        <item x="58"/>
        <item x="2"/>
        <item x="125"/>
        <item x="71"/>
        <item x="33"/>
        <item x="11"/>
        <item x="70"/>
        <item x="37"/>
        <item x="116"/>
        <item x="54"/>
        <item x="119"/>
        <item x="65"/>
        <item x="29"/>
        <item x="76"/>
        <item x="62"/>
        <item x="112"/>
        <item x="46"/>
        <item x="55"/>
        <item x="45"/>
        <item x="122"/>
        <item x="44"/>
        <item x="15"/>
        <item x="74"/>
        <item x="14"/>
        <item x="72"/>
        <item x="109"/>
        <item x="95"/>
        <item x="139"/>
        <item x="88"/>
        <item x="10"/>
        <item x="80"/>
        <item x="123"/>
        <item x="57"/>
        <item x="104"/>
        <item x="52"/>
        <item x="89"/>
        <item x="82"/>
        <item x="138"/>
        <item x="26"/>
        <item x="128"/>
        <item x="56"/>
        <item x="75"/>
        <item x="42"/>
        <item x="20"/>
        <item x="38"/>
        <item x="23"/>
        <item x="43"/>
        <item x="118"/>
        <item x="108"/>
        <item x="69"/>
        <item x="49"/>
        <item x="87"/>
        <item x="98"/>
        <item x="136"/>
        <item x="126"/>
        <item x="30"/>
        <item x="107"/>
        <item x="96"/>
        <item x="53"/>
        <item x="47"/>
        <item x="90"/>
        <item x="61"/>
        <item x="67"/>
        <item m="1" x="142"/>
        <item x="86"/>
        <item x="51"/>
        <item x="19"/>
        <item x="5"/>
        <item x="12"/>
        <item x="8"/>
        <item x="97"/>
        <item x="79"/>
        <item x="41"/>
        <item x="60"/>
        <item x="121"/>
        <item x="84"/>
        <item x="36"/>
        <item x="24"/>
        <item x="59"/>
        <item x="21"/>
        <item x="4"/>
        <item x="137"/>
        <item x="31"/>
        <item m="1" x="141"/>
        <item m="1" x="14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1"/>
    <field x="22"/>
  </rowFields>
  <rowItems count="142">
    <i>
      <x/>
      <x v="140"/>
    </i>
    <i>
      <x v="1"/>
      <x v="126"/>
    </i>
    <i>
      <x v="2"/>
      <x v="125"/>
    </i>
    <i>
      <x v="3"/>
      <x v="139"/>
    </i>
    <i>
      <x v="4"/>
      <x v="138"/>
    </i>
    <i>
      <x v="5"/>
      <x v="133"/>
    </i>
    <i>
      <x v="6"/>
      <x v="132"/>
    </i>
    <i>
      <x v="7"/>
      <x v="131"/>
    </i>
    <i>
      <x v="8"/>
      <x v="130"/>
    </i>
    <i>
      <x v="9"/>
      <x v="142"/>
    </i>
    <i>
      <x v="10"/>
      <x v="141"/>
    </i>
    <i>
      <x v="11"/>
      <x v="128"/>
    </i>
    <i>
      <x v="12"/>
      <x v="127"/>
    </i>
    <i>
      <x v="13"/>
      <x v="129"/>
    </i>
    <i>
      <x v="14"/>
      <x v="135"/>
    </i>
    <i>
      <x v="15"/>
      <x v="134"/>
    </i>
    <i>
      <x v="16"/>
      <x v="11"/>
    </i>
    <i>
      <x v="17"/>
      <x v="12"/>
    </i>
    <i>
      <x v="18"/>
      <x v="13"/>
    </i>
    <i>
      <x v="19"/>
      <x v="17"/>
    </i>
    <i>
      <x v="20"/>
      <x v="16"/>
    </i>
    <i>
      <x v="21"/>
      <x v="124"/>
    </i>
    <i>
      <x v="22"/>
      <x v="109"/>
    </i>
    <i>
      <x v="23"/>
      <x v="108"/>
    </i>
    <i>
      <x v="24"/>
      <x v="113"/>
    </i>
    <i>
      <x v="25"/>
      <x v="112"/>
    </i>
    <i>
      <x v="26"/>
      <x v="115"/>
    </i>
    <i>
      <x v="27"/>
      <x v="114"/>
    </i>
    <i>
      <x v="28"/>
      <x v="111"/>
    </i>
    <i>
      <x v="29"/>
      <x v="10"/>
    </i>
    <i>
      <x v="30"/>
      <x v="9"/>
    </i>
    <i>
      <x v="31"/>
      <x v="98"/>
    </i>
    <i>
      <x v="32"/>
      <x v="97"/>
    </i>
    <i>
      <x v="33"/>
      <x v="92"/>
    </i>
    <i>
      <x v="34"/>
      <x v="96"/>
    </i>
    <i>
      <x v="35"/>
      <x v="95"/>
    </i>
    <i>
      <x v="36"/>
      <x v="99"/>
    </i>
    <i>
      <x v="37"/>
      <x v="101"/>
    </i>
    <i>
      <x v="38"/>
      <x v="100"/>
    </i>
    <i>
      <x v="39"/>
      <x v="90"/>
    </i>
    <i>
      <x v="40"/>
      <x v="102"/>
    </i>
    <i>
      <x v="41"/>
      <x v="107"/>
    </i>
    <i>
      <x v="42"/>
      <x v="104"/>
    </i>
    <i>
      <x v="43"/>
      <x v="54"/>
    </i>
    <i>
      <x v="44"/>
      <x v="53"/>
    </i>
    <i>
      <x v="45"/>
      <x v="56"/>
    </i>
    <i>
      <x v="46"/>
      <x v="55"/>
    </i>
    <i>
      <x v="47"/>
      <x v="57"/>
    </i>
    <i>
      <x v="48"/>
      <x v="51"/>
    </i>
    <i>
      <x v="49"/>
      <x v="50"/>
    </i>
    <i>
      <x v="50"/>
      <x v="27"/>
    </i>
    <i>
      <x v="51"/>
      <x v="89"/>
    </i>
    <i>
      <x v="52"/>
      <x v="3"/>
    </i>
    <i>
      <x v="53"/>
      <x v="52"/>
    </i>
    <i>
      <x v="54"/>
      <x v="43"/>
    </i>
    <i>
      <x v="56"/>
      <x v="4"/>
    </i>
    <i>
      <x v="57"/>
      <x v="72"/>
    </i>
    <i>
      <x v="58"/>
      <x v="67"/>
    </i>
    <i>
      <x v="59"/>
      <x v="69"/>
    </i>
    <i>
      <x v="60"/>
      <x v="78"/>
    </i>
    <i>
      <x v="61"/>
      <x v="77"/>
    </i>
    <i>
      <x v="62"/>
      <x v="82"/>
    </i>
    <i>
      <x v="63"/>
      <x v="70"/>
    </i>
    <i>
      <x v="64"/>
      <x v="79"/>
    </i>
    <i>
      <x v="65"/>
      <x v="80"/>
    </i>
    <i>
      <x v="66"/>
      <x v="106"/>
    </i>
    <i>
      <x v="67"/>
      <x v="136"/>
    </i>
    <i>
      <x v="68"/>
      <x v="15"/>
    </i>
    <i>
      <x v="69"/>
      <x v="14"/>
    </i>
    <i>
      <x v="70"/>
      <x v="103"/>
    </i>
    <i>
      <x v="71"/>
      <x v="110"/>
    </i>
    <i>
      <x v="72"/>
      <x v="137"/>
    </i>
    <i>
      <x v="73"/>
      <x v="84"/>
    </i>
    <i>
      <x v="74"/>
      <x v="85"/>
    </i>
    <i>
      <x v="75"/>
      <x v="87"/>
    </i>
    <i>
      <x v="76"/>
      <x v="86"/>
    </i>
    <i>
      <x v="77"/>
      <x v="2"/>
    </i>
    <i>
      <x v="78"/>
      <x v="38"/>
    </i>
    <i>
      <x v="79"/>
      <x v="29"/>
    </i>
    <i>
      <x v="80"/>
      <x v="28"/>
    </i>
    <i>
      <x v="81"/>
      <x v="30"/>
    </i>
    <i>
      <x v="82"/>
      <x v="81"/>
    </i>
    <i>
      <x v="83"/>
      <x v="48"/>
    </i>
    <i>
      <x v="84"/>
      <x v="47"/>
    </i>
    <i>
      <x v="85"/>
      <x v="63"/>
    </i>
    <i>
      <x v="86"/>
      <x v="31"/>
    </i>
    <i>
      <x v="87"/>
      <x v="93"/>
    </i>
    <i>
      <x v="88"/>
      <x v="83"/>
    </i>
    <i>
      <x v="89"/>
      <x v="32"/>
    </i>
    <i>
      <x v="90"/>
      <x v="33"/>
    </i>
    <i>
      <x v="91"/>
      <x v="94"/>
    </i>
    <i>
      <x v="92"/>
      <x v="118"/>
    </i>
    <i>
      <x v="93"/>
      <x v="116"/>
    </i>
    <i>
      <x v="95"/>
      <x v="44"/>
    </i>
    <i>
      <x v="96"/>
      <x v="24"/>
    </i>
    <i>
      <x v="97"/>
      <x v="45"/>
    </i>
    <i>
      <x v="98"/>
      <x v="42"/>
    </i>
    <i>
      <x v="99"/>
      <x v="39"/>
    </i>
    <i>
      <x v="100"/>
      <x v="22"/>
    </i>
    <i>
      <x v="101"/>
      <x v="40"/>
    </i>
    <i>
      <x v="102"/>
      <x v="36"/>
    </i>
    <i>
      <x v="103"/>
      <x v="35"/>
    </i>
    <i>
      <x v="104"/>
      <x v="74"/>
    </i>
    <i>
      <x v="105"/>
      <x v="68"/>
    </i>
    <i>
      <x v="106"/>
      <x v="121"/>
    </i>
    <i>
      <x v="107"/>
      <x v="120"/>
    </i>
    <i>
      <x v="108"/>
      <x v="23"/>
    </i>
    <i>
      <x v="109"/>
      <x v="122"/>
    </i>
    <i>
      <x v="110"/>
      <x v="34"/>
    </i>
    <i>
      <x v="111"/>
      <x v="60"/>
    </i>
    <i>
      <x v="112"/>
      <x v="61"/>
    </i>
    <i>
      <x v="113"/>
      <x v="62"/>
    </i>
    <i>
      <x v="114"/>
      <x v="71"/>
    </i>
    <i>
      <x v="115"/>
      <x v="73"/>
    </i>
    <i>
      <x v="116"/>
      <x v="18"/>
    </i>
    <i>
      <x v="117"/>
      <x v="19"/>
    </i>
    <i>
      <x v="118"/>
      <x v="66"/>
    </i>
    <i>
      <x v="119"/>
      <x v="105"/>
    </i>
    <i>
      <x v="120"/>
      <x v="88"/>
    </i>
    <i>
      <x v="122"/>
      <x v="26"/>
    </i>
    <i>
      <x v="123"/>
      <x v="64"/>
    </i>
    <i>
      <x v="124"/>
      <x v="6"/>
    </i>
    <i>
      <x v="125"/>
      <x v="5"/>
    </i>
    <i>
      <x v="126"/>
      <x v="8"/>
    </i>
    <i>
      <x v="127"/>
      <x v="1"/>
    </i>
    <i>
      <x v="128"/>
      <x/>
    </i>
    <i>
      <x v="129"/>
      <x v="59"/>
    </i>
    <i>
      <x v="130"/>
      <x v="58"/>
    </i>
    <i>
      <x v="131"/>
      <x v="20"/>
    </i>
    <i>
      <x v="132"/>
      <x v="21"/>
    </i>
    <i>
      <x v="133"/>
      <x v="91"/>
    </i>
    <i>
      <x v="134"/>
      <x v="117"/>
    </i>
    <i>
      <x v="135"/>
      <x v="37"/>
    </i>
    <i>
      <x v="136"/>
      <x v="75"/>
    </i>
    <i>
      <x v="137"/>
      <x v="119"/>
    </i>
    <i>
      <x v="139"/>
      <x v="65"/>
    </i>
    <i>
      <x v="140"/>
      <x v="49"/>
    </i>
    <i>
      <x v="141"/>
      <x v="41"/>
    </i>
    <i>
      <x v="143"/>
      <x v="46"/>
    </i>
    <i>
      <x v="144"/>
      <x v="76"/>
    </i>
    <i>
      <x v="145"/>
      <x v="1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# of Paid License Holder" fld="27" baseField="0" baseItem="0"/>
    <dataField name="Sum of TOTAL Cost" fld="2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561B0-81F7-4469-B27E-AA2C5B9C164E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238" firstHeaderRow="0" firstDataRow="1" firstDataCol="5"/>
  <pivotFields count="2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2"/>
        <item x="6"/>
        <item x="3"/>
        <item x="5"/>
        <item x="4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8"/>
        <item x="2"/>
        <item x="7"/>
        <item x="5"/>
        <item x="3"/>
        <item x="1"/>
        <item x="6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x="4"/>
        <item x="19"/>
        <item x="51"/>
        <item x="21"/>
        <item x="59"/>
        <item x="60"/>
        <item x="41"/>
        <item x="79"/>
        <item x="97"/>
        <item x="31"/>
        <item x="137"/>
        <item x="12"/>
        <item x="5"/>
        <item x="8"/>
        <item x="84"/>
        <item x="121"/>
        <item x="102"/>
        <item x="101"/>
        <item x="50"/>
        <item x="106"/>
        <item x="18"/>
        <item x="86"/>
        <item x="69"/>
        <item x="108"/>
        <item x="136"/>
        <item x="98"/>
        <item x="30"/>
        <item x="126"/>
        <item x="87"/>
        <item x="9"/>
        <item x="127"/>
        <item x="26"/>
        <item x="138"/>
        <item x="57"/>
        <item x="82"/>
        <item x="89"/>
        <item x="128"/>
        <item x="75"/>
        <item x="56"/>
        <item x="80"/>
        <item x="42"/>
        <item x="118"/>
        <item x="38"/>
        <item x="1"/>
        <item x="27"/>
        <item x="6"/>
        <item x="124"/>
        <item x="13"/>
        <item x="40"/>
        <item x="7"/>
        <item x="78"/>
        <item x="10"/>
        <item x="140"/>
        <item x="25"/>
        <item x="77"/>
        <item m="1" x="141"/>
        <item x="100"/>
        <item x="29"/>
        <item x="37"/>
        <item x="54"/>
        <item x="45"/>
        <item x="55"/>
        <item x="74"/>
        <item x="119"/>
        <item x="122"/>
        <item x="44"/>
        <item x="43"/>
        <item x="36"/>
        <item x="64"/>
        <item x="99"/>
        <item x="20"/>
        <item x="49"/>
        <item x="24"/>
        <item x="72"/>
        <item x="109"/>
        <item x="139"/>
        <item x="95"/>
        <item x="32"/>
        <item x="111"/>
        <item x="91"/>
        <item x="134"/>
        <item x="132"/>
        <item x="15"/>
        <item x="28"/>
        <item x="92"/>
        <item x="71"/>
        <item x="81"/>
        <item x="104"/>
        <item x="14"/>
        <item x="63"/>
        <item x="3"/>
        <item x="52"/>
        <item x="53"/>
        <item x="107"/>
        <item m="1" x="145"/>
        <item x="17"/>
        <item x="85"/>
        <item x="16"/>
        <item x="35"/>
        <item x="66"/>
        <item x="93"/>
        <item x="83"/>
        <item x="34"/>
        <item x="39"/>
        <item x="62"/>
        <item x="116"/>
        <item x="61"/>
        <item x="90"/>
        <item x="22"/>
        <item x="67"/>
        <item x="117"/>
        <item x="58"/>
        <item x="2"/>
        <item x="125"/>
        <item x="65"/>
        <item x="76"/>
        <item x="94"/>
        <item x="48"/>
        <item x="70"/>
        <item x="23"/>
        <item x="88"/>
        <item m="1" x="142"/>
        <item x="73"/>
        <item x="33"/>
        <item x="105"/>
        <item x="131"/>
        <item x="103"/>
        <item x="133"/>
        <item x="114"/>
        <item x="110"/>
        <item x="129"/>
        <item x="120"/>
        <item x="130"/>
        <item x="123"/>
        <item x="96"/>
        <item x="113"/>
        <item x="112"/>
        <item x="47"/>
        <item m="1" x="144"/>
        <item x="11"/>
        <item x="68"/>
        <item x="115"/>
        <item m="1" x="143"/>
        <item x="135"/>
        <item x="4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x="114"/>
        <item x="133"/>
        <item x="32"/>
        <item x="140"/>
        <item x="100"/>
        <item x="131"/>
        <item x="105"/>
        <item m="1" x="143"/>
        <item x="103"/>
        <item x="127"/>
        <item x="9"/>
        <item x="102"/>
        <item x="101"/>
        <item x="50"/>
        <item x="99"/>
        <item x="64"/>
        <item x="18"/>
        <item x="106"/>
        <item x="94"/>
        <item x="48"/>
        <item x="120"/>
        <item x="130"/>
        <item x="93"/>
        <item x="22"/>
        <item x="85"/>
        <item m="1" x="145"/>
        <item x="73"/>
        <item x="78"/>
        <item x="134"/>
        <item x="91"/>
        <item x="132"/>
        <item x="81"/>
        <item x="63"/>
        <item x="3"/>
        <item x="117"/>
        <item x="39"/>
        <item x="34"/>
        <item x="113"/>
        <item x="111"/>
        <item x="66"/>
        <item x="83"/>
        <item x="115"/>
        <item x="35"/>
        <item x="77"/>
        <item x="17"/>
        <item x="16"/>
        <item x="135"/>
        <item x="92"/>
        <item x="28"/>
        <item x="68"/>
        <item x="7"/>
        <item x="40"/>
        <item x="25"/>
        <item x="27"/>
        <item x="1"/>
        <item x="124"/>
        <item x="6"/>
        <item x="13"/>
        <item x="129"/>
        <item x="110"/>
        <item x="58"/>
        <item x="2"/>
        <item x="125"/>
        <item x="71"/>
        <item x="33"/>
        <item x="11"/>
        <item x="70"/>
        <item x="37"/>
        <item x="116"/>
        <item x="54"/>
        <item x="119"/>
        <item x="65"/>
        <item x="29"/>
        <item x="76"/>
        <item x="62"/>
        <item x="112"/>
        <item x="46"/>
        <item x="55"/>
        <item x="45"/>
        <item x="122"/>
        <item x="44"/>
        <item x="15"/>
        <item x="74"/>
        <item x="14"/>
        <item x="72"/>
        <item x="109"/>
        <item x="95"/>
        <item x="139"/>
        <item x="88"/>
        <item x="10"/>
        <item x="80"/>
        <item x="123"/>
        <item x="57"/>
        <item x="104"/>
        <item x="52"/>
        <item x="89"/>
        <item x="82"/>
        <item x="138"/>
        <item x="26"/>
        <item x="128"/>
        <item x="56"/>
        <item x="75"/>
        <item x="42"/>
        <item x="20"/>
        <item x="38"/>
        <item x="23"/>
        <item x="43"/>
        <item x="118"/>
        <item x="108"/>
        <item x="69"/>
        <item x="49"/>
        <item x="87"/>
        <item x="98"/>
        <item x="136"/>
        <item x="126"/>
        <item x="30"/>
        <item x="107"/>
        <item x="96"/>
        <item x="53"/>
        <item x="47"/>
        <item x="90"/>
        <item x="61"/>
        <item x="67"/>
        <item m="1" x="142"/>
        <item x="86"/>
        <item x="51"/>
        <item x="19"/>
        <item x="5"/>
        <item x="12"/>
        <item x="8"/>
        <item x="97"/>
        <item x="79"/>
        <item x="41"/>
        <item x="60"/>
        <item x="121"/>
        <item x="84"/>
        <item x="36"/>
        <item x="24"/>
        <item x="59"/>
        <item x="21"/>
        <item x="4"/>
        <item x="137"/>
        <item x="31"/>
        <item m="1" x="141"/>
        <item m="1" x="14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21"/>
    <field x="22"/>
    <field x="8"/>
    <field x="9"/>
    <field x="10"/>
  </rowFields>
  <rowItems count="235">
    <i>
      <x/>
      <x v="140"/>
      <x/>
      <x v="8"/>
      <x v="3"/>
    </i>
    <i r="2">
      <x v="1"/>
      <x v="8"/>
      <x v="3"/>
    </i>
    <i>
      <x v="1"/>
      <x v="126"/>
      <x/>
      <x v="8"/>
      <x v="3"/>
    </i>
    <i r="2">
      <x v="1"/>
      <x v="8"/>
      <x v="3"/>
    </i>
    <i>
      <x v="2"/>
      <x v="125"/>
      <x/>
      <x v="8"/>
      <x v="3"/>
    </i>
    <i r="2">
      <x v="1"/>
      <x v="8"/>
      <x v="3"/>
    </i>
    <i>
      <x v="3"/>
      <x v="139"/>
      <x/>
      <x v="8"/>
      <x v="3"/>
    </i>
    <i r="2">
      <x v="1"/>
      <x v="8"/>
      <x v="3"/>
    </i>
    <i>
      <x v="4"/>
      <x v="138"/>
      <x v="1"/>
      <x v="8"/>
      <x v="3"/>
    </i>
    <i>
      <x v="5"/>
      <x v="133"/>
      <x/>
      <x v="8"/>
      <x v="3"/>
    </i>
    <i r="2">
      <x v="1"/>
      <x v="8"/>
      <x v="3"/>
    </i>
    <i>
      <x v="6"/>
      <x v="132"/>
      <x/>
      <x v="8"/>
      <x v="3"/>
    </i>
    <i>
      <x v="7"/>
      <x v="131"/>
      <x/>
      <x v="8"/>
      <x v="3"/>
    </i>
    <i r="2">
      <x v="1"/>
      <x v="8"/>
      <x v="3"/>
    </i>
    <i>
      <x v="8"/>
      <x v="130"/>
      <x/>
      <x v="8"/>
      <x v="3"/>
    </i>
    <i>
      <x v="9"/>
      <x v="142"/>
      <x/>
      <x v="8"/>
      <x v="3"/>
    </i>
    <i>
      <x v="10"/>
      <x v="141"/>
      <x/>
      <x v="8"/>
      <x v="3"/>
    </i>
    <i>
      <x v="11"/>
      <x v="128"/>
      <x/>
      <x v="8"/>
      <x v="3"/>
    </i>
    <i r="2">
      <x v="1"/>
      <x v="8"/>
      <x v="3"/>
    </i>
    <i>
      <x v="12"/>
      <x v="127"/>
      <x/>
      <x v="8"/>
      <x v="3"/>
    </i>
    <i>
      <x v="13"/>
      <x v="129"/>
      <x/>
      <x v="8"/>
      <x v="3"/>
    </i>
    <i r="2">
      <x v="1"/>
      <x v="8"/>
      <x v="3"/>
    </i>
    <i>
      <x v="14"/>
      <x v="135"/>
      <x/>
      <x v="8"/>
      <x v="3"/>
    </i>
    <i r="2">
      <x v="1"/>
      <x v="8"/>
      <x v="3"/>
    </i>
    <i>
      <x v="15"/>
      <x v="134"/>
      <x v="1"/>
      <x v="8"/>
      <x v="3"/>
    </i>
    <i>
      <x v="16"/>
      <x v="11"/>
      <x/>
      <x v="8"/>
      <x v="3"/>
    </i>
    <i r="2">
      <x v="1"/>
      <x v="8"/>
      <x v="3"/>
    </i>
    <i>
      <x v="17"/>
      <x v="12"/>
      <x/>
      <x v="8"/>
      <x v="3"/>
    </i>
    <i>
      <x v="18"/>
      <x v="13"/>
      <x/>
      <x v="8"/>
      <x v="3"/>
    </i>
    <i r="2">
      <x v="1"/>
      <x v="8"/>
      <x v="3"/>
    </i>
    <i>
      <x v="19"/>
      <x v="17"/>
      <x/>
      <x v="8"/>
      <x v="3"/>
    </i>
    <i r="2">
      <x v="1"/>
      <x v="8"/>
      <x v="3"/>
    </i>
    <i>
      <x v="20"/>
      <x v="16"/>
      <x/>
      <x v="8"/>
      <x v="3"/>
    </i>
    <i>
      <x v="21"/>
      <x v="124"/>
      <x/>
      <x v="8"/>
      <x v="3"/>
    </i>
    <i r="2">
      <x v="1"/>
      <x v="8"/>
      <x v="3"/>
    </i>
    <i>
      <x v="22"/>
      <x v="109"/>
      <x/>
      <x v="8"/>
      <x v="3"/>
    </i>
    <i>
      <x v="23"/>
      <x v="108"/>
      <x/>
      <x v="8"/>
      <x v="3"/>
    </i>
    <i>
      <x v="24"/>
      <x v="113"/>
      <x v="1"/>
      <x v="8"/>
      <x v="3"/>
    </i>
    <i>
      <x v="25"/>
      <x v="112"/>
      <x/>
      <x v="8"/>
      <x v="3"/>
    </i>
    <i>
      <x v="26"/>
      <x v="115"/>
      <x/>
      <x v="8"/>
      <x v="3"/>
    </i>
    <i r="2">
      <x v="1"/>
      <x v="8"/>
      <x v="3"/>
    </i>
    <i>
      <x v="27"/>
      <x v="114"/>
      <x/>
      <x v="8"/>
      <x v="3"/>
    </i>
    <i>
      <x v="28"/>
      <x v="111"/>
      <x/>
      <x v="8"/>
      <x v="3"/>
    </i>
    <i r="2">
      <x v="1"/>
      <x v="8"/>
      <x v="3"/>
    </i>
    <i>
      <x v="29"/>
      <x v="10"/>
      <x/>
      <x v="8"/>
      <x v="3"/>
    </i>
    <i r="2">
      <x v="1"/>
      <x v="8"/>
      <x v="3"/>
    </i>
    <i>
      <x v="30"/>
      <x v="9"/>
      <x/>
      <x v="8"/>
      <x v="3"/>
    </i>
    <i>
      <x v="31"/>
      <x v="98"/>
      <x/>
      <x v="8"/>
      <x v="3"/>
    </i>
    <i r="2">
      <x v="1"/>
      <x v="8"/>
      <x v="3"/>
    </i>
    <i>
      <x v="32"/>
      <x v="97"/>
      <x v="1"/>
      <x v="8"/>
      <x v="3"/>
    </i>
    <i>
      <x v="33"/>
      <x v="92"/>
      <x/>
      <x v="8"/>
      <x v="3"/>
    </i>
    <i r="2">
      <x v="1"/>
      <x v="8"/>
      <x v="3"/>
    </i>
    <i>
      <x v="34"/>
      <x v="96"/>
      <x/>
      <x v="7"/>
      <x v="2"/>
    </i>
    <i r="3">
      <x v="8"/>
      <x v="3"/>
    </i>
    <i r="2">
      <x v="1"/>
      <x v="8"/>
      <x v="3"/>
    </i>
    <i>
      <x v="35"/>
      <x v="95"/>
      <x/>
      <x v="8"/>
      <x v="3"/>
    </i>
    <i>
      <x v="36"/>
      <x v="99"/>
      <x v="1"/>
      <x v="8"/>
      <x v="3"/>
    </i>
    <i>
      <x v="37"/>
      <x v="101"/>
      <x/>
      <x v="8"/>
      <x v="3"/>
    </i>
    <i r="2">
      <x v="1"/>
      <x v="8"/>
      <x v="3"/>
    </i>
    <i>
      <x v="38"/>
      <x v="100"/>
      <x/>
      <x v="8"/>
      <x v="3"/>
    </i>
    <i>
      <x v="39"/>
      <x v="90"/>
      <x/>
      <x v="8"/>
      <x v="3"/>
    </i>
    <i r="2">
      <x v="1"/>
      <x v="8"/>
      <x v="3"/>
    </i>
    <i>
      <x v="40"/>
      <x v="102"/>
      <x/>
      <x v="8"/>
      <x v="3"/>
    </i>
    <i>
      <x v="41"/>
      <x v="107"/>
      <x/>
      <x v="8"/>
      <x v="3"/>
    </i>
    <i>
      <x v="42"/>
      <x v="104"/>
      <x/>
      <x v="8"/>
      <x v="3"/>
    </i>
    <i r="2">
      <x v="1"/>
      <x v="8"/>
      <x v="3"/>
    </i>
    <i>
      <x v="43"/>
      <x v="54"/>
      <x/>
      <x v="4"/>
      <x v="3"/>
    </i>
    <i r="3">
      <x v="8"/>
      <x v="3"/>
    </i>
    <i r="2">
      <x v="1"/>
      <x v="2"/>
      <x v="3"/>
    </i>
    <i r="3">
      <x v="8"/>
      <x v="3"/>
    </i>
    <i r="2">
      <x v="3"/>
      <x v="8"/>
      <x v="3"/>
    </i>
    <i>
      <x v="44"/>
      <x v="53"/>
      <x/>
      <x v="8"/>
      <x v="3"/>
    </i>
    <i>
      <x v="45"/>
      <x v="56"/>
      <x/>
      <x/>
      <x v="3"/>
    </i>
    <i r="3">
      <x v="8"/>
      <x v="3"/>
    </i>
    <i r="2">
      <x v="1"/>
      <x v="8"/>
      <x v="3"/>
    </i>
    <i>
      <x v="46"/>
      <x v="55"/>
      <x/>
      <x v="8"/>
      <x v="3"/>
    </i>
    <i>
      <x v="47"/>
      <x v="57"/>
      <x/>
      <x v="8"/>
      <x v="3"/>
    </i>
    <i>
      <x v="48"/>
      <x v="51"/>
      <x/>
      <x v="8"/>
      <x v="3"/>
    </i>
    <i r="2">
      <x v="1"/>
      <x v="8"/>
      <x v="3"/>
    </i>
    <i>
      <x v="49"/>
      <x v="50"/>
      <x/>
      <x v="8"/>
      <x v="3"/>
    </i>
    <i>
      <x v="50"/>
      <x v="27"/>
      <x/>
      <x v="8"/>
      <x v="3"/>
    </i>
    <i r="2">
      <x v="1"/>
      <x v="8"/>
      <x v="3"/>
    </i>
    <i>
      <x v="51"/>
      <x v="89"/>
      <x/>
      <x v="8"/>
      <x v="3"/>
    </i>
    <i r="2">
      <x v="1"/>
      <x v="8"/>
      <x v="3"/>
    </i>
    <i r="2">
      <x v="3"/>
      <x v="8"/>
      <x v="3"/>
    </i>
    <i>
      <x v="52"/>
      <x v="3"/>
      <x/>
      <x v="8"/>
      <x v="3"/>
    </i>
    <i>
      <x v="53"/>
      <x v="52"/>
      <x/>
      <x v="8"/>
      <x v="3"/>
    </i>
    <i r="2">
      <x v="1"/>
      <x v="8"/>
      <x v="3"/>
    </i>
    <i>
      <x v="54"/>
      <x v="43"/>
      <x/>
      <x v="8"/>
      <x v="3"/>
    </i>
    <i>
      <x v="56"/>
      <x v="4"/>
      <x/>
      <x v="8"/>
      <x v="3"/>
    </i>
    <i>
      <x v="57"/>
      <x v="72"/>
      <x/>
      <x v="8"/>
      <x v="3"/>
    </i>
    <i r="2">
      <x v="1"/>
      <x v="8"/>
      <x v="3"/>
    </i>
    <i>
      <x v="58"/>
      <x v="67"/>
      <x/>
      <x v="8"/>
      <x v="3"/>
    </i>
    <i r="2">
      <x v="1"/>
      <x v="8"/>
      <x v="3"/>
    </i>
    <i>
      <x v="59"/>
      <x v="69"/>
      <x/>
      <x v="8"/>
      <x v="3"/>
    </i>
    <i>
      <x v="60"/>
      <x v="78"/>
      <x/>
      <x v="8"/>
      <x v="3"/>
    </i>
    <i>
      <x v="61"/>
      <x v="77"/>
      <x/>
      <x v="8"/>
      <x v="3"/>
    </i>
    <i r="2">
      <x v="1"/>
      <x v="8"/>
      <x v="3"/>
    </i>
    <i>
      <x v="62"/>
      <x v="82"/>
      <x/>
      <x v="8"/>
      <x v="3"/>
    </i>
    <i>
      <x v="63"/>
      <x v="70"/>
      <x v="1"/>
      <x v="8"/>
      <x v="3"/>
    </i>
    <i>
      <x v="64"/>
      <x v="79"/>
      <x/>
      <x v="8"/>
      <x v="3"/>
    </i>
    <i>
      <x v="65"/>
      <x v="80"/>
      <x/>
      <x v="5"/>
      <x/>
    </i>
    <i r="3">
      <x v="8"/>
      <x v="3"/>
    </i>
    <i r="2">
      <x v="1"/>
      <x v="8"/>
      <x v="3"/>
    </i>
    <i r="2">
      <x v="3"/>
      <x v="8"/>
      <x v="3"/>
    </i>
    <i>
      <x v="66"/>
      <x v="106"/>
      <x/>
      <x v="8"/>
      <x v="3"/>
    </i>
    <i r="2">
      <x v="1"/>
      <x v="8"/>
      <x v="3"/>
    </i>
    <i>
      <x v="67"/>
      <x v="136"/>
      <x/>
      <x v="8"/>
      <x v="3"/>
    </i>
    <i r="2">
      <x v="1"/>
      <x v="8"/>
      <x v="3"/>
    </i>
    <i>
      <x v="68"/>
      <x v="15"/>
      <x v="1"/>
      <x v="8"/>
      <x v="3"/>
    </i>
    <i>
      <x v="69"/>
      <x v="14"/>
      <x/>
      <x v="8"/>
      <x v="3"/>
    </i>
    <i>
      <x v="70"/>
      <x v="103"/>
      <x/>
      <x v="8"/>
      <x v="3"/>
    </i>
    <i>
      <x v="71"/>
      <x v="110"/>
      <x/>
      <x v="8"/>
      <x v="3"/>
    </i>
    <i r="2">
      <x v="1"/>
      <x v="1"/>
      <x v="3"/>
    </i>
    <i>
      <x v="72"/>
      <x v="137"/>
      <x/>
      <x v="8"/>
      <x v="3"/>
    </i>
    <i r="2">
      <x v="1"/>
      <x v="8"/>
      <x v="3"/>
    </i>
    <i>
      <x v="73"/>
      <x v="84"/>
      <x/>
      <x v="8"/>
      <x v="3"/>
    </i>
    <i r="2">
      <x v="1"/>
      <x v="8"/>
      <x v="3"/>
    </i>
    <i>
      <x v="74"/>
      <x v="85"/>
      <x/>
      <x v="8"/>
      <x v="3"/>
    </i>
    <i>
      <x v="75"/>
      <x v="87"/>
      <x/>
      <x v="8"/>
      <x v="3"/>
    </i>
    <i>
      <x v="76"/>
      <x v="86"/>
      <x/>
      <x v="8"/>
      <x v="3"/>
    </i>
    <i>
      <x v="77"/>
      <x v="2"/>
      <x v="1"/>
      <x v="8"/>
      <x v="3"/>
    </i>
    <i>
      <x v="78"/>
      <x v="38"/>
      <x/>
      <x v="8"/>
      <x v="3"/>
    </i>
    <i>
      <x v="79"/>
      <x v="29"/>
      <x/>
      <x v="8"/>
      <x v="3"/>
    </i>
    <i r="2">
      <x v="1"/>
      <x v="8"/>
      <x v="3"/>
    </i>
    <i>
      <x v="80"/>
      <x v="28"/>
      <x/>
      <x v="8"/>
      <x v="3"/>
    </i>
    <i>
      <x v="81"/>
      <x v="30"/>
      <x/>
      <x v="8"/>
      <x v="3"/>
    </i>
    <i>
      <x v="82"/>
      <x v="81"/>
      <x/>
      <x v="8"/>
      <x v="3"/>
    </i>
    <i>
      <x v="83"/>
      <x v="48"/>
      <x/>
      <x v="8"/>
      <x v="3"/>
    </i>
    <i r="2">
      <x v="1"/>
      <x v="8"/>
      <x v="3"/>
    </i>
    <i>
      <x v="84"/>
      <x v="47"/>
      <x/>
      <x v="8"/>
      <x v="3"/>
    </i>
    <i>
      <x v="85"/>
      <x v="63"/>
      <x/>
      <x v="8"/>
      <x v="3"/>
    </i>
    <i r="2">
      <x v="1"/>
      <x v="8"/>
      <x v="3"/>
    </i>
    <i>
      <x v="86"/>
      <x v="31"/>
      <x/>
      <x v="8"/>
      <x v="3"/>
    </i>
    <i r="2">
      <x v="1"/>
      <x v="8"/>
      <x v="3"/>
    </i>
    <i>
      <x v="87"/>
      <x v="93"/>
      <x/>
      <x v="8"/>
      <x v="3"/>
    </i>
    <i>
      <x v="88"/>
      <x v="83"/>
      <x/>
      <x v="5"/>
      <x v="1"/>
    </i>
    <i r="4">
      <x v="3"/>
    </i>
    <i r="3">
      <x v="8"/>
      <x v="3"/>
    </i>
    <i r="2">
      <x v="1"/>
      <x v="8"/>
      <x v="3"/>
    </i>
    <i>
      <x v="89"/>
      <x v="32"/>
      <x/>
      <x v="8"/>
      <x v="3"/>
    </i>
    <i r="2">
      <x v="1"/>
      <x v="8"/>
      <x v="3"/>
    </i>
    <i>
      <x v="90"/>
      <x v="33"/>
      <x/>
      <x v="8"/>
      <x v="3"/>
    </i>
    <i r="2">
      <x v="1"/>
      <x v="8"/>
      <x v="3"/>
    </i>
    <i r="2">
      <x v="4"/>
      <x v="8"/>
      <x v="3"/>
    </i>
    <i>
      <x v="91"/>
      <x v="94"/>
      <x/>
      <x v="8"/>
      <x v="3"/>
    </i>
    <i r="2">
      <x v="1"/>
      <x v="8"/>
      <x v="3"/>
    </i>
    <i>
      <x v="92"/>
      <x v="118"/>
      <x/>
      <x v="8"/>
      <x v="3"/>
    </i>
    <i>
      <x v="93"/>
      <x v="116"/>
      <x v="1"/>
      <x v="8"/>
      <x v="3"/>
    </i>
    <i>
      <x v="95"/>
      <x v="44"/>
      <x/>
      <x v="5"/>
      <x v="1"/>
    </i>
    <i r="3">
      <x v="8"/>
      <x v="3"/>
    </i>
    <i r="2">
      <x v="1"/>
      <x v="8"/>
      <x v="3"/>
    </i>
    <i r="2">
      <x v="3"/>
      <x v="8"/>
      <x v="3"/>
    </i>
    <i>
      <x v="96"/>
      <x v="24"/>
      <x/>
      <x v="8"/>
      <x v="3"/>
    </i>
    <i>
      <x v="97"/>
      <x v="45"/>
      <x/>
      <x v="8"/>
      <x v="3"/>
    </i>
    <i>
      <x v="98"/>
      <x v="42"/>
      <x/>
      <x v="8"/>
      <x v="3"/>
    </i>
    <i r="2">
      <x v="3"/>
      <x v="8"/>
      <x v="3"/>
    </i>
    <i r="2">
      <x v="5"/>
      <x v="7"/>
      <x v="3"/>
    </i>
    <i>
      <x v="99"/>
      <x v="39"/>
      <x/>
      <x v="8"/>
      <x v="3"/>
    </i>
    <i r="2">
      <x v="5"/>
      <x v="8"/>
      <x v="3"/>
    </i>
    <i>
      <x v="100"/>
      <x v="22"/>
      <x/>
      <x v="8"/>
      <x v="3"/>
    </i>
    <i>
      <x v="101"/>
      <x v="40"/>
      <x/>
      <x v="8"/>
      <x v="3"/>
    </i>
    <i r="2">
      <x v="1"/>
      <x v="8"/>
      <x v="3"/>
    </i>
    <i>
      <x v="102"/>
      <x v="36"/>
      <x/>
      <x v="4"/>
      <x v="3"/>
    </i>
    <i r="3">
      <x v="8"/>
      <x v="3"/>
    </i>
    <i r="2">
      <x v="1"/>
      <x v="4"/>
      <x v="3"/>
    </i>
    <i r="3">
      <x v="8"/>
      <x v="3"/>
    </i>
    <i r="2">
      <x v="3"/>
      <x v="8"/>
      <x v="3"/>
    </i>
    <i>
      <x v="103"/>
      <x v="35"/>
      <x/>
      <x v="8"/>
      <x v="3"/>
    </i>
    <i>
      <x v="104"/>
      <x v="74"/>
      <x/>
      <x/>
      <x v="3"/>
    </i>
    <i r="3">
      <x v="8"/>
      <x v="3"/>
    </i>
    <i>
      <x v="105"/>
      <x v="68"/>
      <x/>
      <x v="8"/>
      <x v="3"/>
    </i>
    <i>
      <x v="106"/>
      <x v="121"/>
      <x/>
      <x v="8"/>
      <x v="3"/>
    </i>
    <i r="2">
      <x v="1"/>
      <x v="8"/>
      <x v="3"/>
    </i>
    <i>
      <x v="107"/>
      <x v="120"/>
      <x/>
      <x v="8"/>
      <x v="3"/>
    </i>
    <i r="2">
      <x v="1"/>
      <x v="8"/>
      <x v="3"/>
    </i>
    <i>
      <x v="108"/>
      <x v="23"/>
      <x/>
      <x v="8"/>
      <x v="3"/>
    </i>
    <i r="2">
      <x v="1"/>
      <x v="8"/>
      <x v="3"/>
    </i>
    <i>
      <x v="109"/>
      <x v="122"/>
      <x/>
      <x v="8"/>
      <x v="3"/>
    </i>
    <i>
      <x v="110"/>
      <x v="34"/>
      <x/>
      <x v="8"/>
      <x v="3"/>
    </i>
    <i>
      <x v="111"/>
      <x v="60"/>
      <x v="1"/>
      <x v="8"/>
      <x v="3"/>
    </i>
    <i>
      <x v="112"/>
      <x v="61"/>
      <x/>
      <x v="3"/>
      <x v="3"/>
    </i>
    <i r="3">
      <x v="8"/>
      <x v="3"/>
    </i>
    <i r="2">
      <x v="1"/>
      <x v="8"/>
      <x v="3"/>
    </i>
    <i r="2">
      <x v="3"/>
      <x v="8"/>
      <x v="3"/>
    </i>
    <i>
      <x v="113"/>
      <x v="62"/>
      <x/>
      <x v="8"/>
      <x v="3"/>
    </i>
    <i>
      <x v="114"/>
      <x v="71"/>
      <x/>
      <x v="8"/>
      <x v="3"/>
    </i>
    <i r="2">
      <x v="1"/>
      <x v="8"/>
      <x v="3"/>
    </i>
    <i>
      <x v="115"/>
      <x v="73"/>
      <x/>
      <x v="8"/>
      <x v="3"/>
    </i>
    <i>
      <x v="116"/>
      <x v="18"/>
      <x/>
      <x v="8"/>
      <x v="3"/>
    </i>
    <i>
      <x v="117"/>
      <x v="19"/>
      <x/>
      <x v="8"/>
      <x v="3"/>
    </i>
    <i r="2">
      <x v="1"/>
      <x v="8"/>
      <x v="3"/>
    </i>
    <i>
      <x v="118"/>
      <x v="66"/>
      <x/>
      <x v="7"/>
      <x/>
    </i>
    <i r="3">
      <x v="8"/>
      <x v="3"/>
    </i>
    <i r="2">
      <x v="1"/>
      <x v="8"/>
      <x v="3"/>
    </i>
    <i>
      <x v="119"/>
      <x v="105"/>
      <x/>
      <x v="8"/>
      <x v="3"/>
    </i>
    <i r="2">
      <x v="1"/>
      <x v="8"/>
      <x v="3"/>
    </i>
    <i>
      <x v="120"/>
      <x v="88"/>
      <x/>
      <x v="8"/>
      <x v="3"/>
    </i>
    <i r="2">
      <x v="1"/>
      <x v="8"/>
      <x v="3"/>
    </i>
    <i>
      <x v="122"/>
      <x v="26"/>
      <x/>
      <x v="8"/>
      <x v="3"/>
    </i>
    <i r="2">
      <x v="1"/>
      <x v="8"/>
      <x v="3"/>
    </i>
    <i>
      <x v="123"/>
      <x v="64"/>
      <x/>
      <x v="8"/>
      <x v="3"/>
    </i>
    <i r="2">
      <x v="1"/>
      <x v="8"/>
      <x v="3"/>
    </i>
    <i>
      <x v="124"/>
      <x v="6"/>
      <x/>
      <x v="8"/>
      <x v="3"/>
    </i>
    <i>
      <x v="125"/>
      <x v="5"/>
      <x v="1"/>
      <x v="8"/>
      <x v="3"/>
    </i>
    <i>
      <x v="126"/>
      <x v="8"/>
      <x/>
      <x v="8"/>
      <x v="3"/>
    </i>
    <i>
      <x v="127"/>
      <x v="1"/>
      <x v="5"/>
      <x v="8"/>
      <x v="3"/>
    </i>
    <i>
      <x v="128"/>
      <x/>
      <x v="1"/>
      <x v="8"/>
      <x v="3"/>
    </i>
    <i>
      <x v="129"/>
      <x v="59"/>
      <x/>
      <x v="3"/>
      <x v="3"/>
    </i>
    <i r="3">
      <x v="6"/>
      <x v="3"/>
    </i>
    <i r="3">
      <x v="7"/>
      <x v="3"/>
    </i>
    <i r="3">
      <x v="8"/>
      <x v="3"/>
    </i>
    <i r="2">
      <x v="1"/>
      <x v="8"/>
      <x v="3"/>
    </i>
    <i>
      <x v="130"/>
      <x v="58"/>
      <x/>
      <x v="8"/>
      <x v="3"/>
    </i>
    <i>
      <x v="131"/>
      <x v="20"/>
      <x/>
      <x v="5"/>
      <x v="1"/>
    </i>
    <i r="3">
      <x v="8"/>
      <x v="3"/>
    </i>
    <i r="2">
      <x v="5"/>
      <x v="7"/>
      <x/>
    </i>
    <i>
      <x v="132"/>
      <x v="21"/>
      <x/>
      <x v="8"/>
      <x v="3"/>
    </i>
    <i r="2">
      <x v="1"/>
      <x v="8"/>
      <x v="3"/>
    </i>
    <i>
      <x v="133"/>
      <x v="91"/>
      <x/>
      <x v="8"/>
      <x v="3"/>
    </i>
    <i r="2">
      <x v="1"/>
      <x v="4"/>
      <x v="3"/>
    </i>
    <i r="3">
      <x v="8"/>
      <x v="3"/>
    </i>
    <i>
      <x v="134"/>
      <x v="117"/>
      <x/>
      <x v="8"/>
      <x v="3"/>
    </i>
    <i>
      <x v="135"/>
      <x v="37"/>
      <x/>
      <x v="8"/>
      <x v="3"/>
    </i>
    <i r="2">
      <x v="1"/>
      <x v="8"/>
      <x v="3"/>
    </i>
    <i>
      <x v="136"/>
      <x v="75"/>
      <x/>
      <x v="8"/>
      <x v="3"/>
    </i>
    <i r="2">
      <x v="1"/>
      <x v="8"/>
      <x v="3"/>
    </i>
    <i>
      <x v="137"/>
      <x v="119"/>
      <x/>
      <x v="8"/>
      <x v="3"/>
    </i>
    <i>
      <x v="139"/>
      <x v="65"/>
      <x/>
      <x v="8"/>
      <x v="3"/>
    </i>
    <i>
      <x v="140"/>
      <x v="49"/>
      <x/>
      <x v="8"/>
      <x v="3"/>
    </i>
    <i>
      <x v="141"/>
      <x v="41"/>
      <x/>
      <x v="8"/>
      <x v="3"/>
    </i>
    <i>
      <x v="143"/>
      <x v="46"/>
      <x/>
      <x v="8"/>
      <x v="3"/>
    </i>
    <i>
      <x v="144"/>
      <x v="76"/>
      <x/>
      <x v="8"/>
      <x v="3"/>
    </i>
    <i>
      <x v="145"/>
      <x v="145"/>
      <x v="2"/>
      <x v="8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# of Paid License Holder" fld="27" baseField="0" baseItem="0"/>
    <dataField name="Sum of TOTAL Cost" fld="2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773B-2AC0-4715-9B58-5F88040DDE1D}">
  <sheetPr>
    <tabColor theme="3" tint="0.89999084444715716"/>
  </sheetPr>
  <dimension ref="A2:E145"/>
  <sheetViews>
    <sheetView tabSelected="1" zoomScale="80" zoomScaleNormal="80" workbookViewId="0">
      <pane ySplit="3" topLeftCell="A106" activePane="bottomLeft" state="frozen"/>
      <selection pane="bottomLeft" activeCell="E143" sqref="E143"/>
    </sheetView>
  </sheetViews>
  <sheetFormatPr defaultRowHeight="15" x14ac:dyDescent="0.25"/>
  <cols>
    <col min="1" max="1" width="21.42578125" customWidth="1"/>
    <col min="2" max="2" width="67" bestFit="1" customWidth="1"/>
    <col min="3" max="3" width="30" bestFit="1" customWidth="1"/>
    <col min="4" max="7" width="18.28515625" bestFit="1" customWidth="1"/>
  </cols>
  <sheetData>
    <row r="2" spans="1:4" ht="30" x14ac:dyDescent="0.25">
      <c r="D2" s="14" t="s">
        <v>5795</v>
      </c>
    </row>
    <row r="3" spans="1:4" x14ac:dyDescent="0.25">
      <c r="A3" s="11" t="s">
        <v>5574</v>
      </c>
      <c r="B3" s="11" t="s">
        <v>5575</v>
      </c>
      <c r="C3" t="s">
        <v>5793</v>
      </c>
      <c r="D3" t="s">
        <v>5790</v>
      </c>
    </row>
    <row r="4" spans="1:4" x14ac:dyDescent="0.25">
      <c r="A4" t="s">
        <v>5584</v>
      </c>
      <c r="B4" t="s">
        <v>63</v>
      </c>
      <c r="C4" s="12">
        <v>13</v>
      </c>
      <c r="D4" s="7">
        <v>175.06333333333333</v>
      </c>
    </row>
    <row r="5" spans="1:4" x14ac:dyDescent="0.25">
      <c r="A5" t="s">
        <v>5606</v>
      </c>
      <c r="B5" t="s">
        <v>166</v>
      </c>
      <c r="C5" s="12">
        <v>11</v>
      </c>
      <c r="D5" s="7">
        <v>152.03166666666667</v>
      </c>
    </row>
    <row r="6" spans="1:4" x14ac:dyDescent="0.25">
      <c r="A6" t="s">
        <v>5655</v>
      </c>
      <c r="B6" t="s">
        <v>575</v>
      </c>
      <c r="C6" s="12">
        <v>2</v>
      </c>
      <c r="D6" s="7">
        <v>23.031666666666666</v>
      </c>
    </row>
    <row r="7" spans="1:4" x14ac:dyDescent="0.25">
      <c r="A7" t="s">
        <v>5609</v>
      </c>
      <c r="B7" t="s">
        <v>181</v>
      </c>
      <c r="C7" s="12">
        <v>22</v>
      </c>
      <c r="D7" s="7">
        <v>287.15833333333336</v>
      </c>
    </row>
    <row r="8" spans="1:4" x14ac:dyDescent="0.25">
      <c r="A8" t="s">
        <v>5664</v>
      </c>
      <c r="B8" t="s">
        <v>747</v>
      </c>
      <c r="C8" s="12">
        <v>2</v>
      </c>
      <c r="D8" s="7">
        <v>17.396666666666665</v>
      </c>
    </row>
    <row r="9" spans="1:4" x14ac:dyDescent="0.25">
      <c r="A9" t="s">
        <v>5665</v>
      </c>
      <c r="B9" t="s">
        <v>803</v>
      </c>
      <c r="C9" s="12">
        <v>8</v>
      </c>
      <c r="D9" s="7">
        <v>109.03166666666667</v>
      </c>
    </row>
    <row r="10" spans="1:4" x14ac:dyDescent="0.25">
      <c r="A10" t="s">
        <v>5642</v>
      </c>
      <c r="B10" t="s">
        <v>484</v>
      </c>
      <c r="C10" s="12">
        <v>6</v>
      </c>
      <c r="D10" s="7">
        <v>86</v>
      </c>
    </row>
    <row r="11" spans="1:4" x14ac:dyDescent="0.25">
      <c r="A11" t="s">
        <v>5694</v>
      </c>
      <c r="B11" t="s">
        <v>755</v>
      </c>
      <c r="C11" s="12">
        <v>3</v>
      </c>
      <c r="D11" s="7">
        <v>37.365000000000002</v>
      </c>
    </row>
    <row r="12" spans="1:4" x14ac:dyDescent="0.25">
      <c r="A12" t="s">
        <v>5717</v>
      </c>
      <c r="B12" t="s">
        <v>2801</v>
      </c>
      <c r="C12" s="12">
        <v>2</v>
      </c>
      <c r="D12" s="7">
        <v>28.666666666666668</v>
      </c>
    </row>
    <row r="13" spans="1:4" x14ac:dyDescent="0.25">
      <c r="A13" t="s">
        <v>5625</v>
      </c>
      <c r="B13" t="s">
        <v>317</v>
      </c>
      <c r="C13" s="12">
        <v>10</v>
      </c>
      <c r="D13" s="7">
        <v>143.33333333333334</v>
      </c>
    </row>
    <row r="14" spans="1:4" x14ac:dyDescent="0.25">
      <c r="A14" t="s">
        <v>5786</v>
      </c>
      <c r="B14" t="s">
        <v>683</v>
      </c>
      <c r="C14" s="12">
        <v>1</v>
      </c>
      <c r="D14" s="7">
        <v>14.333333333333334</v>
      </c>
    </row>
    <row r="15" spans="1:4" x14ac:dyDescent="0.25">
      <c r="A15" t="s">
        <v>5595</v>
      </c>
      <c r="B15" t="s">
        <v>108</v>
      </c>
      <c r="C15" s="12">
        <v>11</v>
      </c>
      <c r="D15" s="7">
        <v>135.12666666666667</v>
      </c>
    </row>
    <row r="16" spans="1:4" x14ac:dyDescent="0.25">
      <c r="A16" t="s">
        <v>5585</v>
      </c>
      <c r="B16" t="s">
        <v>68</v>
      </c>
      <c r="C16" s="12">
        <v>3</v>
      </c>
      <c r="D16" s="7">
        <v>43</v>
      </c>
    </row>
    <row r="17" spans="1:4" x14ac:dyDescent="0.25">
      <c r="A17" t="s">
        <v>5590</v>
      </c>
      <c r="B17" t="s">
        <v>85</v>
      </c>
      <c r="C17" s="12">
        <v>4</v>
      </c>
      <c r="D17" s="7">
        <v>51.698333333333338</v>
      </c>
    </row>
    <row r="18" spans="1:4" x14ac:dyDescent="0.25">
      <c r="A18" t="s">
        <v>5701</v>
      </c>
      <c r="B18" t="s">
        <v>1013</v>
      </c>
      <c r="C18" s="12">
        <v>10</v>
      </c>
      <c r="D18" s="7">
        <v>126.42833333333334</v>
      </c>
    </row>
    <row r="19" spans="1:4" x14ac:dyDescent="0.25">
      <c r="A19" t="s">
        <v>5754</v>
      </c>
      <c r="B19" t="s">
        <v>3684</v>
      </c>
      <c r="C19" s="12">
        <v>1</v>
      </c>
      <c r="D19" s="7">
        <v>8.6983333333333324</v>
      </c>
    </row>
    <row r="20" spans="1:4" x14ac:dyDescent="0.25">
      <c r="A20" t="s">
        <v>5726</v>
      </c>
      <c r="B20" t="s">
        <v>2145</v>
      </c>
      <c r="C20" s="12">
        <v>4</v>
      </c>
      <c r="D20" s="7">
        <v>51.698333333333331</v>
      </c>
    </row>
    <row r="21" spans="1:4" x14ac:dyDescent="0.25">
      <c r="A21" t="s">
        <v>5723</v>
      </c>
      <c r="B21" t="s">
        <v>2124</v>
      </c>
      <c r="C21" s="12">
        <v>9</v>
      </c>
      <c r="D21" s="7">
        <v>129</v>
      </c>
    </row>
    <row r="22" spans="1:4" x14ac:dyDescent="0.25">
      <c r="A22" t="s">
        <v>5653</v>
      </c>
      <c r="B22" t="s">
        <v>5654</v>
      </c>
      <c r="C22" s="12">
        <v>11</v>
      </c>
      <c r="D22" s="7">
        <v>146.39666666666665</v>
      </c>
    </row>
    <row r="23" spans="1:4" x14ac:dyDescent="0.25">
      <c r="A23" t="s">
        <v>5731</v>
      </c>
      <c r="B23" t="s">
        <v>5732</v>
      </c>
      <c r="C23" s="12">
        <v>3</v>
      </c>
      <c r="D23" s="7">
        <v>37.365000000000002</v>
      </c>
    </row>
    <row r="24" spans="1:4" x14ac:dyDescent="0.25">
      <c r="A24" t="s">
        <v>5604</v>
      </c>
      <c r="B24" t="s">
        <v>5605</v>
      </c>
      <c r="C24" s="12">
        <v>2</v>
      </c>
      <c r="D24" s="7">
        <v>28.666666666666668</v>
      </c>
    </row>
    <row r="25" spans="1:4" x14ac:dyDescent="0.25">
      <c r="A25" t="s">
        <v>5702</v>
      </c>
      <c r="B25" t="s">
        <v>2507</v>
      </c>
      <c r="C25" s="12">
        <v>8</v>
      </c>
      <c r="D25" s="7">
        <v>80.856666666666669</v>
      </c>
    </row>
    <row r="26" spans="1:4" x14ac:dyDescent="0.25">
      <c r="A26" t="s">
        <v>5679</v>
      </c>
      <c r="B26" t="s">
        <v>1061</v>
      </c>
      <c r="C26" s="12">
        <v>13</v>
      </c>
      <c r="D26" s="7">
        <v>186.33333333333337</v>
      </c>
    </row>
    <row r="27" spans="1:4" x14ac:dyDescent="0.25">
      <c r="A27" t="s">
        <v>5735</v>
      </c>
      <c r="B27" t="s">
        <v>571</v>
      </c>
      <c r="C27" s="12">
        <v>1</v>
      </c>
      <c r="D27" s="7">
        <v>14.333333333333334</v>
      </c>
    </row>
    <row r="28" spans="1:4" x14ac:dyDescent="0.25">
      <c r="A28" t="s">
        <v>5785</v>
      </c>
      <c r="B28" t="s">
        <v>2439</v>
      </c>
      <c r="C28" s="12">
        <v>1</v>
      </c>
      <c r="D28" s="7">
        <v>8.6983333333333324</v>
      </c>
    </row>
    <row r="29" spans="1:4" x14ac:dyDescent="0.25">
      <c r="A29" t="s">
        <v>5718</v>
      </c>
      <c r="B29" t="s">
        <v>1981</v>
      </c>
      <c r="C29" s="12">
        <v>2</v>
      </c>
      <c r="D29" s="7">
        <v>28.666666666666668</v>
      </c>
    </row>
    <row r="30" spans="1:4" x14ac:dyDescent="0.25">
      <c r="A30" t="s">
        <v>5624</v>
      </c>
      <c r="B30" t="s">
        <v>292</v>
      </c>
      <c r="C30" s="12">
        <v>10</v>
      </c>
      <c r="D30" s="7">
        <v>115.15833333333332</v>
      </c>
    </row>
    <row r="31" spans="1:4" x14ac:dyDescent="0.25">
      <c r="A31" t="s">
        <v>5765</v>
      </c>
      <c r="B31" t="s">
        <v>3254</v>
      </c>
      <c r="C31" s="12">
        <v>1</v>
      </c>
      <c r="D31" s="7">
        <v>14.333333333333334</v>
      </c>
    </row>
    <row r="32" spans="1:4" x14ac:dyDescent="0.25">
      <c r="A32" t="s">
        <v>5703</v>
      </c>
      <c r="B32" t="s">
        <v>5704</v>
      </c>
      <c r="C32" s="12">
        <v>2</v>
      </c>
      <c r="D32" s="7">
        <v>23.031666666666666</v>
      </c>
    </row>
    <row r="33" spans="1:4" x14ac:dyDescent="0.25">
      <c r="A33" t="s">
        <v>5591</v>
      </c>
      <c r="B33" t="s">
        <v>90</v>
      </c>
      <c r="C33" s="12">
        <v>13</v>
      </c>
      <c r="D33" s="7">
        <v>175.06333333333336</v>
      </c>
    </row>
    <row r="34" spans="1:4" x14ac:dyDescent="0.25">
      <c r="A34" t="s">
        <v>5763</v>
      </c>
      <c r="B34" t="s">
        <v>5764</v>
      </c>
      <c r="C34" s="12">
        <v>1</v>
      </c>
      <c r="D34" s="7">
        <v>14.333333333333334</v>
      </c>
    </row>
    <row r="35" spans="1:4" x14ac:dyDescent="0.25">
      <c r="A35" t="s">
        <v>5617</v>
      </c>
      <c r="B35" t="s">
        <v>511</v>
      </c>
      <c r="C35" s="12">
        <v>21</v>
      </c>
      <c r="D35" s="7">
        <v>272.82500000000005</v>
      </c>
    </row>
    <row r="36" spans="1:4" x14ac:dyDescent="0.25">
      <c r="A36" t="s">
        <v>5787</v>
      </c>
      <c r="B36" t="s">
        <v>5026</v>
      </c>
      <c r="C36" s="12">
        <v>1</v>
      </c>
      <c r="D36" s="7">
        <v>8.6983333333333324</v>
      </c>
    </row>
    <row r="37" spans="1:4" x14ac:dyDescent="0.25">
      <c r="A37" t="s">
        <v>5661</v>
      </c>
      <c r="B37" t="s">
        <v>246</v>
      </c>
      <c r="C37" s="12">
        <v>47</v>
      </c>
      <c r="D37" s="7">
        <v>634.22166666666681</v>
      </c>
    </row>
    <row r="38" spans="1:4" x14ac:dyDescent="0.25">
      <c r="A38" t="s">
        <v>5698</v>
      </c>
      <c r="B38" t="s">
        <v>1389</v>
      </c>
      <c r="C38" s="12">
        <v>5</v>
      </c>
      <c r="D38" s="7">
        <v>129.96708333333333</v>
      </c>
    </row>
    <row r="39" spans="1:4" x14ac:dyDescent="0.25">
      <c r="A39" t="s">
        <v>5706</v>
      </c>
      <c r="B39" t="s">
        <v>1586</v>
      </c>
      <c r="C39" s="12">
        <v>1</v>
      </c>
      <c r="D39" s="7">
        <v>14.333333333333334</v>
      </c>
    </row>
    <row r="40" spans="1:4" x14ac:dyDescent="0.25">
      <c r="A40" t="s">
        <v>5766</v>
      </c>
      <c r="B40" t="s">
        <v>4159</v>
      </c>
      <c r="C40" s="12">
        <v>9</v>
      </c>
      <c r="D40" s="7">
        <v>78.284999999999997</v>
      </c>
    </row>
    <row r="41" spans="1:4" x14ac:dyDescent="0.25">
      <c r="A41" t="s">
        <v>5728</v>
      </c>
      <c r="B41" t="s">
        <v>861</v>
      </c>
      <c r="C41" s="12">
        <v>13</v>
      </c>
      <c r="D41" s="7">
        <v>175.06333333333333</v>
      </c>
    </row>
    <row r="42" spans="1:4" x14ac:dyDescent="0.25">
      <c r="A42" t="s">
        <v>5660</v>
      </c>
      <c r="B42" t="s">
        <v>638</v>
      </c>
      <c r="C42" s="12">
        <v>3</v>
      </c>
      <c r="D42" s="7">
        <v>43</v>
      </c>
    </row>
    <row r="43" spans="1:4" x14ac:dyDescent="0.25">
      <c r="A43" t="s">
        <v>5695</v>
      </c>
      <c r="B43" t="s">
        <v>601</v>
      </c>
      <c r="C43" s="12">
        <v>9</v>
      </c>
      <c r="D43" s="7">
        <v>117.73</v>
      </c>
    </row>
    <row r="44" spans="1:4" x14ac:dyDescent="0.25">
      <c r="A44" t="s">
        <v>5643</v>
      </c>
      <c r="B44" t="s">
        <v>5644</v>
      </c>
      <c r="C44" s="12">
        <v>5</v>
      </c>
      <c r="D44" s="7">
        <v>71.666666666666671</v>
      </c>
    </row>
    <row r="45" spans="1:4" x14ac:dyDescent="0.25">
      <c r="A45" t="s">
        <v>5783</v>
      </c>
      <c r="B45" t="s">
        <v>5784</v>
      </c>
      <c r="C45" s="12">
        <v>1</v>
      </c>
      <c r="D45" s="7">
        <v>14.333333333333334</v>
      </c>
    </row>
    <row r="46" spans="1:4" x14ac:dyDescent="0.25">
      <c r="A46" t="s">
        <v>5636</v>
      </c>
      <c r="B46" t="s">
        <v>5637</v>
      </c>
      <c r="C46" s="12">
        <v>3</v>
      </c>
      <c r="D46" s="7">
        <v>37.365000000000002</v>
      </c>
    </row>
    <row r="47" spans="1:4" x14ac:dyDescent="0.25">
      <c r="A47" t="s">
        <v>5578</v>
      </c>
      <c r="B47" t="s">
        <v>5579</v>
      </c>
      <c r="C47" s="12">
        <v>22</v>
      </c>
      <c r="D47" s="7">
        <v>368.88249999999994</v>
      </c>
    </row>
    <row r="48" spans="1:4" x14ac:dyDescent="0.25">
      <c r="A48" t="s">
        <v>5618</v>
      </c>
      <c r="B48" t="s">
        <v>5619</v>
      </c>
      <c r="C48" s="12">
        <v>1</v>
      </c>
      <c r="D48" s="7">
        <v>14.333333333333334</v>
      </c>
    </row>
    <row r="49" spans="1:4" x14ac:dyDescent="0.25">
      <c r="A49" t="s">
        <v>5586</v>
      </c>
      <c r="B49" t="s">
        <v>5587</v>
      </c>
      <c r="C49" s="12">
        <v>19</v>
      </c>
      <c r="D49" s="7">
        <v>264.12666666666667</v>
      </c>
    </row>
    <row r="50" spans="1:4" x14ac:dyDescent="0.25">
      <c r="A50" t="s">
        <v>5757</v>
      </c>
      <c r="B50" t="s">
        <v>5758</v>
      </c>
      <c r="C50" s="12">
        <v>1</v>
      </c>
      <c r="D50" s="7">
        <v>14.333333333333334</v>
      </c>
    </row>
    <row r="51" spans="1:4" x14ac:dyDescent="0.25">
      <c r="A51" t="s">
        <v>5596</v>
      </c>
      <c r="B51" t="s">
        <v>5597</v>
      </c>
      <c r="C51" s="12">
        <v>1</v>
      </c>
      <c r="D51" s="7">
        <v>14.333333333333334</v>
      </c>
    </row>
    <row r="52" spans="1:4" x14ac:dyDescent="0.25">
      <c r="A52" t="s">
        <v>5640</v>
      </c>
      <c r="B52" t="s">
        <v>5641</v>
      </c>
      <c r="C52" s="12">
        <v>23</v>
      </c>
      <c r="D52" s="7">
        <v>307.12666666666667</v>
      </c>
    </row>
    <row r="53" spans="1:4" x14ac:dyDescent="0.25">
      <c r="A53" t="s">
        <v>5588</v>
      </c>
      <c r="B53" t="s">
        <v>5589</v>
      </c>
      <c r="C53" s="12">
        <v>2</v>
      </c>
      <c r="D53" s="7">
        <v>28.666666666666668</v>
      </c>
    </row>
    <row r="54" spans="1:4" x14ac:dyDescent="0.25">
      <c r="A54" t="s">
        <v>5692</v>
      </c>
      <c r="B54" t="s">
        <v>5693</v>
      </c>
      <c r="C54" s="12">
        <v>12</v>
      </c>
      <c r="D54" s="7">
        <v>155.095</v>
      </c>
    </row>
    <row r="55" spans="1:4" x14ac:dyDescent="0.25">
      <c r="A55" t="s">
        <v>5592</v>
      </c>
      <c r="B55" t="s">
        <v>97</v>
      </c>
      <c r="C55" s="12">
        <v>12</v>
      </c>
      <c r="D55" s="7">
        <v>211.73166666666663</v>
      </c>
    </row>
    <row r="56" spans="1:4" x14ac:dyDescent="0.25">
      <c r="A56" t="s">
        <v>5789</v>
      </c>
      <c r="B56" t="s">
        <v>4057</v>
      </c>
      <c r="C56" s="12">
        <v>1</v>
      </c>
      <c r="D56" s="7">
        <v>14.333333333333334</v>
      </c>
    </row>
    <row r="57" spans="1:4" x14ac:dyDescent="0.25">
      <c r="A57" t="s">
        <v>5615</v>
      </c>
      <c r="B57" t="s">
        <v>5616</v>
      </c>
      <c r="C57" s="12">
        <v>7</v>
      </c>
      <c r="D57" s="7">
        <v>89.063333333333333</v>
      </c>
    </row>
    <row r="58" spans="1:4" x14ac:dyDescent="0.25">
      <c r="A58" t="s">
        <v>5690</v>
      </c>
      <c r="B58" t="s">
        <v>5691</v>
      </c>
      <c r="C58" s="12">
        <v>2</v>
      </c>
      <c r="D58" s="7">
        <v>28.666666666666668</v>
      </c>
    </row>
    <row r="59" spans="1:4" x14ac:dyDescent="0.25">
      <c r="A59" t="s">
        <v>5721</v>
      </c>
      <c r="B59" t="s">
        <v>5722</v>
      </c>
      <c r="C59" s="12">
        <v>16</v>
      </c>
      <c r="D59" s="7">
        <v>229.3333333333334</v>
      </c>
    </row>
    <row r="60" spans="1:4" x14ac:dyDescent="0.25">
      <c r="A60" t="s">
        <v>5623</v>
      </c>
      <c r="B60" t="s">
        <v>287</v>
      </c>
      <c r="C60" s="12">
        <v>6</v>
      </c>
      <c r="D60" s="7">
        <v>74.73</v>
      </c>
    </row>
    <row r="61" spans="1:4" x14ac:dyDescent="0.25">
      <c r="A61" t="s">
        <v>5635</v>
      </c>
      <c r="B61" t="s">
        <v>415</v>
      </c>
      <c r="C61" s="12">
        <v>8</v>
      </c>
      <c r="D61" s="7">
        <v>97.761666666666656</v>
      </c>
    </row>
    <row r="62" spans="1:4" x14ac:dyDescent="0.25">
      <c r="A62" t="s">
        <v>5659</v>
      </c>
      <c r="B62" t="s">
        <v>620</v>
      </c>
      <c r="C62" s="12">
        <v>9</v>
      </c>
      <c r="D62" s="7">
        <v>129</v>
      </c>
    </row>
    <row r="63" spans="1:4" x14ac:dyDescent="0.25">
      <c r="A63" t="s">
        <v>5645</v>
      </c>
      <c r="B63" t="s">
        <v>507</v>
      </c>
      <c r="C63" s="12">
        <v>5</v>
      </c>
      <c r="D63" s="7">
        <v>71.666666666666671</v>
      </c>
    </row>
    <row r="64" spans="1:4" x14ac:dyDescent="0.25">
      <c r="A64" t="s">
        <v>5576</v>
      </c>
      <c r="B64" t="s">
        <v>5577</v>
      </c>
      <c r="C64" s="12">
        <v>4</v>
      </c>
      <c r="D64" s="7">
        <v>51.698333333333338</v>
      </c>
    </row>
    <row r="65" spans="1:4" x14ac:dyDescent="0.25">
      <c r="A65" t="s">
        <v>5688</v>
      </c>
      <c r="B65" t="s">
        <v>1152</v>
      </c>
      <c r="C65" s="12">
        <v>7</v>
      </c>
      <c r="D65" s="7">
        <v>100.33333333333333</v>
      </c>
    </row>
    <row r="66" spans="1:4" x14ac:dyDescent="0.25">
      <c r="A66" t="s">
        <v>5751</v>
      </c>
      <c r="B66" t="s">
        <v>3542</v>
      </c>
      <c r="C66" s="12">
        <v>1</v>
      </c>
      <c r="D66" s="7">
        <v>8.6983333333333324</v>
      </c>
    </row>
    <row r="67" spans="1:4" x14ac:dyDescent="0.25">
      <c r="A67" t="s">
        <v>5755</v>
      </c>
      <c r="B67" t="s">
        <v>3816</v>
      </c>
      <c r="C67" s="12">
        <v>1</v>
      </c>
      <c r="D67" s="7">
        <v>14.333333333333334</v>
      </c>
    </row>
    <row r="68" spans="1:4" x14ac:dyDescent="0.25">
      <c r="A68" t="s">
        <v>5689</v>
      </c>
      <c r="B68" t="s">
        <v>148</v>
      </c>
      <c r="C68" s="12">
        <v>7</v>
      </c>
      <c r="D68" s="7">
        <v>297.21333333333331</v>
      </c>
    </row>
    <row r="69" spans="1:4" x14ac:dyDescent="0.25">
      <c r="A69" t="s">
        <v>5682</v>
      </c>
      <c r="B69" t="s">
        <v>517</v>
      </c>
      <c r="C69" s="12">
        <v>7</v>
      </c>
      <c r="D69" s="7">
        <v>89.063333333333333</v>
      </c>
    </row>
    <row r="70" spans="1:4" x14ac:dyDescent="0.25">
      <c r="A70" t="s">
        <v>5634</v>
      </c>
      <c r="B70" t="s">
        <v>207</v>
      </c>
      <c r="C70" s="12">
        <v>7</v>
      </c>
      <c r="D70" s="7">
        <v>83.428333333333342</v>
      </c>
    </row>
    <row r="71" spans="1:4" x14ac:dyDescent="0.25">
      <c r="A71" t="s">
        <v>5670</v>
      </c>
      <c r="B71" t="s">
        <v>5671</v>
      </c>
      <c r="C71" s="12">
        <v>2</v>
      </c>
      <c r="D71" s="7">
        <v>17.396666666666665</v>
      </c>
    </row>
    <row r="72" spans="1:4" x14ac:dyDescent="0.25">
      <c r="A72" t="s">
        <v>5719</v>
      </c>
      <c r="B72" t="s">
        <v>5720</v>
      </c>
      <c r="C72" s="12">
        <v>1</v>
      </c>
      <c r="D72" s="7">
        <v>14.333333333333334</v>
      </c>
    </row>
    <row r="73" spans="1:4" x14ac:dyDescent="0.25">
      <c r="A73" t="s">
        <v>5607</v>
      </c>
      <c r="B73" t="s">
        <v>5608</v>
      </c>
      <c r="C73" s="12">
        <v>4</v>
      </c>
      <c r="D73" s="7">
        <v>57.333333333333336</v>
      </c>
    </row>
    <row r="74" spans="1:4" x14ac:dyDescent="0.25">
      <c r="A74" t="s">
        <v>5652</v>
      </c>
      <c r="B74" t="s">
        <v>565</v>
      </c>
      <c r="C74" s="12">
        <v>6</v>
      </c>
      <c r="D74" s="7">
        <v>108.26083333333332</v>
      </c>
    </row>
    <row r="75" spans="1:4" x14ac:dyDescent="0.25">
      <c r="A75" t="s">
        <v>5614</v>
      </c>
      <c r="B75" t="s">
        <v>1184</v>
      </c>
      <c r="C75" s="12">
        <v>7</v>
      </c>
      <c r="D75" s="7">
        <v>89.063333333333333</v>
      </c>
    </row>
    <row r="76" spans="1:4" x14ac:dyDescent="0.25">
      <c r="A76" t="s">
        <v>5685</v>
      </c>
      <c r="B76" t="s">
        <v>1115</v>
      </c>
      <c r="C76" s="12">
        <v>5</v>
      </c>
      <c r="D76" s="7">
        <v>60.396666666666668</v>
      </c>
    </row>
    <row r="77" spans="1:4" x14ac:dyDescent="0.25">
      <c r="A77" t="s">
        <v>5736</v>
      </c>
      <c r="B77" t="s">
        <v>1441</v>
      </c>
      <c r="C77" s="12">
        <v>1</v>
      </c>
      <c r="D77" s="7">
        <v>14.333333333333334</v>
      </c>
    </row>
    <row r="78" spans="1:4" x14ac:dyDescent="0.25">
      <c r="A78" t="s">
        <v>5788</v>
      </c>
      <c r="B78" t="s">
        <v>5061</v>
      </c>
      <c r="C78" s="12">
        <v>1</v>
      </c>
      <c r="D78" s="7">
        <v>14.333333333333334</v>
      </c>
    </row>
    <row r="79" spans="1:4" x14ac:dyDescent="0.25">
      <c r="A79" t="s">
        <v>5714</v>
      </c>
      <c r="B79" t="s">
        <v>370</v>
      </c>
      <c r="C79" s="12">
        <v>1</v>
      </c>
      <c r="D79" s="7">
        <v>14.333333333333334</v>
      </c>
    </row>
    <row r="80" spans="1:4" x14ac:dyDescent="0.25">
      <c r="A80" t="s">
        <v>5626</v>
      </c>
      <c r="B80" t="s">
        <v>5627</v>
      </c>
      <c r="C80" s="12">
        <v>1</v>
      </c>
      <c r="D80" s="7">
        <v>8.6983333333333324</v>
      </c>
    </row>
    <row r="81" spans="1:4" x14ac:dyDescent="0.25">
      <c r="A81" t="s">
        <v>5739</v>
      </c>
      <c r="B81" t="s">
        <v>5740</v>
      </c>
      <c r="C81" s="12">
        <v>1</v>
      </c>
      <c r="D81" s="7">
        <v>14.333333333333334</v>
      </c>
    </row>
    <row r="82" spans="1:4" x14ac:dyDescent="0.25">
      <c r="A82" t="s">
        <v>5708</v>
      </c>
      <c r="B82" t="s">
        <v>5709</v>
      </c>
      <c r="C82" s="12">
        <v>85</v>
      </c>
      <c r="D82" s="7">
        <v>1133.8083333333338</v>
      </c>
    </row>
    <row r="83" spans="1:4" x14ac:dyDescent="0.25">
      <c r="A83" t="s">
        <v>5777</v>
      </c>
      <c r="B83" t="s">
        <v>5778</v>
      </c>
      <c r="C83" s="12">
        <v>1</v>
      </c>
      <c r="D83" s="7">
        <v>14.333333333333334</v>
      </c>
    </row>
    <row r="84" spans="1:4" x14ac:dyDescent="0.25">
      <c r="A84" t="s">
        <v>5773</v>
      </c>
      <c r="B84" t="s">
        <v>5774</v>
      </c>
      <c r="C84" s="12">
        <v>1</v>
      </c>
      <c r="D84" s="7">
        <v>14.333333333333334</v>
      </c>
    </row>
    <row r="85" spans="1:4" x14ac:dyDescent="0.25">
      <c r="A85" t="s">
        <v>5599</v>
      </c>
      <c r="B85" t="s">
        <v>129</v>
      </c>
      <c r="C85" s="12">
        <v>3</v>
      </c>
      <c r="D85" s="7">
        <v>43</v>
      </c>
    </row>
    <row r="86" spans="1:4" x14ac:dyDescent="0.25">
      <c r="A86" t="s">
        <v>5621</v>
      </c>
      <c r="B86" t="s">
        <v>5622</v>
      </c>
      <c r="C86" s="12">
        <v>25</v>
      </c>
      <c r="D86" s="7">
        <v>324.52333333333331</v>
      </c>
    </row>
    <row r="87" spans="1:4" x14ac:dyDescent="0.25">
      <c r="A87" t="s">
        <v>5779</v>
      </c>
      <c r="B87" t="s">
        <v>5780</v>
      </c>
      <c r="C87" s="12">
        <v>2</v>
      </c>
      <c r="D87" s="7">
        <v>28.666666666666668</v>
      </c>
    </row>
    <row r="88" spans="1:4" x14ac:dyDescent="0.25">
      <c r="A88" t="s">
        <v>5683</v>
      </c>
      <c r="B88" t="s">
        <v>5684</v>
      </c>
      <c r="C88" s="12">
        <v>12</v>
      </c>
      <c r="D88" s="7">
        <v>160.72999999999999</v>
      </c>
    </row>
    <row r="89" spans="1:4" x14ac:dyDescent="0.25">
      <c r="A89" t="s">
        <v>5696</v>
      </c>
      <c r="B89" t="s">
        <v>5697</v>
      </c>
      <c r="C89" s="12">
        <v>8</v>
      </c>
      <c r="D89" s="7">
        <v>103.39666666666668</v>
      </c>
    </row>
    <row r="90" spans="1:4" x14ac:dyDescent="0.25">
      <c r="A90" t="s">
        <v>5727</v>
      </c>
      <c r="B90" t="s">
        <v>2312</v>
      </c>
      <c r="C90" s="12">
        <v>4</v>
      </c>
      <c r="D90" s="7">
        <v>57.333333333333336</v>
      </c>
    </row>
    <row r="91" spans="1:4" x14ac:dyDescent="0.25">
      <c r="A91" t="s">
        <v>5598</v>
      </c>
      <c r="B91" t="s">
        <v>119</v>
      </c>
      <c r="C91" s="12">
        <v>17</v>
      </c>
      <c r="D91" s="7">
        <v>380.84291666666655</v>
      </c>
    </row>
    <row r="92" spans="1:4" x14ac:dyDescent="0.25">
      <c r="A92" t="s">
        <v>5668</v>
      </c>
      <c r="B92" t="s">
        <v>5669</v>
      </c>
      <c r="C92" s="12">
        <v>4</v>
      </c>
      <c r="D92" s="7">
        <v>51.698333333333331</v>
      </c>
    </row>
    <row r="93" spans="1:4" x14ac:dyDescent="0.25">
      <c r="A93" t="s">
        <v>5582</v>
      </c>
      <c r="B93" t="s">
        <v>5583</v>
      </c>
      <c r="C93" s="12">
        <v>59</v>
      </c>
      <c r="D93" s="7">
        <v>771.89583333333394</v>
      </c>
    </row>
    <row r="94" spans="1:4" x14ac:dyDescent="0.25">
      <c r="A94" t="s">
        <v>5656</v>
      </c>
      <c r="B94" t="s">
        <v>1331</v>
      </c>
      <c r="C94" s="12">
        <v>12</v>
      </c>
      <c r="D94" s="7">
        <v>166.36500000000001</v>
      </c>
    </row>
    <row r="95" spans="1:4" x14ac:dyDescent="0.25">
      <c r="A95" t="s">
        <v>5657</v>
      </c>
      <c r="B95" t="s">
        <v>5658</v>
      </c>
      <c r="C95" s="12">
        <v>2</v>
      </c>
      <c r="D95" s="7">
        <v>28.666666666666668</v>
      </c>
    </row>
    <row r="96" spans="1:4" x14ac:dyDescent="0.25">
      <c r="A96" t="s">
        <v>5733</v>
      </c>
      <c r="B96" t="s">
        <v>5734</v>
      </c>
      <c r="C96" s="12">
        <v>1</v>
      </c>
      <c r="D96" s="7">
        <v>8.6983333333333324</v>
      </c>
    </row>
    <row r="97" spans="1:4" x14ac:dyDescent="0.25">
      <c r="A97" t="s">
        <v>5602</v>
      </c>
      <c r="B97" t="s">
        <v>5603</v>
      </c>
      <c r="C97" s="12">
        <v>13</v>
      </c>
      <c r="D97" s="7">
        <v>313.82291666666663</v>
      </c>
    </row>
    <row r="98" spans="1:4" x14ac:dyDescent="0.25">
      <c r="A98" t="s">
        <v>5761</v>
      </c>
      <c r="B98" t="s">
        <v>5762</v>
      </c>
      <c r="C98" s="12">
        <v>2</v>
      </c>
      <c r="D98" s="7">
        <v>28.666666666666668</v>
      </c>
    </row>
    <row r="99" spans="1:4" x14ac:dyDescent="0.25">
      <c r="A99" t="s">
        <v>5600</v>
      </c>
      <c r="B99" t="s">
        <v>5601</v>
      </c>
      <c r="C99" s="12">
        <v>6</v>
      </c>
      <c r="D99" s="7">
        <v>86</v>
      </c>
    </row>
    <row r="100" spans="1:4" x14ac:dyDescent="0.25">
      <c r="A100" t="s">
        <v>5632</v>
      </c>
      <c r="B100" t="s">
        <v>5633</v>
      </c>
      <c r="C100" s="12">
        <v>4</v>
      </c>
      <c r="D100" s="7">
        <v>181.7595833333333</v>
      </c>
    </row>
    <row r="101" spans="1:4" x14ac:dyDescent="0.25">
      <c r="A101" t="s">
        <v>5673</v>
      </c>
      <c r="B101" t="s">
        <v>5674</v>
      </c>
      <c r="C101" s="12">
        <v>4</v>
      </c>
      <c r="D101" s="7">
        <v>78.979166666666657</v>
      </c>
    </row>
    <row r="102" spans="1:4" x14ac:dyDescent="0.25">
      <c r="A102" t="s">
        <v>5710</v>
      </c>
      <c r="B102" t="s">
        <v>5711</v>
      </c>
      <c r="C102" s="12">
        <v>2</v>
      </c>
      <c r="D102" s="7">
        <v>28.666666666666668</v>
      </c>
    </row>
    <row r="103" spans="1:4" x14ac:dyDescent="0.25">
      <c r="A103" t="s">
        <v>5699</v>
      </c>
      <c r="B103" t="s">
        <v>5700</v>
      </c>
      <c r="C103" s="12">
        <v>5</v>
      </c>
      <c r="D103" s="7">
        <v>60.396666666666668</v>
      </c>
    </row>
    <row r="104" spans="1:4" x14ac:dyDescent="0.25">
      <c r="A104" t="s">
        <v>5630</v>
      </c>
      <c r="B104" t="s">
        <v>5631</v>
      </c>
      <c r="C104" s="12">
        <v>21</v>
      </c>
      <c r="D104" s="7">
        <v>461.07416666666654</v>
      </c>
    </row>
    <row r="105" spans="1:4" x14ac:dyDescent="0.25">
      <c r="A105" t="s">
        <v>5638</v>
      </c>
      <c r="B105" t="s">
        <v>5639</v>
      </c>
      <c r="C105" s="12">
        <v>1</v>
      </c>
      <c r="D105" s="7">
        <v>14.333333333333334</v>
      </c>
    </row>
    <row r="106" spans="1:4" x14ac:dyDescent="0.25">
      <c r="A106" t="s">
        <v>5667</v>
      </c>
      <c r="B106" t="s">
        <v>808</v>
      </c>
      <c r="C106" s="12">
        <v>4</v>
      </c>
      <c r="D106" s="7">
        <v>66.031666666666666</v>
      </c>
    </row>
    <row r="107" spans="1:4" x14ac:dyDescent="0.25">
      <c r="A107" t="s">
        <v>5748</v>
      </c>
      <c r="B107" t="s">
        <v>4972</v>
      </c>
      <c r="C107" s="12">
        <v>4</v>
      </c>
      <c r="D107" s="7">
        <v>57.333333333333336</v>
      </c>
    </row>
    <row r="108" spans="1:4" x14ac:dyDescent="0.25">
      <c r="A108" t="s">
        <v>5666</v>
      </c>
      <c r="B108" t="s">
        <v>1923</v>
      </c>
      <c r="C108" s="12">
        <v>9</v>
      </c>
      <c r="D108" s="7">
        <v>117.73</v>
      </c>
    </row>
    <row r="109" spans="1:4" x14ac:dyDescent="0.25">
      <c r="A109" t="s">
        <v>5707</v>
      </c>
      <c r="B109" t="s">
        <v>2014</v>
      </c>
      <c r="C109" s="12">
        <v>7</v>
      </c>
      <c r="D109" s="7">
        <v>83.428333333333342</v>
      </c>
    </row>
    <row r="110" spans="1:4" x14ac:dyDescent="0.25">
      <c r="A110" t="s">
        <v>5610</v>
      </c>
      <c r="B110" t="s">
        <v>5611</v>
      </c>
      <c r="C110" s="12">
        <v>62</v>
      </c>
      <c r="D110" s="7">
        <v>883.03166666666743</v>
      </c>
    </row>
    <row r="111" spans="1:4" x14ac:dyDescent="0.25">
      <c r="A111" t="s">
        <v>5675</v>
      </c>
      <c r="B111" t="s">
        <v>5676</v>
      </c>
      <c r="C111" s="12">
        <v>3</v>
      </c>
      <c r="D111" s="7">
        <v>43</v>
      </c>
    </row>
    <row r="112" spans="1:4" x14ac:dyDescent="0.25">
      <c r="A112" t="s">
        <v>5749</v>
      </c>
      <c r="B112" t="s">
        <v>5750</v>
      </c>
      <c r="C112" s="12">
        <v>6</v>
      </c>
      <c r="D112" s="7">
        <v>86</v>
      </c>
    </row>
    <row r="113" spans="1:4" x14ac:dyDescent="0.25">
      <c r="A113" t="s">
        <v>5662</v>
      </c>
      <c r="B113" t="s">
        <v>5663</v>
      </c>
      <c r="C113" s="12">
        <v>1</v>
      </c>
      <c r="D113" s="7">
        <v>8.6983333333333324</v>
      </c>
    </row>
    <row r="114" spans="1:4" x14ac:dyDescent="0.25">
      <c r="A114" t="s">
        <v>5580</v>
      </c>
      <c r="B114" t="s">
        <v>5581</v>
      </c>
      <c r="C114" s="12">
        <v>30</v>
      </c>
      <c r="D114" s="7">
        <v>631.14833333333331</v>
      </c>
    </row>
    <row r="115" spans="1:4" x14ac:dyDescent="0.25">
      <c r="A115" t="s">
        <v>5759</v>
      </c>
      <c r="B115" t="s">
        <v>5760</v>
      </c>
      <c r="C115" s="12">
        <v>1</v>
      </c>
      <c r="D115" s="7">
        <v>14.333333333333334</v>
      </c>
    </row>
    <row r="116" spans="1:4" x14ac:dyDescent="0.25">
      <c r="A116" t="s">
        <v>5672</v>
      </c>
      <c r="B116" t="s">
        <v>2329</v>
      </c>
      <c r="C116" s="12">
        <v>10</v>
      </c>
      <c r="D116" s="7">
        <v>115.15833333333332</v>
      </c>
    </row>
    <row r="117" spans="1:4" x14ac:dyDescent="0.25">
      <c r="A117" t="s">
        <v>5620</v>
      </c>
      <c r="B117" t="s">
        <v>1230</v>
      </c>
      <c r="C117" s="12">
        <v>1</v>
      </c>
      <c r="D117" s="7">
        <v>14.333333333333334</v>
      </c>
    </row>
    <row r="118" spans="1:4" x14ac:dyDescent="0.25">
      <c r="A118" t="s">
        <v>5712</v>
      </c>
      <c r="B118" t="s">
        <v>5713</v>
      </c>
      <c r="C118" s="12">
        <v>4</v>
      </c>
      <c r="D118" s="7">
        <v>57.333333333333336</v>
      </c>
    </row>
    <row r="119" spans="1:4" x14ac:dyDescent="0.25">
      <c r="A119" t="s">
        <v>5650</v>
      </c>
      <c r="B119" t="s">
        <v>5651</v>
      </c>
      <c r="C119" s="12">
        <v>3</v>
      </c>
      <c r="D119" s="7">
        <v>37.365000000000002</v>
      </c>
    </row>
    <row r="120" spans="1:4" x14ac:dyDescent="0.25">
      <c r="A120" t="s">
        <v>5680</v>
      </c>
      <c r="B120" t="s">
        <v>5681</v>
      </c>
      <c r="C120" s="12">
        <v>7</v>
      </c>
      <c r="D120" s="7">
        <v>160.29458333333335</v>
      </c>
    </row>
    <row r="121" spans="1:4" x14ac:dyDescent="0.25">
      <c r="A121" t="s">
        <v>5612</v>
      </c>
      <c r="B121" t="s">
        <v>5613</v>
      </c>
      <c r="C121" s="12">
        <v>14</v>
      </c>
      <c r="D121" s="7">
        <v>178.12666666666669</v>
      </c>
    </row>
    <row r="122" spans="1:4" x14ac:dyDescent="0.25">
      <c r="A122" t="s">
        <v>5705</v>
      </c>
      <c r="B122" t="s">
        <v>1577</v>
      </c>
      <c r="C122" s="12">
        <v>4</v>
      </c>
      <c r="D122" s="7">
        <v>51.698333333333331</v>
      </c>
    </row>
    <row r="123" spans="1:4" x14ac:dyDescent="0.25">
      <c r="A123" t="s">
        <v>5686</v>
      </c>
      <c r="B123" t="s">
        <v>5687</v>
      </c>
      <c r="C123" s="12">
        <v>15</v>
      </c>
      <c r="D123" s="7">
        <v>192.46</v>
      </c>
    </row>
    <row r="124" spans="1:4" x14ac:dyDescent="0.25">
      <c r="A124" t="s">
        <v>5628</v>
      </c>
      <c r="B124" t="s">
        <v>5629</v>
      </c>
      <c r="C124" s="12">
        <v>21</v>
      </c>
      <c r="D124" s="7">
        <v>284.09500000000003</v>
      </c>
    </row>
    <row r="125" spans="1:4" x14ac:dyDescent="0.25">
      <c r="A125" t="s">
        <v>5729</v>
      </c>
      <c r="B125" t="s">
        <v>5730</v>
      </c>
      <c r="C125" s="12">
        <v>2</v>
      </c>
      <c r="D125" s="7">
        <v>28.666666666666668</v>
      </c>
    </row>
    <row r="126" spans="1:4" x14ac:dyDescent="0.25">
      <c r="A126" t="s">
        <v>5771</v>
      </c>
      <c r="B126" t="s">
        <v>5772</v>
      </c>
      <c r="C126" s="12">
        <v>2</v>
      </c>
      <c r="D126" s="7">
        <v>17.396666666666665</v>
      </c>
    </row>
    <row r="127" spans="1:4" x14ac:dyDescent="0.25">
      <c r="A127" t="s">
        <v>5724</v>
      </c>
      <c r="B127" t="s">
        <v>5725</v>
      </c>
      <c r="C127" s="12">
        <v>2</v>
      </c>
      <c r="D127" s="7">
        <v>28.666666666666668</v>
      </c>
    </row>
    <row r="128" spans="1:4" x14ac:dyDescent="0.25">
      <c r="A128" t="s">
        <v>5775</v>
      </c>
      <c r="B128" t="s">
        <v>5776</v>
      </c>
      <c r="C128" s="12">
        <v>1</v>
      </c>
      <c r="D128" s="7">
        <v>35.979166666666664</v>
      </c>
    </row>
    <row r="129" spans="1:4" x14ac:dyDescent="0.25">
      <c r="A129" t="s">
        <v>5744</v>
      </c>
      <c r="B129" t="s">
        <v>5745</v>
      </c>
      <c r="C129" s="12">
        <v>1</v>
      </c>
      <c r="D129" s="7">
        <v>8.6983333333333324</v>
      </c>
    </row>
    <row r="130" spans="1:4" x14ac:dyDescent="0.25">
      <c r="A130" t="s">
        <v>5737</v>
      </c>
      <c r="B130" t="s">
        <v>5738</v>
      </c>
      <c r="C130" s="12">
        <v>24</v>
      </c>
      <c r="D130" s="7">
        <v>449.84374999999983</v>
      </c>
    </row>
    <row r="131" spans="1:4" x14ac:dyDescent="0.25">
      <c r="A131" t="s">
        <v>5767</v>
      </c>
      <c r="B131" t="s">
        <v>5768</v>
      </c>
      <c r="C131" s="12">
        <v>1</v>
      </c>
      <c r="D131" s="7">
        <v>14.333333333333334</v>
      </c>
    </row>
    <row r="132" spans="1:4" x14ac:dyDescent="0.25">
      <c r="A132" t="s">
        <v>5752</v>
      </c>
      <c r="B132" t="s">
        <v>5753</v>
      </c>
      <c r="C132" s="12">
        <v>3</v>
      </c>
      <c r="D132" s="7">
        <v>206.73</v>
      </c>
    </row>
    <row r="133" spans="1:4" x14ac:dyDescent="0.25">
      <c r="A133" t="s">
        <v>5769</v>
      </c>
      <c r="B133" t="s">
        <v>5770</v>
      </c>
      <c r="C133" s="12">
        <v>9</v>
      </c>
      <c r="D133" s="7">
        <v>123.36499999999999</v>
      </c>
    </row>
    <row r="134" spans="1:4" x14ac:dyDescent="0.25">
      <c r="A134" t="s">
        <v>5756</v>
      </c>
      <c r="B134" t="s">
        <v>3808</v>
      </c>
      <c r="C134" s="12">
        <v>10</v>
      </c>
      <c r="D134" s="7">
        <v>157.15083333333331</v>
      </c>
    </row>
    <row r="135" spans="1:4" x14ac:dyDescent="0.25">
      <c r="A135" t="s">
        <v>5715</v>
      </c>
      <c r="B135" t="s">
        <v>5716</v>
      </c>
      <c r="C135" s="12">
        <v>4</v>
      </c>
      <c r="D135" s="7">
        <v>57.333333333333336</v>
      </c>
    </row>
    <row r="136" spans="1:4" x14ac:dyDescent="0.25">
      <c r="A136" t="s">
        <v>5742</v>
      </c>
      <c r="B136" t="s">
        <v>5743</v>
      </c>
      <c r="C136" s="12">
        <v>16</v>
      </c>
      <c r="D136" s="7">
        <v>201.1583333333333</v>
      </c>
    </row>
    <row r="137" spans="1:4" x14ac:dyDescent="0.25">
      <c r="A137" t="s">
        <v>5741</v>
      </c>
      <c r="B137" t="s">
        <v>4723</v>
      </c>
      <c r="C137" s="12">
        <v>2</v>
      </c>
      <c r="D137" s="7">
        <v>23.031666666666666</v>
      </c>
    </row>
    <row r="138" spans="1:4" x14ac:dyDescent="0.25">
      <c r="A138" t="s">
        <v>5648</v>
      </c>
      <c r="B138" t="s">
        <v>5649</v>
      </c>
      <c r="C138" s="12">
        <v>1</v>
      </c>
      <c r="D138" s="7">
        <v>14.333333333333334</v>
      </c>
    </row>
    <row r="139" spans="1:4" x14ac:dyDescent="0.25">
      <c r="A139" t="s">
        <v>5593</v>
      </c>
      <c r="B139" t="s">
        <v>5594</v>
      </c>
      <c r="C139" s="12">
        <v>2</v>
      </c>
      <c r="D139" s="7">
        <v>28.666666666666668</v>
      </c>
    </row>
    <row r="140" spans="1:4" x14ac:dyDescent="0.25">
      <c r="A140" t="s">
        <v>5677</v>
      </c>
      <c r="B140" t="s">
        <v>5678</v>
      </c>
      <c r="C140" s="12">
        <v>1</v>
      </c>
      <c r="D140" s="7">
        <v>14.333333333333334</v>
      </c>
    </row>
    <row r="141" spans="1:4" x14ac:dyDescent="0.25">
      <c r="A141" t="s">
        <v>5746</v>
      </c>
      <c r="B141" t="s">
        <v>5747</v>
      </c>
      <c r="C141" s="12">
        <v>1</v>
      </c>
      <c r="D141" s="7">
        <v>14.333333333333334</v>
      </c>
    </row>
    <row r="142" spans="1:4" x14ac:dyDescent="0.25">
      <c r="A142" t="s">
        <v>5781</v>
      </c>
      <c r="B142" t="s">
        <v>5782</v>
      </c>
      <c r="C142" s="12">
        <v>1</v>
      </c>
      <c r="D142" s="7">
        <v>14.333333333333334</v>
      </c>
    </row>
    <row r="143" spans="1:4" x14ac:dyDescent="0.25">
      <c r="A143" t="s">
        <v>5646</v>
      </c>
      <c r="B143" t="s">
        <v>5647</v>
      </c>
      <c r="C143" s="12">
        <v>1</v>
      </c>
      <c r="D143" s="7">
        <v>14.333333333333334</v>
      </c>
    </row>
    <row r="144" spans="1:4" x14ac:dyDescent="0.25">
      <c r="A144" t="s">
        <v>5791</v>
      </c>
      <c r="B144" t="s">
        <v>5791</v>
      </c>
      <c r="C144" s="12"/>
      <c r="D144" s="7">
        <v>0</v>
      </c>
    </row>
    <row r="145" spans="1:5" ht="18.75" x14ac:dyDescent="0.3">
      <c r="A145" t="s">
        <v>5792</v>
      </c>
      <c r="C145" s="12">
        <v>1103</v>
      </c>
      <c r="D145" s="7">
        <v>16336.833333333336</v>
      </c>
      <c r="E145" s="13" t="s">
        <v>5794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940C-3735-4EC7-B62E-12A968BDAD2B}">
  <sheetPr>
    <tabColor theme="3" tint="0.89999084444715716"/>
  </sheetPr>
  <dimension ref="A3:G238"/>
  <sheetViews>
    <sheetView topLeftCell="A193" zoomScale="80" zoomScaleNormal="80" workbookViewId="0">
      <selection activeCell="G239" sqref="G239"/>
    </sheetView>
  </sheetViews>
  <sheetFormatPr defaultRowHeight="15" x14ac:dyDescent="0.25"/>
  <cols>
    <col min="1" max="1" width="21.42578125" customWidth="1"/>
    <col min="2" max="2" width="52.7109375" customWidth="1"/>
    <col min="3" max="3" width="41" bestFit="1" customWidth="1"/>
    <col min="4" max="4" width="18.42578125" customWidth="1"/>
    <col min="5" max="5" width="32" bestFit="1" customWidth="1"/>
    <col min="6" max="6" width="30" bestFit="1" customWidth="1"/>
    <col min="7" max="7" width="18.28515625" bestFit="1" customWidth="1"/>
  </cols>
  <sheetData>
    <row r="3" spans="1:7" x14ac:dyDescent="0.25">
      <c r="A3" s="11" t="s">
        <v>5574</v>
      </c>
      <c r="B3" s="11" t="s">
        <v>5575</v>
      </c>
      <c r="C3" s="11" t="s">
        <v>5566</v>
      </c>
      <c r="D3" s="11" t="s">
        <v>5567</v>
      </c>
      <c r="E3" s="11" t="s">
        <v>5568</v>
      </c>
      <c r="F3" t="s">
        <v>5793</v>
      </c>
      <c r="G3" t="s">
        <v>5790</v>
      </c>
    </row>
    <row r="4" spans="1:7" x14ac:dyDescent="0.25">
      <c r="A4" t="s">
        <v>5584</v>
      </c>
      <c r="B4" t="s">
        <v>63</v>
      </c>
      <c r="C4" t="s">
        <v>46</v>
      </c>
      <c r="D4" t="s">
        <v>5791</v>
      </c>
      <c r="E4" t="s">
        <v>5791</v>
      </c>
      <c r="F4" s="12">
        <v>11</v>
      </c>
      <c r="G4" s="7">
        <v>157.66666666666669</v>
      </c>
    </row>
    <row r="5" spans="1:7" x14ac:dyDescent="0.25">
      <c r="A5" t="s">
        <v>5584</v>
      </c>
      <c r="B5" t="s">
        <v>63</v>
      </c>
      <c r="C5" t="s">
        <v>73</v>
      </c>
      <c r="D5" t="s">
        <v>5791</v>
      </c>
      <c r="E5" t="s">
        <v>5791</v>
      </c>
      <c r="F5" s="12">
        <v>2</v>
      </c>
      <c r="G5" s="7">
        <v>17.396666666666665</v>
      </c>
    </row>
    <row r="6" spans="1:7" x14ac:dyDescent="0.25">
      <c r="A6" t="s">
        <v>5606</v>
      </c>
      <c r="B6" t="s">
        <v>166</v>
      </c>
      <c r="C6" t="s">
        <v>46</v>
      </c>
      <c r="D6" t="s">
        <v>5791</v>
      </c>
      <c r="E6" t="s">
        <v>5791</v>
      </c>
      <c r="F6" s="12">
        <v>10</v>
      </c>
      <c r="G6" s="7">
        <v>143.33333333333334</v>
      </c>
    </row>
    <row r="7" spans="1:7" x14ac:dyDescent="0.25">
      <c r="A7" t="s">
        <v>5606</v>
      </c>
      <c r="B7" t="s">
        <v>166</v>
      </c>
      <c r="C7" t="s">
        <v>73</v>
      </c>
      <c r="D7" t="s">
        <v>5791</v>
      </c>
      <c r="E7" t="s">
        <v>5791</v>
      </c>
      <c r="F7" s="12">
        <v>1</v>
      </c>
      <c r="G7" s="7">
        <v>8.6983333333333324</v>
      </c>
    </row>
    <row r="8" spans="1:7" x14ac:dyDescent="0.25">
      <c r="A8" t="s">
        <v>5655</v>
      </c>
      <c r="B8" t="s">
        <v>575</v>
      </c>
      <c r="C8" t="s">
        <v>46</v>
      </c>
      <c r="D8" t="s">
        <v>5791</v>
      </c>
      <c r="E8" t="s">
        <v>5791</v>
      </c>
      <c r="F8" s="12">
        <v>1</v>
      </c>
      <c r="G8" s="7">
        <v>14.333333333333334</v>
      </c>
    </row>
    <row r="9" spans="1:7" x14ac:dyDescent="0.25">
      <c r="A9" t="s">
        <v>5655</v>
      </c>
      <c r="B9" t="s">
        <v>575</v>
      </c>
      <c r="C9" t="s">
        <v>73</v>
      </c>
      <c r="D9" t="s">
        <v>5791</v>
      </c>
      <c r="E9" t="s">
        <v>5791</v>
      </c>
      <c r="F9" s="12">
        <v>1</v>
      </c>
      <c r="G9" s="7">
        <v>8.6983333333333324</v>
      </c>
    </row>
    <row r="10" spans="1:7" x14ac:dyDescent="0.25">
      <c r="A10" t="s">
        <v>5609</v>
      </c>
      <c r="B10" t="s">
        <v>181</v>
      </c>
      <c r="C10" t="s">
        <v>46</v>
      </c>
      <c r="D10" t="s">
        <v>5791</v>
      </c>
      <c r="E10" t="s">
        <v>5791</v>
      </c>
      <c r="F10" s="12">
        <v>17</v>
      </c>
      <c r="G10" s="7">
        <v>243.66666666666674</v>
      </c>
    </row>
    <row r="11" spans="1:7" x14ac:dyDescent="0.25">
      <c r="A11" t="s">
        <v>5609</v>
      </c>
      <c r="B11" t="s">
        <v>181</v>
      </c>
      <c r="C11" t="s">
        <v>73</v>
      </c>
      <c r="D11" t="s">
        <v>5791</v>
      </c>
      <c r="E11" t="s">
        <v>5791</v>
      </c>
      <c r="F11" s="12">
        <v>5</v>
      </c>
      <c r="G11" s="7">
        <v>43.49166666666666</v>
      </c>
    </row>
    <row r="12" spans="1:7" x14ac:dyDescent="0.25">
      <c r="A12" t="s">
        <v>5664</v>
      </c>
      <c r="B12" t="s">
        <v>747</v>
      </c>
      <c r="C12" t="s">
        <v>73</v>
      </c>
      <c r="D12" t="s">
        <v>5791</v>
      </c>
      <c r="E12" t="s">
        <v>5791</v>
      </c>
      <c r="F12" s="12">
        <v>2</v>
      </c>
      <c r="G12" s="7">
        <v>17.396666666666665</v>
      </c>
    </row>
    <row r="13" spans="1:7" x14ac:dyDescent="0.25">
      <c r="A13" t="s">
        <v>5665</v>
      </c>
      <c r="B13" t="s">
        <v>803</v>
      </c>
      <c r="C13" t="s">
        <v>46</v>
      </c>
      <c r="D13" t="s">
        <v>5791</v>
      </c>
      <c r="E13" t="s">
        <v>5791</v>
      </c>
      <c r="F13" s="12">
        <v>7</v>
      </c>
      <c r="G13" s="7">
        <v>100.33333333333333</v>
      </c>
    </row>
    <row r="14" spans="1:7" x14ac:dyDescent="0.25">
      <c r="A14" t="s">
        <v>5665</v>
      </c>
      <c r="B14" t="s">
        <v>803</v>
      </c>
      <c r="C14" t="s">
        <v>73</v>
      </c>
      <c r="D14" t="s">
        <v>5791</v>
      </c>
      <c r="E14" t="s">
        <v>5791</v>
      </c>
      <c r="F14" s="12">
        <v>1</v>
      </c>
      <c r="G14" s="7">
        <v>8.6983333333333324</v>
      </c>
    </row>
    <row r="15" spans="1:7" x14ac:dyDescent="0.25">
      <c r="A15" t="s">
        <v>5642</v>
      </c>
      <c r="B15" t="s">
        <v>484</v>
      </c>
      <c r="C15" t="s">
        <v>46</v>
      </c>
      <c r="D15" t="s">
        <v>5791</v>
      </c>
      <c r="E15" t="s">
        <v>5791</v>
      </c>
      <c r="F15" s="12">
        <v>6</v>
      </c>
      <c r="G15" s="7">
        <v>86</v>
      </c>
    </row>
    <row r="16" spans="1:7" x14ac:dyDescent="0.25">
      <c r="A16" t="s">
        <v>5694</v>
      </c>
      <c r="B16" t="s">
        <v>755</v>
      </c>
      <c r="C16" t="s">
        <v>46</v>
      </c>
      <c r="D16" t="s">
        <v>5791</v>
      </c>
      <c r="E16" t="s">
        <v>5791</v>
      </c>
      <c r="F16" s="12">
        <v>2</v>
      </c>
      <c r="G16" s="7">
        <v>28.666666666666668</v>
      </c>
    </row>
    <row r="17" spans="1:7" x14ac:dyDescent="0.25">
      <c r="A17" t="s">
        <v>5694</v>
      </c>
      <c r="B17" t="s">
        <v>755</v>
      </c>
      <c r="C17" t="s">
        <v>73</v>
      </c>
      <c r="D17" t="s">
        <v>5791</v>
      </c>
      <c r="E17" t="s">
        <v>5791</v>
      </c>
      <c r="F17" s="12">
        <v>1</v>
      </c>
      <c r="G17" s="7">
        <v>8.6983333333333324</v>
      </c>
    </row>
    <row r="18" spans="1:7" x14ac:dyDescent="0.25">
      <c r="A18" t="s">
        <v>5717</v>
      </c>
      <c r="B18" t="s">
        <v>2801</v>
      </c>
      <c r="C18" t="s">
        <v>46</v>
      </c>
      <c r="D18" t="s">
        <v>5791</v>
      </c>
      <c r="E18" t="s">
        <v>5791</v>
      </c>
      <c r="F18" s="12">
        <v>2</v>
      </c>
      <c r="G18" s="7">
        <v>28.666666666666668</v>
      </c>
    </row>
    <row r="19" spans="1:7" x14ac:dyDescent="0.25">
      <c r="A19" t="s">
        <v>5625</v>
      </c>
      <c r="B19" t="s">
        <v>317</v>
      </c>
      <c r="C19" t="s">
        <v>46</v>
      </c>
      <c r="D19" t="s">
        <v>5791</v>
      </c>
      <c r="E19" t="s">
        <v>5791</v>
      </c>
      <c r="F19" s="12">
        <v>10</v>
      </c>
      <c r="G19" s="7">
        <v>143.33333333333334</v>
      </c>
    </row>
    <row r="20" spans="1:7" x14ac:dyDescent="0.25">
      <c r="A20" t="s">
        <v>5786</v>
      </c>
      <c r="B20" t="s">
        <v>683</v>
      </c>
      <c r="C20" t="s">
        <v>46</v>
      </c>
      <c r="D20" t="s">
        <v>5791</v>
      </c>
      <c r="E20" t="s">
        <v>5791</v>
      </c>
      <c r="F20" s="12">
        <v>1</v>
      </c>
      <c r="G20" s="7">
        <v>14.333333333333334</v>
      </c>
    </row>
    <row r="21" spans="1:7" x14ac:dyDescent="0.25">
      <c r="A21" t="s">
        <v>5595</v>
      </c>
      <c r="B21" t="s">
        <v>108</v>
      </c>
      <c r="C21" t="s">
        <v>46</v>
      </c>
      <c r="D21" t="s">
        <v>5791</v>
      </c>
      <c r="E21" t="s">
        <v>5791</v>
      </c>
      <c r="F21" s="12">
        <v>7</v>
      </c>
      <c r="G21" s="7">
        <v>100.33333333333333</v>
      </c>
    </row>
    <row r="22" spans="1:7" x14ac:dyDescent="0.25">
      <c r="A22" t="s">
        <v>5595</v>
      </c>
      <c r="B22" t="s">
        <v>108</v>
      </c>
      <c r="C22" t="s">
        <v>73</v>
      </c>
      <c r="D22" t="s">
        <v>5791</v>
      </c>
      <c r="E22" t="s">
        <v>5791</v>
      </c>
      <c r="F22" s="12">
        <v>4</v>
      </c>
      <c r="G22" s="7">
        <v>34.793333333333329</v>
      </c>
    </row>
    <row r="23" spans="1:7" x14ac:dyDescent="0.25">
      <c r="A23" t="s">
        <v>5585</v>
      </c>
      <c r="B23" t="s">
        <v>68</v>
      </c>
      <c r="C23" t="s">
        <v>46</v>
      </c>
      <c r="D23" t="s">
        <v>5791</v>
      </c>
      <c r="E23" t="s">
        <v>5791</v>
      </c>
      <c r="F23" s="12">
        <v>3</v>
      </c>
      <c r="G23" s="7">
        <v>43</v>
      </c>
    </row>
    <row r="24" spans="1:7" x14ac:dyDescent="0.25">
      <c r="A24" t="s">
        <v>5590</v>
      </c>
      <c r="B24" t="s">
        <v>85</v>
      </c>
      <c r="C24" t="s">
        <v>46</v>
      </c>
      <c r="D24" t="s">
        <v>5791</v>
      </c>
      <c r="E24" t="s">
        <v>5791</v>
      </c>
      <c r="F24" s="12">
        <v>3</v>
      </c>
      <c r="G24" s="7">
        <v>43</v>
      </c>
    </row>
    <row r="25" spans="1:7" x14ac:dyDescent="0.25">
      <c r="A25" t="s">
        <v>5590</v>
      </c>
      <c r="B25" t="s">
        <v>85</v>
      </c>
      <c r="C25" t="s">
        <v>73</v>
      </c>
      <c r="D25" t="s">
        <v>5791</v>
      </c>
      <c r="E25" t="s">
        <v>5791</v>
      </c>
      <c r="F25" s="12">
        <v>1</v>
      </c>
      <c r="G25" s="7">
        <v>8.6983333333333324</v>
      </c>
    </row>
    <row r="26" spans="1:7" x14ac:dyDescent="0.25">
      <c r="A26" t="s">
        <v>5701</v>
      </c>
      <c r="B26" t="s">
        <v>1013</v>
      </c>
      <c r="C26" t="s">
        <v>46</v>
      </c>
      <c r="D26" t="s">
        <v>5791</v>
      </c>
      <c r="E26" t="s">
        <v>5791</v>
      </c>
      <c r="F26" s="12">
        <v>7</v>
      </c>
      <c r="G26" s="7">
        <v>100.33333333333333</v>
      </c>
    </row>
    <row r="27" spans="1:7" x14ac:dyDescent="0.25">
      <c r="A27" t="s">
        <v>5701</v>
      </c>
      <c r="B27" t="s">
        <v>1013</v>
      </c>
      <c r="C27" t="s">
        <v>73</v>
      </c>
      <c r="D27" t="s">
        <v>5791</v>
      </c>
      <c r="E27" t="s">
        <v>5791</v>
      </c>
      <c r="F27" s="12">
        <v>3</v>
      </c>
      <c r="G27" s="7">
        <v>26.094999999999999</v>
      </c>
    </row>
    <row r="28" spans="1:7" x14ac:dyDescent="0.25">
      <c r="A28" t="s">
        <v>5754</v>
      </c>
      <c r="B28" t="s">
        <v>3684</v>
      </c>
      <c r="C28" t="s">
        <v>73</v>
      </c>
      <c r="D28" t="s">
        <v>5791</v>
      </c>
      <c r="E28" t="s">
        <v>5791</v>
      </c>
      <c r="F28" s="12">
        <v>1</v>
      </c>
      <c r="G28" s="7">
        <v>8.6983333333333324</v>
      </c>
    </row>
    <row r="29" spans="1:7" x14ac:dyDescent="0.25">
      <c r="A29" t="s">
        <v>5726</v>
      </c>
      <c r="B29" t="s">
        <v>2145</v>
      </c>
      <c r="C29" t="s">
        <v>46</v>
      </c>
      <c r="D29" t="s">
        <v>5791</v>
      </c>
      <c r="E29" t="s">
        <v>5791</v>
      </c>
      <c r="F29" s="12">
        <v>3</v>
      </c>
      <c r="G29" s="7">
        <v>43</v>
      </c>
    </row>
    <row r="30" spans="1:7" x14ac:dyDescent="0.25">
      <c r="A30" t="s">
        <v>5726</v>
      </c>
      <c r="B30" t="s">
        <v>2145</v>
      </c>
      <c r="C30" t="s">
        <v>73</v>
      </c>
      <c r="D30" t="s">
        <v>5791</v>
      </c>
      <c r="E30" t="s">
        <v>5791</v>
      </c>
      <c r="F30" s="12">
        <v>1</v>
      </c>
      <c r="G30" s="7">
        <v>8.6983333333333324</v>
      </c>
    </row>
    <row r="31" spans="1:7" x14ac:dyDescent="0.25">
      <c r="A31" t="s">
        <v>5723</v>
      </c>
      <c r="B31" t="s">
        <v>2124</v>
      </c>
      <c r="C31" t="s">
        <v>46</v>
      </c>
      <c r="D31" t="s">
        <v>5791</v>
      </c>
      <c r="E31" t="s">
        <v>5791</v>
      </c>
      <c r="F31" s="12">
        <v>9</v>
      </c>
      <c r="G31" s="7">
        <v>129</v>
      </c>
    </row>
    <row r="32" spans="1:7" x14ac:dyDescent="0.25">
      <c r="A32" t="s">
        <v>5653</v>
      </c>
      <c r="B32" t="s">
        <v>5654</v>
      </c>
      <c r="C32" t="s">
        <v>46</v>
      </c>
      <c r="D32" t="s">
        <v>5791</v>
      </c>
      <c r="E32" t="s">
        <v>5791</v>
      </c>
      <c r="F32" s="12">
        <v>9</v>
      </c>
      <c r="G32" s="7">
        <v>129</v>
      </c>
    </row>
    <row r="33" spans="1:7" x14ac:dyDescent="0.25">
      <c r="A33" t="s">
        <v>5653</v>
      </c>
      <c r="B33" t="s">
        <v>5654</v>
      </c>
      <c r="C33" t="s">
        <v>73</v>
      </c>
      <c r="D33" t="s">
        <v>5791</v>
      </c>
      <c r="E33" t="s">
        <v>5791</v>
      </c>
      <c r="F33" s="12">
        <v>2</v>
      </c>
      <c r="G33" s="7">
        <v>17.396666666666665</v>
      </c>
    </row>
    <row r="34" spans="1:7" x14ac:dyDescent="0.25">
      <c r="A34" t="s">
        <v>5731</v>
      </c>
      <c r="B34" t="s">
        <v>5732</v>
      </c>
      <c r="C34" t="s">
        <v>46</v>
      </c>
      <c r="D34" t="s">
        <v>5791</v>
      </c>
      <c r="E34" t="s">
        <v>5791</v>
      </c>
      <c r="F34" s="12">
        <v>2</v>
      </c>
      <c r="G34" s="7">
        <v>28.666666666666668</v>
      </c>
    </row>
    <row r="35" spans="1:7" x14ac:dyDescent="0.25">
      <c r="A35" t="s">
        <v>5731</v>
      </c>
      <c r="B35" t="s">
        <v>5732</v>
      </c>
      <c r="C35" t="s">
        <v>73</v>
      </c>
      <c r="D35" t="s">
        <v>5791</v>
      </c>
      <c r="E35" t="s">
        <v>5791</v>
      </c>
      <c r="F35" s="12">
        <v>1</v>
      </c>
      <c r="G35" s="7">
        <v>8.6983333333333324</v>
      </c>
    </row>
    <row r="36" spans="1:7" x14ac:dyDescent="0.25">
      <c r="A36" t="s">
        <v>5604</v>
      </c>
      <c r="B36" t="s">
        <v>5605</v>
      </c>
      <c r="C36" t="s">
        <v>46</v>
      </c>
      <c r="D36" t="s">
        <v>5791</v>
      </c>
      <c r="E36" t="s">
        <v>5791</v>
      </c>
      <c r="F36" s="12">
        <v>2</v>
      </c>
      <c r="G36" s="7">
        <v>28.666666666666668</v>
      </c>
    </row>
    <row r="37" spans="1:7" x14ac:dyDescent="0.25">
      <c r="A37" t="s">
        <v>5702</v>
      </c>
      <c r="B37" t="s">
        <v>2507</v>
      </c>
      <c r="C37" t="s">
        <v>46</v>
      </c>
      <c r="D37" t="s">
        <v>5791</v>
      </c>
      <c r="E37" t="s">
        <v>5791</v>
      </c>
      <c r="F37" s="12">
        <v>2</v>
      </c>
      <c r="G37" s="7">
        <v>28.666666666666668</v>
      </c>
    </row>
    <row r="38" spans="1:7" x14ac:dyDescent="0.25">
      <c r="A38" t="s">
        <v>5702</v>
      </c>
      <c r="B38" t="s">
        <v>2507</v>
      </c>
      <c r="C38" t="s">
        <v>73</v>
      </c>
      <c r="D38" t="s">
        <v>5791</v>
      </c>
      <c r="E38" t="s">
        <v>5791</v>
      </c>
      <c r="F38" s="12">
        <v>6</v>
      </c>
      <c r="G38" s="7">
        <v>52.189999999999991</v>
      </c>
    </row>
    <row r="39" spans="1:7" x14ac:dyDescent="0.25">
      <c r="A39" t="s">
        <v>5679</v>
      </c>
      <c r="B39" t="s">
        <v>1061</v>
      </c>
      <c r="C39" t="s">
        <v>46</v>
      </c>
      <c r="D39" t="s">
        <v>5791</v>
      </c>
      <c r="E39" t="s">
        <v>5791</v>
      </c>
      <c r="F39" s="12">
        <v>13</v>
      </c>
      <c r="G39" s="7">
        <v>186.33333333333337</v>
      </c>
    </row>
    <row r="40" spans="1:7" x14ac:dyDescent="0.25">
      <c r="A40" t="s">
        <v>5735</v>
      </c>
      <c r="B40" t="s">
        <v>571</v>
      </c>
      <c r="C40" t="s">
        <v>46</v>
      </c>
      <c r="D40" t="s">
        <v>5791</v>
      </c>
      <c r="E40" t="s">
        <v>5791</v>
      </c>
      <c r="F40" s="12">
        <v>1</v>
      </c>
      <c r="G40" s="7">
        <v>14.333333333333334</v>
      </c>
    </row>
    <row r="41" spans="1:7" x14ac:dyDescent="0.25">
      <c r="A41" t="s">
        <v>5785</v>
      </c>
      <c r="B41" t="s">
        <v>2439</v>
      </c>
      <c r="C41" t="s">
        <v>73</v>
      </c>
      <c r="D41" t="s">
        <v>5791</v>
      </c>
      <c r="E41" t="s">
        <v>5791</v>
      </c>
      <c r="F41" s="12">
        <v>1</v>
      </c>
      <c r="G41" s="7">
        <v>8.6983333333333324</v>
      </c>
    </row>
    <row r="42" spans="1:7" x14ac:dyDescent="0.25">
      <c r="A42" t="s">
        <v>5718</v>
      </c>
      <c r="B42" t="s">
        <v>1981</v>
      </c>
      <c r="C42" t="s">
        <v>46</v>
      </c>
      <c r="D42" t="s">
        <v>5791</v>
      </c>
      <c r="E42" t="s">
        <v>5791</v>
      </c>
      <c r="F42" s="12">
        <v>2</v>
      </c>
      <c r="G42" s="7">
        <v>28.666666666666668</v>
      </c>
    </row>
    <row r="43" spans="1:7" x14ac:dyDescent="0.25">
      <c r="A43" t="s">
        <v>5624</v>
      </c>
      <c r="B43" t="s">
        <v>292</v>
      </c>
      <c r="C43" t="s">
        <v>46</v>
      </c>
      <c r="D43" t="s">
        <v>5791</v>
      </c>
      <c r="E43" t="s">
        <v>5791</v>
      </c>
      <c r="F43" s="12">
        <v>5</v>
      </c>
      <c r="G43" s="7">
        <v>71.666666666666671</v>
      </c>
    </row>
    <row r="44" spans="1:7" x14ac:dyDescent="0.25">
      <c r="A44" t="s">
        <v>5624</v>
      </c>
      <c r="B44" t="s">
        <v>292</v>
      </c>
      <c r="C44" t="s">
        <v>73</v>
      </c>
      <c r="D44" t="s">
        <v>5791</v>
      </c>
      <c r="E44" t="s">
        <v>5791</v>
      </c>
      <c r="F44" s="12">
        <v>5</v>
      </c>
      <c r="G44" s="7">
        <v>43.49166666666666</v>
      </c>
    </row>
    <row r="45" spans="1:7" x14ac:dyDescent="0.25">
      <c r="A45" t="s">
        <v>5765</v>
      </c>
      <c r="B45" t="s">
        <v>3254</v>
      </c>
      <c r="C45" t="s">
        <v>46</v>
      </c>
      <c r="D45" t="s">
        <v>5791</v>
      </c>
      <c r="E45" t="s">
        <v>5791</v>
      </c>
      <c r="F45" s="12">
        <v>1</v>
      </c>
      <c r="G45" s="7">
        <v>14.333333333333334</v>
      </c>
    </row>
    <row r="46" spans="1:7" x14ac:dyDescent="0.25">
      <c r="A46" t="s">
        <v>5703</v>
      </c>
      <c r="B46" t="s">
        <v>5704</v>
      </c>
      <c r="C46" t="s">
        <v>46</v>
      </c>
      <c r="D46" t="s">
        <v>5791</v>
      </c>
      <c r="E46" t="s">
        <v>5791</v>
      </c>
      <c r="F46" s="12">
        <v>1</v>
      </c>
      <c r="G46" s="7">
        <v>14.333333333333334</v>
      </c>
    </row>
    <row r="47" spans="1:7" x14ac:dyDescent="0.25">
      <c r="A47" t="s">
        <v>5703</v>
      </c>
      <c r="B47" t="s">
        <v>5704</v>
      </c>
      <c r="C47" t="s">
        <v>73</v>
      </c>
      <c r="D47" t="s">
        <v>5791</v>
      </c>
      <c r="E47" t="s">
        <v>5791</v>
      </c>
      <c r="F47" s="12">
        <v>1</v>
      </c>
      <c r="G47" s="7">
        <v>8.6983333333333324</v>
      </c>
    </row>
    <row r="48" spans="1:7" x14ac:dyDescent="0.25">
      <c r="A48" t="s">
        <v>5591</v>
      </c>
      <c r="B48" t="s">
        <v>90</v>
      </c>
      <c r="C48" t="s">
        <v>46</v>
      </c>
      <c r="D48" t="s">
        <v>5791</v>
      </c>
      <c r="E48" t="s">
        <v>5791</v>
      </c>
      <c r="F48" s="12">
        <v>11</v>
      </c>
      <c r="G48" s="7">
        <v>157.66666666666669</v>
      </c>
    </row>
    <row r="49" spans="1:7" x14ac:dyDescent="0.25">
      <c r="A49" t="s">
        <v>5591</v>
      </c>
      <c r="B49" t="s">
        <v>90</v>
      </c>
      <c r="C49" t="s">
        <v>73</v>
      </c>
      <c r="D49" t="s">
        <v>5791</v>
      </c>
      <c r="E49" t="s">
        <v>5791</v>
      </c>
      <c r="F49" s="12">
        <v>2</v>
      </c>
      <c r="G49" s="7">
        <v>17.396666666666665</v>
      </c>
    </row>
    <row r="50" spans="1:7" x14ac:dyDescent="0.25">
      <c r="A50" t="s">
        <v>5763</v>
      </c>
      <c r="B50" t="s">
        <v>5764</v>
      </c>
      <c r="C50" t="s">
        <v>46</v>
      </c>
      <c r="D50" t="s">
        <v>5791</v>
      </c>
      <c r="E50" t="s">
        <v>5791</v>
      </c>
      <c r="F50" s="12">
        <v>1</v>
      </c>
      <c r="G50" s="7">
        <v>14.333333333333334</v>
      </c>
    </row>
    <row r="51" spans="1:7" x14ac:dyDescent="0.25">
      <c r="A51" t="s">
        <v>5617</v>
      </c>
      <c r="B51" t="s">
        <v>511</v>
      </c>
      <c r="C51" t="s">
        <v>46</v>
      </c>
      <c r="D51" t="s">
        <v>5791</v>
      </c>
      <c r="E51" t="s">
        <v>5791</v>
      </c>
      <c r="F51" s="12">
        <v>16</v>
      </c>
      <c r="G51" s="7">
        <v>229.3333333333334</v>
      </c>
    </row>
    <row r="52" spans="1:7" x14ac:dyDescent="0.25">
      <c r="A52" t="s">
        <v>5617</v>
      </c>
      <c r="B52" t="s">
        <v>511</v>
      </c>
      <c r="C52" t="s">
        <v>73</v>
      </c>
      <c r="D52" t="s">
        <v>5791</v>
      </c>
      <c r="E52" t="s">
        <v>5791</v>
      </c>
      <c r="F52" s="12">
        <v>5</v>
      </c>
      <c r="G52" s="7">
        <v>43.49166666666666</v>
      </c>
    </row>
    <row r="53" spans="1:7" x14ac:dyDescent="0.25">
      <c r="A53" t="s">
        <v>5787</v>
      </c>
      <c r="B53" t="s">
        <v>5026</v>
      </c>
      <c r="C53" t="s">
        <v>73</v>
      </c>
      <c r="D53" t="s">
        <v>5791</v>
      </c>
      <c r="E53" t="s">
        <v>5791</v>
      </c>
      <c r="F53" s="12">
        <v>1</v>
      </c>
      <c r="G53" s="7">
        <v>8.6983333333333324</v>
      </c>
    </row>
    <row r="54" spans="1:7" x14ac:dyDescent="0.25">
      <c r="A54" t="s">
        <v>5661</v>
      </c>
      <c r="B54" t="s">
        <v>246</v>
      </c>
      <c r="C54" t="s">
        <v>46</v>
      </c>
      <c r="D54" t="s">
        <v>5791</v>
      </c>
      <c r="E54" t="s">
        <v>5791</v>
      </c>
      <c r="F54" s="12">
        <v>40</v>
      </c>
      <c r="G54" s="7">
        <v>573.33333333333326</v>
      </c>
    </row>
    <row r="55" spans="1:7" x14ac:dyDescent="0.25">
      <c r="A55" t="s">
        <v>5661</v>
      </c>
      <c r="B55" t="s">
        <v>246</v>
      </c>
      <c r="C55" t="s">
        <v>73</v>
      </c>
      <c r="D55" t="s">
        <v>5791</v>
      </c>
      <c r="E55" t="s">
        <v>5791</v>
      </c>
      <c r="F55" s="12">
        <v>7</v>
      </c>
      <c r="G55" s="7">
        <v>60.888333333333321</v>
      </c>
    </row>
    <row r="56" spans="1:7" x14ac:dyDescent="0.25">
      <c r="A56" t="s">
        <v>5698</v>
      </c>
      <c r="B56" t="s">
        <v>1389</v>
      </c>
      <c r="C56" t="s">
        <v>46</v>
      </c>
      <c r="D56" t="s">
        <v>5562</v>
      </c>
      <c r="E56" t="s">
        <v>5563</v>
      </c>
      <c r="F56" s="12">
        <v>1</v>
      </c>
      <c r="G56" s="7">
        <v>78.268750000000011</v>
      </c>
    </row>
    <row r="57" spans="1:7" x14ac:dyDescent="0.25">
      <c r="A57" t="s">
        <v>5698</v>
      </c>
      <c r="B57" t="s">
        <v>1389</v>
      </c>
      <c r="C57" t="s">
        <v>46</v>
      </c>
      <c r="D57" t="s">
        <v>5791</v>
      </c>
      <c r="E57" t="s">
        <v>5791</v>
      </c>
      <c r="F57" s="12">
        <v>3</v>
      </c>
      <c r="G57" s="7">
        <v>43</v>
      </c>
    </row>
    <row r="58" spans="1:7" x14ac:dyDescent="0.25">
      <c r="A58" t="s">
        <v>5698</v>
      </c>
      <c r="B58" t="s">
        <v>1389</v>
      </c>
      <c r="C58" t="s">
        <v>73</v>
      </c>
      <c r="D58" t="s">
        <v>5791</v>
      </c>
      <c r="E58" t="s">
        <v>5791</v>
      </c>
      <c r="F58" s="12">
        <v>1</v>
      </c>
      <c r="G58" s="7">
        <v>8.6983333333333324</v>
      </c>
    </row>
    <row r="59" spans="1:7" x14ac:dyDescent="0.25">
      <c r="A59" t="s">
        <v>5706</v>
      </c>
      <c r="B59" t="s">
        <v>1586</v>
      </c>
      <c r="C59" t="s">
        <v>46</v>
      </c>
      <c r="D59" t="s">
        <v>5791</v>
      </c>
      <c r="E59" t="s">
        <v>5791</v>
      </c>
      <c r="F59" s="12">
        <v>1</v>
      </c>
      <c r="G59" s="7">
        <v>14.333333333333334</v>
      </c>
    </row>
    <row r="60" spans="1:7" x14ac:dyDescent="0.25">
      <c r="A60" t="s">
        <v>5766</v>
      </c>
      <c r="B60" t="s">
        <v>4159</v>
      </c>
      <c r="C60" t="s">
        <v>73</v>
      </c>
      <c r="D60" t="s">
        <v>5791</v>
      </c>
      <c r="E60" t="s">
        <v>5791</v>
      </c>
      <c r="F60" s="12">
        <v>9</v>
      </c>
      <c r="G60" s="7">
        <v>78.284999999999997</v>
      </c>
    </row>
    <row r="61" spans="1:7" x14ac:dyDescent="0.25">
      <c r="A61" t="s">
        <v>5728</v>
      </c>
      <c r="B61" t="s">
        <v>861</v>
      </c>
      <c r="C61" t="s">
        <v>46</v>
      </c>
      <c r="D61" t="s">
        <v>5791</v>
      </c>
      <c r="E61" t="s">
        <v>5791</v>
      </c>
      <c r="F61" s="12">
        <v>11</v>
      </c>
      <c r="G61" s="7">
        <v>157.66666666666669</v>
      </c>
    </row>
    <row r="62" spans="1:7" x14ac:dyDescent="0.25">
      <c r="A62" t="s">
        <v>5728</v>
      </c>
      <c r="B62" t="s">
        <v>861</v>
      </c>
      <c r="C62" t="s">
        <v>73</v>
      </c>
      <c r="D62" t="s">
        <v>5791</v>
      </c>
      <c r="E62" t="s">
        <v>5791</v>
      </c>
      <c r="F62" s="12">
        <v>2</v>
      </c>
      <c r="G62" s="7">
        <v>17.396666666666665</v>
      </c>
    </row>
    <row r="63" spans="1:7" x14ac:dyDescent="0.25">
      <c r="A63" t="s">
        <v>5660</v>
      </c>
      <c r="B63" t="s">
        <v>638</v>
      </c>
      <c r="C63" t="s">
        <v>46</v>
      </c>
      <c r="D63" t="s">
        <v>5791</v>
      </c>
      <c r="E63" t="s">
        <v>5791</v>
      </c>
      <c r="F63" s="12">
        <v>3</v>
      </c>
      <c r="G63" s="7">
        <v>43</v>
      </c>
    </row>
    <row r="64" spans="1:7" x14ac:dyDescent="0.25">
      <c r="A64" t="s">
        <v>5695</v>
      </c>
      <c r="B64" t="s">
        <v>601</v>
      </c>
      <c r="C64" t="s">
        <v>46</v>
      </c>
      <c r="D64" t="s">
        <v>5791</v>
      </c>
      <c r="E64" t="s">
        <v>5791</v>
      </c>
      <c r="F64" s="12">
        <v>7</v>
      </c>
      <c r="G64" s="7">
        <v>100.33333333333333</v>
      </c>
    </row>
    <row r="65" spans="1:7" x14ac:dyDescent="0.25">
      <c r="A65" t="s">
        <v>5695</v>
      </c>
      <c r="B65" t="s">
        <v>601</v>
      </c>
      <c r="C65" t="s">
        <v>73</v>
      </c>
      <c r="D65" t="s">
        <v>5791</v>
      </c>
      <c r="E65" t="s">
        <v>5791</v>
      </c>
      <c r="F65" s="12">
        <v>2</v>
      </c>
      <c r="G65" s="7">
        <v>17.396666666666665</v>
      </c>
    </row>
    <row r="66" spans="1:7" x14ac:dyDescent="0.25">
      <c r="A66" t="s">
        <v>5643</v>
      </c>
      <c r="B66" t="s">
        <v>5644</v>
      </c>
      <c r="C66" t="s">
        <v>46</v>
      </c>
      <c r="D66" t="s">
        <v>5791</v>
      </c>
      <c r="E66" t="s">
        <v>5791</v>
      </c>
      <c r="F66" s="12">
        <v>5</v>
      </c>
      <c r="G66" s="7">
        <v>71.666666666666671</v>
      </c>
    </row>
    <row r="67" spans="1:7" x14ac:dyDescent="0.25">
      <c r="A67" t="s">
        <v>5783</v>
      </c>
      <c r="B67" t="s">
        <v>5784</v>
      </c>
      <c r="C67" t="s">
        <v>46</v>
      </c>
      <c r="D67" t="s">
        <v>5791</v>
      </c>
      <c r="E67" t="s">
        <v>5791</v>
      </c>
      <c r="F67" s="12">
        <v>1</v>
      </c>
      <c r="G67" s="7">
        <v>14.333333333333334</v>
      </c>
    </row>
    <row r="68" spans="1:7" x14ac:dyDescent="0.25">
      <c r="A68" t="s">
        <v>5636</v>
      </c>
      <c r="B68" t="s">
        <v>5637</v>
      </c>
      <c r="C68" t="s">
        <v>46</v>
      </c>
      <c r="D68" t="s">
        <v>5791</v>
      </c>
      <c r="E68" t="s">
        <v>5791</v>
      </c>
      <c r="F68" s="12">
        <v>2</v>
      </c>
      <c r="G68" s="7">
        <v>28.666666666666668</v>
      </c>
    </row>
    <row r="69" spans="1:7" x14ac:dyDescent="0.25">
      <c r="A69" t="s">
        <v>5636</v>
      </c>
      <c r="B69" t="s">
        <v>5637</v>
      </c>
      <c r="C69" t="s">
        <v>73</v>
      </c>
      <c r="D69" t="s">
        <v>5791</v>
      </c>
      <c r="E69" t="s">
        <v>5791</v>
      </c>
      <c r="F69" s="12">
        <v>1</v>
      </c>
      <c r="G69" s="7">
        <v>8.6983333333333324</v>
      </c>
    </row>
    <row r="70" spans="1:7" x14ac:dyDescent="0.25">
      <c r="A70" t="s">
        <v>5578</v>
      </c>
      <c r="B70" t="s">
        <v>5579</v>
      </c>
      <c r="C70" t="s">
        <v>46</v>
      </c>
      <c r="D70" t="s">
        <v>3206</v>
      </c>
      <c r="E70" t="s">
        <v>5791</v>
      </c>
      <c r="F70" s="12">
        <v>1</v>
      </c>
      <c r="G70" s="7">
        <v>50.690833333333337</v>
      </c>
    </row>
    <row r="71" spans="1:7" x14ac:dyDescent="0.25">
      <c r="A71" t="s">
        <v>5578</v>
      </c>
      <c r="B71" t="s">
        <v>5579</v>
      </c>
      <c r="C71" t="s">
        <v>46</v>
      </c>
      <c r="D71" t="s">
        <v>5791</v>
      </c>
      <c r="E71" t="s">
        <v>5791</v>
      </c>
      <c r="F71" s="12">
        <v>11</v>
      </c>
      <c r="G71" s="7">
        <v>157.66666666666669</v>
      </c>
    </row>
    <row r="72" spans="1:7" x14ac:dyDescent="0.25">
      <c r="A72" t="s">
        <v>5578</v>
      </c>
      <c r="B72" t="s">
        <v>5579</v>
      </c>
      <c r="C72" t="s">
        <v>73</v>
      </c>
      <c r="D72" t="s">
        <v>3565</v>
      </c>
      <c r="E72" t="s">
        <v>5791</v>
      </c>
      <c r="F72" s="12">
        <v>1</v>
      </c>
      <c r="G72" s="7">
        <v>8.6983333333333324</v>
      </c>
    </row>
    <row r="73" spans="1:7" x14ac:dyDescent="0.25">
      <c r="A73" t="s">
        <v>5578</v>
      </c>
      <c r="B73" t="s">
        <v>5579</v>
      </c>
      <c r="C73" t="s">
        <v>73</v>
      </c>
      <c r="D73" t="s">
        <v>5791</v>
      </c>
      <c r="E73" t="s">
        <v>5791</v>
      </c>
      <c r="F73" s="12">
        <v>8</v>
      </c>
      <c r="G73" s="7">
        <v>69.586666666666659</v>
      </c>
    </row>
    <row r="74" spans="1:7" x14ac:dyDescent="0.25">
      <c r="A74" t="s">
        <v>5578</v>
      </c>
      <c r="B74" t="s">
        <v>5579</v>
      </c>
      <c r="C74" t="s">
        <v>96</v>
      </c>
      <c r="D74" t="s">
        <v>5791</v>
      </c>
      <c r="E74" t="s">
        <v>5791</v>
      </c>
      <c r="F74" s="12">
        <v>1</v>
      </c>
      <c r="G74" s="7">
        <v>82.24</v>
      </c>
    </row>
    <row r="75" spans="1:7" x14ac:dyDescent="0.25">
      <c r="A75" t="s">
        <v>5618</v>
      </c>
      <c r="B75" t="s">
        <v>5619</v>
      </c>
      <c r="C75" t="s">
        <v>46</v>
      </c>
      <c r="D75" t="s">
        <v>5791</v>
      </c>
      <c r="E75" t="s">
        <v>5791</v>
      </c>
      <c r="F75" s="12">
        <v>1</v>
      </c>
      <c r="G75" s="7">
        <v>14.333333333333334</v>
      </c>
    </row>
    <row r="76" spans="1:7" x14ac:dyDescent="0.25">
      <c r="A76" t="s">
        <v>5586</v>
      </c>
      <c r="B76" t="s">
        <v>5587</v>
      </c>
      <c r="C76" t="s">
        <v>46</v>
      </c>
      <c r="D76" t="s">
        <v>73</v>
      </c>
      <c r="E76" t="s">
        <v>5791</v>
      </c>
      <c r="F76" s="12">
        <v>1</v>
      </c>
      <c r="G76" s="7">
        <v>23.031666666666666</v>
      </c>
    </row>
    <row r="77" spans="1:7" x14ac:dyDescent="0.25">
      <c r="A77" t="s">
        <v>5586</v>
      </c>
      <c r="B77" t="s">
        <v>5587</v>
      </c>
      <c r="C77" t="s">
        <v>46</v>
      </c>
      <c r="D77" t="s">
        <v>5791</v>
      </c>
      <c r="E77" t="s">
        <v>5791</v>
      </c>
      <c r="F77" s="12">
        <v>15</v>
      </c>
      <c r="G77" s="7">
        <v>215.00000000000006</v>
      </c>
    </row>
    <row r="78" spans="1:7" x14ac:dyDescent="0.25">
      <c r="A78" t="s">
        <v>5586</v>
      </c>
      <c r="B78" t="s">
        <v>5587</v>
      </c>
      <c r="C78" t="s">
        <v>73</v>
      </c>
      <c r="D78" t="s">
        <v>5791</v>
      </c>
      <c r="E78" t="s">
        <v>5791</v>
      </c>
      <c r="F78" s="12">
        <v>3</v>
      </c>
      <c r="G78" s="7">
        <v>26.094999999999999</v>
      </c>
    </row>
    <row r="79" spans="1:7" x14ac:dyDescent="0.25">
      <c r="A79" t="s">
        <v>5757</v>
      </c>
      <c r="B79" t="s">
        <v>5758</v>
      </c>
      <c r="C79" t="s">
        <v>46</v>
      </c>
      <c r="D79" t="s">
        <v>5791</v>
      </c>
      <c r="E79" t="s">
        <v>5791</v>
      </c>
      <c r="F79" s="12">
        <v>1</v>
      </c>
      <c r="G79" s="7">
        <v>14.333333333333334</v>
      </c>
    </row>
    <row r="80" spans="1:7" x14ac:dyDescent="0.25">
      <c r="A80" t="s">
        <v>5596</v>
      </c>
      <c r="B80" t="s">
        <v>5597</v>
      </c>
      <c r="C80" t="s">
        <v>46</v>
      </c>
      <c r="D80" t="s">
        <v>5791</v>
      </c>
      <c r="E80" t="s">
        <v>5791</v>
      </c>
      <c r="F80" s="12">
        <v>1</v>
      </c>
      <c r="G80" s="7">
        <v>14.333333333333334</v>
      </c>
    </row>
    <row r="81" spans="1:7" x14ac:dyDescent="0.25">
      <c r="A81" t="s">
        <v>5640</v>
      </c>
      <c r="B81" t="s">
        <v>5641</v>
      </c>
      <c r="C81" t="s">
        <v>46</v>
      </c>
      <c r="D81" t="s">
        <v>5791</v>
      </c>
      <c r="E81" t="s">
        <v>5791</v>
      </c>
      <c r="F81" s="12">
        <v>19</v>
      </c>
      <c r="G81" s="7">
        <v>272.33333333333337</v>
      </c>
    </row>
    <row r="82" spans="1:7" x14ac:dyDescent="0.25">
      <c r="A82" t="s">
        <v>5640</v>
      </c>
      <c r="B82" t="s">
        <v>5641</v>
      </c>
      <c r="C82" t="s">
        <v>73</v>
      </c>
      <c r="D82" t="s">
        <v>5791</v>
      </c>
      <c r="E82" t="s">
        <v>5791</v>
      </c>
      <c r="F82" s="12">
        <v>4</v>
      </c>
      <c r="G82" s="7">
        <v>34.793333333333329</v>
      </c>
    </row>
    <row r="83" spans="1:7" x14ac:dyDescent="0.25">
      <c r="A83" t="s">
        <v>5588</v>
      </c>
      <c r="B83" t="s">
        <v>5589</v>
      </c>
      <c r="C83" t="s">
        <v>46</v>
      </c>
      <c r="D83" t="s">
        <v>5791</v>
      </c>
      <c r="E83" t="s">
        <v>5791</v>
      </c>
      <c r="F83" s="12">
        <v>2</v>
      </c>
      <c r="G83" s="7">
        <v>28.666666666666668</v>
      </c>
    </row>
    <row r="84" spans="1:7" x14ac:dyDescent="0.25">
      <c r="A84" t="s">
        <v>5692</v>
      </c>
      <c r="B84" t="s">
        <v>5693</v>
      </c>
      <c r="C84" t="s">
        <v>46</v>
      </c>
      <c r="D84" t="s">
        <v>5791</v>
      </c>
      <c r="E84" t="s">
        <v>5791</v>
      </c>
      <c r="F84" s="12">
        <v>9</v>
      </c>
      <c r="G84" s="7">
        <v>129</v>
      </c>
    </row>
    <row r="85" spans="1:7" x14ac:dyDescent="0.25">
      <c r="A85" t="s">
        <v>5692</v>
      </c>
      <c r="B85" t="s">
        <v>5693</v>
      </c>
      <c r="C85" t="s">
        <v>73</v>
      </c>
      <c r="D85" t="s">
        <v>5791</v>
      </c>
      <c r="E85" t="s">
        <v>5791</v>
      </c>
      <c r="F85" s="12">
        <v>3</v>
      </c>
      <c r="G85" s="7">
        <v>26.094999999999999</v>
      </c>
    </row>
    <row r="86" spans="1:7" x14ac:dyDescent="0.25">
      <c r="A86" t="s">
        <v>5592</v>
      </c>
      <c r="B86" t="s">
        <v>97</v>
      </c>
      <c r="C86" t="s">
        <v>46</v>
      </c>
      <c r="D86" t="s">
        <v>5791</v>
      </c>
      <c r="E86" t="s">
        <v>5791</v>
      </c>
      <c r="F86" s="12">
        <v>6</v>
      </c>
      <c r="G86" s="7">
        <v>86</v>
      </c>
    </row>
    <row r="87" spans="1:7" x14ac:dyDescent="0.25">
      <c r="A87" t="s">
        <v>5592</v>
      </c>
      <c r="B87" t="s">
        <v>97</v>
      </c>
      <c r="C87" t="s">
        <v>73</v>
      </c>
      <c r="D87" t="s">
        <v>5791</v>
      </c>
      <c r="E87" t="s">
        <v>5791</v>
      </c>
      <c r="F87" s="12">
        <v>5</v>
      </c>
      <c r="G87" s="7">
        <v>43.49166666666666</v>
      </c>
    </row>
    <row r="88" spans="1:7" x14ac:dyDescent="0.25">
      <c r="A88" t="s">
        <v>5592</v>
      </c>
      <c r="B88" t="s">
        <v>97</v>
      </c>
      <c r="C88" t="s">
        <v>96</v>
      </c>
      <c r="D88" t="s">
        <v>5791</v>
      </c>
      <c r="E88" t="s">
        <v>5791</v>
      </c>
      <c r="F88" s="12">
        <v>1</v>
      </c>
      <c r="G88" s="7">
        <v>82.24</v>
      </c>
    </row>
    <row r="89" spans="1:7" x14ac:dyDescent="0.25">
      <c r="A89" t="s">
        <v>5789</v>
      </c>
      <c r="B89" t="s">
        <v>4057</v>
      </c>
      <c r="C89" t="s">
        <v>46</v>
      </c>
      <c r="D89" t="s">
        <v>5791</v>
      </c>
      <c r="E89" t="s">
        <v>5791</v>
      </c>
      <c r="F89" s="12">
        <v>1</v>
      </c>
      <c r="G89" s="7">
        <v>14.333333333333334</v>
      </c>
    </row>
    <row r="90" spans="1:7" x14ac:dyDescent="0.25">
      <c r="A90" t="s">
        <v>5615</v>
      </c>
      <c r="B90" t="s">
        <v>5616</v>
      </c>
      <c r="C90" t="s">
        <v>46</v>
      </c>
      <c r="D90" t="s">
        <v>5791</v>
      </c>
      <c r="E90" t="s">
        <v>5791</v>
      </c>
      <c r="F90" s="12">
        <v>5</v>
      </c>
      <c r="G90" s="7">
        <v>71.666666666666671</v>
      </c>
    </row>
    <row r="91" spans="1:7" x14ac:dyDescent="0.25">
      <c r="A91" t="s">
        <v>5615</v>
      </c>
      <c r="B91" t="s">
        <v>5616</v>
      </c>
      <c r="C91" t="s">
        <v>73</v>
      </c>
      <c r="D91" t="s">
        <v>5791</v>
      </c>
      <c r="E91" t="s">
        <v>5791</v>
      </c>
      <c r="F91" s="12">
        <v>2</v>
      </c>
      <c r="G91" s="7">
        <v>17.396666666666665</v>
      </c>
    </row>
    <row r="92" spans="1:7" x14ac:dyDescent="0.25">
      <c r="A92" t="s">
        <v>5690</v>
      </c>
      <c r="B92" t="s">
        <v>5691</v>
      </c>
      <c r="C92" t="s">
        <v>46</v>
      </c>
      <c r="D92" t="s">
        <v>5791</v>
      </c>
      <c r="E92" t="s">
        <v>5791</v>
      </c>
      <c r="F92" s="12">
        <v>2</v>
      </c>
      <c r="G92" s="7">
        <v>28.666666666666668</v>
      </c>
    </row>
    <row r="93" spans="1:7" x14ac:dyDescent="0.25">
      <c r="A93" t="s">
        <v>5721</v>
      </c>
      <c r="B93" t="s">
        <v>5722</v>
      </c>
      <c r="C93" t="s">
        <v>46</v>
      </c>
      <c r="D93" t="s">
        <v>5791</v>
      </c>
      <c r="E93" t="s">
        <v>5791</v>
      </c>
      <c r="F93" s="12">
        <v>16</v>
      </c>
      <c r="G93" s="7">
        <v>229.3333333333334</v>
      </c>
    </row>
    <row r="94" spans="1:7" x14ac:dyDescent="0.25">
      <c r="A94" t="s">
        <v>5623</v>
      </c>
      <c r="B94" t="s">
        <v>287</v>
      </c>
      <c r="C94" t="s">
        <v>46</v>
      </c>
      <c r="D94" t="s">
        <v>5791</v>
      </c>
      <c r="E94" t="s">
        <v>5791</v>
      </c>
      <c r="F94" s="12">
        <v>4</v>
      </c>
      <c r="G94" s="7">
        <v>57.333333333333336</v>
      </c>
    </row>
    <row r="95" spans="1:7" x14ac:dyDescent="0.25">
      <c r="A95" t="s">
        <v>5623</v>
      </c>
      <c r="B95" t="s">
        <v>287</v>
      </c>
      <c r="C95" t="s">
        <v>73</v>
      </c>
      <c r="D95" t="s">
        <v>5791</v>
      </c>
      <c r="E95" t="s">
        <v>5791</v>
      </c>
      <c r="F95" s="12">
        <v>2</v>
      </c>
      <c r="G95" s="7">
        <v>17.396666666666665</v>
      </c>
    </row>
    <row r="96" spans="1:7" x14ac:dyDescent="0.25">
      <c r="A96" t="s">
        <v>5635</v>
      </c>
      <c r="B96" t="s">
        <v>415</v>
      </c>
      <c r="C96" t="s">
        <v>46</v>
      </c>
      <c r="D96" t="s">
        <v>5791</v>
      </c>
      <c r="E96" t="s">
        <v>5791</v>
      </c>
      <c r="F96" s="12">
        <v>5</v>
      </c>
      <c r="G96" s="7">
        <v>71.666666666666671</v>
      </c>
    </row>
    <row r="97" spans="1:7" x14ac:dyDescent="0.25">
      <c r="A97" t="s">
        <v>5635</v>
      </c>
      <c r="B97" t="s">
        <v>415</v>
      </c>
      <c r="C97" t="s">
        <v>73</v>
      </c>
      <c r="D97" t="s">
        <v>5791</v>
      </c>
      <c r="E97" t="s">
        <v>5791</v>
      </c>
      <c r="F97" s="12">
        <v>3</v>
      </c>
      <c r="G97" s="7">
        <v>26.094999999999999</v>
      </c>
    </row>
    <row r="98" spans="1:7" x14ac:dyDescent="0.25">
      <c r="A98" t="s">
        <v>5659</v>
      </c>
      <c r="B98" t="s">
        <v>620</v>
      </c>
      <c r="C98" t="s">
        <v>46</v>
      </c>
      <c r="D98" t="s">
        <v>5791</v>
      </c>
      <c r="E98" t="s">
        <v>5791</v>
      </c>
      <c r="F98" s="12">
        <v>9</v>
      </c>
      <c r="G98" s="7">
        <v>129</v>
      </c>
    </row>
    <row r="99" spans="1:7" x14ac:dyDescent="0.25">
      <c r="A99" t="s">
        <v>5645</v>
      </c>
      <c r="B99" t="s">
        <v>507</v>
      </c>
      <c r="C99" t="s">
        <v>46</v>
      </c>
      <c r="D99" t="s">
        <v>5791</v>
      </c>
      <c r="E99" t="s">
        <v>5791</v>
      </c>
      <c r="F99" s="12">
        <v>5</v>
      </c>
      <c r="G99" s="7">
        <v>71.666666666666671</v>
      </c>
    </row>
    <row r="100" spans="1:7" x14ac:dyDescent="0.25">
      <c r="A100" t="s">
        <v>5576</v>
      </c>
      <c r="B100" t="s">
        <v>5577</v>
      </c>
      <c r="C100" t="s">
        <v>46</v>
      </c>
      <c r="D100" t="s">
        <v>5791</v>
      </c>
      <c r="E100" t="s">
        <v>5791</v>
      </c>
      <c r="F100" s="12">
        <v>3</v>
      </c>
      <c r="G100" s="7">
        <v>43</v>
      </c>
    </row>
    <row r="101" spans="1:7" x14ac:dyDescent="0.25">
      <c r="A101" t="s">
        <v>5576</v>
      </c>
      <c r="B101" t="s">
        <v>5577</v>
      </c>
      <c r="C101" t="s">
        <v>73</v>
      </c>
      <c r="D101" t="s">
        <v>5791</v>
      </c>
      <c r="E101" t="s">
        <v>5791</v>
      </c>
      <c r="F101" s="12">
        <v>1</v>
      </c>
      <c r="G101" s="7">
        <v>8.6983333333333324</v>
      </c>
    </row>
    <row r="102" spans="1:7" x14ac:dyDescent="0.25">
      <c r="A102" t="s">
        <v>5688</v>
      </c>
      <c r="B102" t="s">
        <v>1152</v>
      </c>
      <c r="C102" t="s">
        <v>46</v>
      </c>
      <c r="D102" t="s">
        <v>5791</v>
      </c>
      <c r="E102" t="s">
        <v>5791</v>
      </c>
      <c r="F102" s="12">
        <v>7</v>
      </c>
      <c r="G102" s="7">
        <v>100.33333333333333</v>
      </c>
    </row>
    <row r="103" spans="1:7" x14ac:dyDescent="0.25">
      <c r="A103" t="s">
        <v>5751</v>
      </c>
      <c r="B103" t="s">
        <v>3542</v>
      </c>
      <c r="C103" t="s">
        <v>73</v>
      </c>
      <c r="D103" t="s">
        <v>5791</v>
      </c>
      <c r="E103" t="s">
        <v>5791</v>
      </c>
      <c r="F103" s="12">
        <v>1</v>
      </c>
      <c r="G103" s="7">
        <v>8.6983333333333324</v>
      </c>
    </row>
    <row r="104" spans="1:7" x14ac:dyDescent="0.25">
      <c r="A104" t="s">
        <v>5755</v>
      </c>
      <c r="B104" t="s">
        <v>3816</v>
      </c>
      <c r="C104" t="s">
        <v>46</v>
      </c>
      <c r="D104" t="s">
        <v>5791</v>
      </c>
      <c r="E104" t="s">
        <v>5791</v>
      </c>
      <c r="F104" s="12">
        <v>1</v>
      </c>
      <c r="G104" s="7">
        <v>14.333333333333334</v>
      </c>
    </row>
    <row r="105" spans="1:7" x14ac:dyDescent="0.25">
      <c r="A105" t="s">
        <v>5689</v>
      </c>
      <c r="B105" t="s">
        <v>148</v>
      </c>
      <c r="C105" t="s">
        <v>46</v>
      </c>
      <c r="D105" t="s">
        <v>882</v>
      </c>
      <c r="E105" t="s">
        <v>3206</v>
      </c>
      <c r="F105" s="12">
        <v>1</v>
      </c>
      <c r="G105" s="7">
        <v>86.67</v>
      </c>
    </row>
    <row r="106" spans="1:7" x14ac:dyDescent="0.25">
      <c r="A106" t="s">
        <v>5689</v>
      </c>
      <c r="B106" t="s">
        <v>148</v>
      </c>
      <c r="C106" t="s">
        <v>46</v>
      </c>
      <c r="D106" t="s">
        <v>5791</v>
      </c>
      <c r="E106" t="s">
        <v>5791</v>
      </c>
      <c r="F106" s="12">
        <v>2</v>
      </c>
      <c r="G106" s="7">
        <v>28.666666666666668</v>
      </c>
    </row>
    <row r="107" spans="1:7" x14ac:dyDescent="0.25">
      <c r="A107" t="s">
        <v>5689</v>
      </c>
      <c r="B107" t="s">
        <v>148</v>
      </c>
      <c r="C107" t="s">
        <v>73</v>
      </c>
      <c r="D107" t="s">
        <v>5791</v>
      </c>
      <c r="E107" t="s">
        <v>5791</v>
      </c>
      <c r="F107" s="12">
        <v>2</v>
      </c>
      <c r="G107" s="7">
        <v>17.396666666666665</v>
      </c>
    </row>
    <row r="108" spans="1:7" x14ac:dyDescent="0.25">
      <c r="A108" t="s">
        <v>5689</v>
      </c>
      <c r="B108" t="s">
        <v>148</v>
      </c>
      <c r="C108" t="s">
        <v>96</v>
      </c>
      <c r="D108" t="s">
        <v>5791</v>
      </c>
      <c r="E108" t="s">
        <v>5791</v>
      </c>
      <c r="F108" s="12">
        <v>2</v>
      </c>
      <c r="G108" s="7">
        <v>164.48</v>
      </c>
    </row>
    <row r="109" spans="1:7" x14ac:dyDescent="0.25">
      <c r="A109" t="s">
        <v>5682</v>
      </c>
      <c r="B109" t="s">
        <v>517</v>
      </c>
      <c r="C109" t="s">
        <v>46</v>
      </c>
      <c r="D109" t="s">
        <v>5791</v>
      </c>
      <c r="E109" t="s">
        <v>5791</v>
      </c>
      <c r="F109" s="12">
        <v>5</v>
      </c>
      <c r="G109" s="7">
        <v>71.666666666666671</v>
      </c>
    </row>
    <row r="110" spans="1:7" x14ac:dyDescent="0.25">
      <c r="A110" t="s">
        <v>5682</v>
      </c>
      <c r="B110" t="s">
        <v>517</v>
      </c>
      <c r="C110" t="s">
        <v>73</v>
      </c>
      <c r="D110" t="s">
        <v>5791</v>
      </c>
      <c r="E110" t="s">
        <v>5791</v>
      </c>
      <c r="F110" s="12">
        <v>2</v>
      </c>
      <c r="G110" s="7">
        <v>17.396666666666665</v>
      </c>
    </row>
    <row r="111" spans="1:7" x14ac:dyDescent="0.25">
      <c r="A111" t="s">
        <v>5634</v>
      </c>
      <c r="B111" t="s">
        <v>207</v>
      </c>
      <c r="C111" t="s">
        <v>46</v>
      </c>
      <c r="D111" t="s">
        <v>5791</v>
      </c>
      <c r="E111" t="s">
        <v>5791</v>
      </c>
      <c r="F111" s="12">
        <v>4</v>
      </c>
      <c r="G111" s="7">
        <v>57.333333333333336</v>
      </c>
    </row>
    <row r="112" spans="1:7" x14ac:dyDescent="0.25">
      <c r="A112" t="s">
        <v>5634</v>
      </c>
      <c r="B112" t="s">
        <v>207</v>
      </c>
      <c r="C112" t="s">
        <v>73</v>
      </c>
      <c r="D112" t="s">
        <v>5791</v>
      </c>
      <c r="E112" t="s">
        <v>5791</v>
      </c>
      <c r="F112" s="12">
        <v>3</v>
      </c>
      <c r="G112" s="7">
        <v>26.094999999999999</v>
      </c>
    </row>
    <row r="113" spans="1:7" x14ac:dyDescent="0.25">
      <c r="A113" t="s">
        <v>5670</v>
      </c>
      <c r="B113" t="s">
        <v>5671</v>
      </c>
      <c r="C113" t="s">
        <v>73</v>
      </c>
      <c r="D113" t="s">
        <v>5791</v>
      </c>
      <c r="E113" t="s">
        <v>5791</v>
      </c>
      <c r="F113" s="12">
        <v>2</v>
      </c>
      <c r="G113" s="7">
        <v>17.396666666666665</v>
      </c>
    </row>
    <row r="114" spans="1:7" x14ac:dyDescent="0.25">
      <c r="A114" t="s">
        <v>5719</v>
      </c>
      <c r="B114" t="s">
        <v>5720</v>
      </c>
      <c r="C114" t="s">
        <v>46</v>
      </c>
      <c r="D114" t="s">
        <v>5791</v>
      </c>
      <c r="E114" t="s">
        <v>5791</v>
      </c>
      <c r="F114" s="12">
        <v>1</v>
      </c>
      <c r="G114" s="7">
        <v>14.333333333333334</v>
      </c>
    </row>
    <row r="115" spans="1:7" x14ac:dyDescent="0.25">
      <c r="A115" t="s">
        <v>5607</v>
      </c>
      <c r="B115" t="s">
        <v>5608</v>
      </c>
      <c r="C115" t="s">
        <v>46</v>
      </c>
      <c r="D115" t="s">
        <v>5791</v>
      </c>
      <c r="E115" t="s">
        <v>5791</v>
      </c>
      <c r="F115" s="12">
        <v>4</v>
      </c>
      <c r="G115" s="7">
        <v>57.333333333333336</v>
      </c>
    </row>
    <row r="116" spans="1:7" x14ac:dyDescent="0.25">
      <c r="A116" t="s">
        <v>5652</v>
      </c>
      <c r="B116" t="s">
        <v>565</v>
      </c>
      <c r="C116" t="s">
        <v>46</v>
      </c>
      <c r="D116" t="s">
        <v>5791</v>
      </c>
      <c r="E116" t="s">
        <v>5791</v>
      </c>
      <c r="F116" s="12">
        <v>5</v>
      </c>
      <c r="G116" s="7">
        <v>71.666666666666671</v>
      </c>
    </row>
    <row r="117" spans="1:7" x14ac:dyDescent="0.25">
      <c r="A117" t="s">
        <v>5652</v>
      </c>
      <c r="B117" t="s">
        <v>565</v>
      </c>
      <c r="C117" t="s">
        <v>73</v>
      </c>
      <c r="D117" t="s">
        <v>5561</v>
      </c>
      <c r="E117" t="s">
        <v>5791</v>
      </c>
      <c r="F117" s="12">
        <v>1</v>
      </c>
      <c r="G117" s="7">
        <v>36.594166666666666</v>
      </c>
    </row>
    <row r="118" spans="1:7" x14ac:dyDescent="0.25">
      <c r="A118" t="s">
        <v>5614</v>
      </c>
      <c r="B118" t="s">
        <v>1184</v>
      </c>
      <c r="C118" t="s">
        <v>46</v>
      </c>
      <c r="D118" t="s">
        <v>5791</v>
      </c>
      <c r="E118" t="s">
        <v>5791</v>
      </c>
      <c r="F118" s="12">
        <v>5</v>
      </c>
      <c r="G118" s="7">
        <v>71.666666666666671</v>
      </c>
    </row>
    <row r="119" spans="1:7" x14ac:dyDescent="0.25">
      <c r="A119" t="s">
        <v>5614</v>
      </c>
      <c r="B119" t="s">
        <v>1184</v>
      </c>
      <c r="C119" t="s">
        <v>73</v>
      </c>
      <c r="D119" t="s">
        <v>5791</v>
      </c>
      <c r="E119" t="s">
        <v>5791</v>
      </c>
      <c r="F119" s="12">
        <v>2</v>
      </c>
      <c r="G119" s="7">
        <v>17.396666666666665</v>
      </c>
    </row>
    <row r="120" spans="1:7" x14ac:dyDescent="0.25">
      <c r="A120" t="s">
        <v>5685</v>
      </c>
      <c r="B120" t="s">
        <v>1115</v>
      </c>
      <c r="C120" t="s">
        <v>46</v>
      </c>
      <c r="D120" t="s">
        <v>5791</v>
      </c>
      <c r="E120" t="s">
        <v>5791</v>
      </c>
      <c r="F120" s="12">
        <v>3</v>
      </c>
      <c r="G120" s="7">
        <v>43</v>
      </c>
    </row>
    <row r="121" spans="1:7" x14ac:dyDescent="0.25">
      <c r="A121" t="s">
        <v>5685</v>
      </c>
      <c r="B121" t="s">
        <v>1115</v>
      </c>
      <c r="C121" t="s">
        <v>73</v>
      </c>
      <c r="D121" t="s">
        <v>5791</v>
      </c>
      <c r="E121" t="s">
        <v>5791</v>
      </c>
      <c r="F121" s="12">
        <v>2</v>
      </c>
      <c r="G121" s="7">
        <v>17.396666666666665</v>
      </c>
    </row>
    <row r="122" spans="1:7" x14ac:dyDescent="0.25">
      <c r="A122" t="s">
        <v>5736</v>
      </c>
      <c r="B122" t="s">
        <v>1441</v>
      </c>
      <c r="C122" t="s">
        <v>46</v>
      </c>
      <c r="D122" t="s">
        <v>5791</v>
      </c>
      <c r="E122" t="s">
        <v>5791</v>
      </c>
      <c r="F122" s="12">
        <v>1</v>
      </c>
      <c r="G122" s="7">
        <v>14.333333333333334</v>
      </c>
    </row>
    <row r="123" spans="1:7" x14ac:dyDescent="0.25">
      <c r="A123" t="s">
        <v>5788</v>
      </c>
      <c r="B123" t="s">
        <v>5061</v>
      </c>
      <c r="C123" t="s">
        <v>46</v>
      </c>
      <c r="D123" t="s">
        <v>5791</v>
      </c>
      <c r="E123" t="s">
        <v>5791</v>
      </c>
      <c r="F123" s="12">
        <v>1</v>
      </c>
      <c r="G123" s="7">
        <v>14.333333333333334</v>
      </c>
    </row>
    <row r="124" spans="1:7" x14ac:dyDescent="0.25">
      <c r="A124" t="s">
        <v>5714</v>
      </c>
      <c r="B124" t="s">
        <v>370</v>
      </c>
      <c r="C124" t="s">
        <v>46</v>
      </c>
      <c r="D124" t="s">
        <v>5791</v>
      </c>
      <c r="E124" t="s">
        <v>5791</v>
      </c>
      <c r="F124" s="12">
        <v>1</v>
      </c>
      <c r="G124" s="7">
        <v>14.333333333333334</v>
      </c>
    </row>
    <row r="125" spans="1:7" x14ac:dyDescent="0.25">
      <c r="A125" t="s">
        <v>5626</v>
      </c>
      <c r="B125" t="s">
        <v>5627</v>
      </c>
      <c r="C125" t="s">
        <v>73</v>
      </c>
      <c r="D125" t="s">
        <v>5791</v>
      </c>
      <c r="E125" t="s">
        <v>5791</v>
      </c>
      <c r="F125" s="12">
        <v>1</v>
      </c>
      <c r="G125" s="7">
        <v>8.6983333333333324</v>
      </c>
    </row>
    <row r="126" spans="1:7" x14ac:dyDescent="0.25">
      <c r="A126" t="s">
        <v>5739</v>
      </c>
      <c r="B126" t="s">
        <v>5740</v>
      </c>
      <c r="C126" t="s">
        <v>46</v>
      </c>
      <c r="D126" t="s">
        <v>5791</v>
      </c>
      <c r="E126" t="s">
        <v>5791</v>
      </c>
      <c r="F126" s="12">
        <v>1</v>
      </c>
      <c r="G126" s="7">
        <v>14.333333333333334</v>
      </c>
    </row>
    <row r="127" spans="1:7" x14ac:dyDescent="0.25">
      <c r="A127" t="s">
        <v>5708</v>
      </c>
      <c r="B127" t="s">
        <v>5709</v>
      </c>
      <c r="C127" t="s">
        <v>46</v>
      </c>
      <c r="D127" t="s">
        <v>5791</v>
      </c>
      <c r="E127" t="s">
        <v>5791</v>
      </c>
      <c r="F127" s="12">
        <v>70</v>
      </c>
      <c r="G127" s="7">
        <v>1003.3333333333344</v>
      </c>
    </row>
    <row r="128" spans="1:7" x14ac:dyDescent="0.25">
      <c r="A128" t="s">
        <v>5708</v>
      </c>
      <c r="B128" t="s">
        <v>5709</v>
      </c>
      <c r="C128" t="s">
        <v>73</v>
      </c>
      <c r="D128" t="s">
        <v>5791</v>
      </c>
      <c r="E128" t="s">
        <v>5791</v>
      </c>
      <c r="F128" s="12">
        <v>15</v>
      </c>
      <c r="G128" s="7">
        <v>130.47500000000002</v>
      </c>
    </row>
    <row r="129" spans="1:7" x14ac:dyDescent="0.25">
      <c r="A129" t="s">
        <v>5777</v>
      </c>
      <c r="B129" t="s">
        <v>5778</v>
      </c>
      <c r="C129" t="s">
        <v>46</v>
      </c>
      <c r="D129" t="s">
        <v>5791</v>
      </c>
      <c r="E129" t="s">
        <v>5791</v>
      </c>
      <c r="F129" s="12">
        <v>1</v>
      </c>
      <c r="G129" s="7">
        <v>14.333333333333334</v>
      </c>
    </row>
    <row r="130" spans="1:7" x14ac:dyDescent="0.25">
      <c r="A130" t="s">
        <v>5773</v>
      </c>
      <c r="B130" t="s">
        <v>5774</v>
      </c>
      <c r="C130" t="s">
        <v>46</v>
      </c>
      <c r="D130" t="s">
        <v>5791</v>
      </c>
      <c r="E130" t="s">
        <v>5791</v>
      </c>
      <c r="F130" s="12">
        <v>1</v>
      </c>
      <c r="G130" s="7">
        <v>14.333333333333334</v>
      </c>
    </row>
    <row r="131" spans="1:7" x14ac:dyDescent="0.25">
      <c r="A131" t="s">
        <v>5599</v>
      </c>
      <c r="B131" t="s">
        <v>129</v>
      </c>
      <c r="C131" t="s">
        <v>46</v>
      </c>
      <c r="D131" t="s">
        <v>5791</v>
      </c>
      <c r="E131" t="s">
        <v>5791</v>
      </c>
      <c r="F131" s="12">
        <v>3</v>
      </c>
      <c r="G131" s="7">
        <v>43</v>
      </c>
    </row>
    <row r="132" spans="1:7" x14ac:dyDescent="0.25">
      <c r="A132" t="s">
        <v>5621</v>
      </c>
      <c r="B132" t="s">
        <v>5622</v>
      </c>
      <c r="C132" t="s">
        <v>46</v>
      </c>
      <c r="D132" t="s">
        <v>5791</v>
      </c>
      <c r="E132" t="s">
        <v>5791</v>
      </c>
      <c r="F132" s="12">
        <v>19</v>
      </c>
      <c r="G132" s="7">
        <v>272.33333333333337</v>
      </c>
    </row>
    <row r="133" spans="1:7" x14ac:dyDescent="0.25">
      <c r="A133" t="s">
        <v>5621</v>
      </c>
      <c r="B133" t="s">
        <v>5622</v>
      </c>
      <c r="C133" t="s">
        <v>73</v>
      </c>
      <c r="D133" t="s">
        <v>5791</v>
      </c>
      <c r="E133" t="s">
        <v>5791</v>
      </c>
      <c r="F133" s="12">
        <v>6</v>
      </c>
      <c r="G133" s="7">
        <v>52.189999999999991</v>
      </c>
    </row>
    <row r="134" spans="1:7" x14ac:dyDescent="0.25">
      <c r="A134" t="s">
        <v>5779</v>
      </c>
      <c r="B134" t="s">
        <v>5780</v>
      </c>
      <c r="C134" t="s">
        <v>46</v>
      </c>
      <c r="D134" t="s">
        <v>5791</v>
      </c>
      <c r="E134" t="s">
        <v>5791</v>
      </c>
      <c r="F134" s="12">
        <v>2</v>
      </c>
      <c r="G134" s="7">
        <v>28.666666666666668</v>
      </c>
    </row>
    <row r="135" spans="1:7" x14ac:dyDescent="0.25">
      <c r="A135" t="s">
        <v>5683</v>
      </c>
      <c r="B135" t="s">
        <v>5684</v>
      </c>
      <c r="C135" t="s">
        <v>46</v>
      </c>
      <c r="D135" t="s">
        <v>5791</v>
      </c>
      <c r="E135" t="s">
        <v>5791</v>
      </c>
      <c r="F135" s="12">
        <v>10</v>
      </c>
      <c r="G135" s="7">
        <v>143.33333333333334</v>
      </c>
    </row>
    <row r="136" spans="1:7" x14ac:dyDescent="0.25">
      <c r="A136" t="s">
        <v>5683</v>
      </c>
      <c r="B136" t="s">
        <v>5684</v>
      </c>
      <c r="C136" t="s">
        <v>73</v>
      </c>
      <c r="D136" t="s">
        <v>5791</v>
      </c>
      <c r="E136" t="s">
        <v>5791</v>
      </c>
      <c r="F136" s="12">
        <v>2</v>
      </c>
      <c r="G136" s="7">
        <v>17.396666666666665</v>
      </c>
    </row>
    <row r="137" spans="1:7" x14ac:dyDescent="0.25">
      <c r="A137" t="s">
        <v>5696</v>
      </c>
      <c r="B137" t="s">
        <v>5697</v>
      </c>
      <c r="C137" t="s">
        <v>46</v>
      </c>
      <c r="D137" t="s">
        <v>5791</v>
      </c>
      <c r="E137" t="s">
        <v>5791</v>
      </c>
      <c r="F137" s="12">
        <v>6</v>
      </c>
      <c r="G137" s="7">
        <v>86</v>
      </c>
    </row>
    <row r="138" spans="1:7" x14ac:dyDescent="0.25">
      <c r="A138" t="s">
        <v>5696</v>
      </c>
      <c r="B138" t="s">
        <v>5697</v>
      </c>
      <c r="C138" t="s">
        <v>73</v>
      </c>
      <c r="D138" t="s">
        <v>5791</v>
      </c>
      <c r="E138" t="s">
        <v>5791</v>
      </c>
      <c r="F138" s="12">
        <v>2</v>
      </c>
      <c r="G138" s="7">
        <v>17.396666666666665</v>
      </c>
    </row>
    <row r="139" spans="1:7" x14ac:dyDescent="0.25">
      <c r="A139" t="s">
        <v>5727</v>
      </c>
      <c r="B139" t="s">
        <v>2312</v>
      </c>
      <c r="C139" t="s">
        <v>46</v>
      </c>
      <c r="D139" t="s">
        <v>5791</v>
      </c>
      <c r="E139" t="s">
        <v>5791</v>
      </c>
      <c r="F139" s="12">
        <v>4</v>
      </c>
      <c r="G139" s="7">
        <v>57.333333333333336</v>
      </c>
    </row>
    <row r="140" spans="1:7" x14ac:dyDescent="0.25">
      <c r="A140" t="s">
        <v>5598</v>
      </c>
      <c r="B140" t="s">
        <v>119</v>
      </c>
      <c r="C140" t="s">
        <v>46</v>
      </c>
      <c r="D140" t="s">
        <v>882</v>
      </c>
      <c r="E140" t="s">
        <v>5562</v>
      </c>
      <c r="F140" s="12">
        <v>1</v>
      </c>
      <c r="G140" s="7">
        <v>85.186250000000001</v>
      </c>
    </row>
    <row r="141" spans="1:7" x14ac:dyDescent="0.25">
      <c r="A141" t="s">
        <v>5598</v>
      </c>
      <c r="B141" t="s">
        <v>119</v>
      </c>
      <c r="C141" t="s">
        <v>46</v>
      </c>
      <c r="D141" t="s">
        <v>882</v>
      </c>
      <c r="E141" t="s">
        <v>5791</v>
      </c>
      <c r="F141" s="12">
        <v>2</v>
      </c>
      <c r="G141" s="7">
        <v>100.625</v>
      </c>
    </row>
    <row r="142" spans="1:7" x14ac:dyDescent="0.25">
      <c r="A142" t="s">
        <v>5598</v>
      </c>
      <c r="B142" t="s">
        <v>119</v>
      </c>
      <c r="C142" t="s">
        <v>46</v>
      </c>
      <c r="D142" t="s">
        <v>5791</v>
      </c>
      <c r="E142" t="s">
        <v>5791</v>
      </c>
      <c r="F142" s="12">
        <v>13</v>
      </c>
      <c r="G142" s="7">
        <v>186.33333333333337</v>
      </c>
    </row>
    <row r="143" spans="1:7" x14ac:dyDescent="0.25">
      <c r="A143" t="s">
        <v>5598</v>
      </c>
      <c r="B143" t="s">
        <v>119</v>
      </c>
      <c r="C143" t="s">
        <v>73</v>
      </c>
      <c r="D143" t="s">
        <v>5791</v>
      </c>
      <c r="E143" t="s">
        <v>5791</v>
      </c>
      <c r="F143" s="12">
        <v>1</v>
      </c>
      <c r="G143" s="7">
        <v>8.6983333333333324</v>
      </c>
    </row>
    <row r="144" spans="1:7" x14ac:dyDescent="0.25">
      <c r="A144" t="s">
        <v>5668</v>
      </c>
      <c r="B144" t="s">
        <v>5669</v>
      </c>
      <c r="C144" t="s">
        <v>46</v>
      </c>
      <c r="D144" t="s">
        <v>5791</v>
      </c>
      <c r="E144" t="s">
        <v>5791</v>
      </c>
      <c r="F144" s="12">
        <v>3</v>
      </c>
      <c r="G144" s="7">
        <v>43</v>
      </c>
    </row>
    <row r="145" spans="1:7" x14ac:dyDescent="0.25">
      <c r="A145" t="s">
        <v>5668</v>
      </c>
      <c r="B145" t="s">
        <v>5669</v>
      </c>
      <c r="C145" t="s">
        <v>73</v>
      </c>
      <c r="D145" t="s">
        <v>5791</v>
      </c>
      <c r="E145" t="s">
        <v>5791</v>
      </c>
      <c r="F145" s="12">
        <v>1</v>
      </c>
      <c r="G145" s="7">
        <v>8.6983333333333324</v>
      </c>
    </row>
    <row r="146" spans="1:7" x14ac:dyDescent="0.25">
      <c r="A146" t="s">
        <v>5582</v>
      </c>
      <c r="B146" t="s">
        <v>5583</v>
      </c>
      <c r="C146" t="s">
        <v>46</v>
      </c>
      <c r="D146" t="s">
        <v>5791</v>
      </c>
      <c r="E146" t="s">
        <v>5791</v>
      </c>
      <c r="F146" s="12">
        <v>41</v>
      </c>
      <c r="G146" s="7">
        <v>587.66666666666663</v>
      </c>
    </row>
    <row r="147" spans="1:7" x14ac:dyDescent="0.25">
      <c r="A147" t="s">
        <v>5582</v>
      </c>
      <c r="B147" t="s">
        <v>5583</v>
      </c>
      <c r="C147" t="s">
        <v>73</v>
      </c>
      <c r="D147" t="s">
        <v>5791</v>
      </c>
      <c r="E147" t="s">
        <v>5791</v>
      </c>
      <c r="F147" s="12">
        <v>17</v>
      </c>
      <c r="G147" s="7">
        <v>147.87166666666667</v>
      </c>
    </row>
    <row r="148" spans="1:7" x14ac:dyDescent="0.25">
      <c r="A148" t="s">
        <v>5582</v>
      </c>
      <c r="B148" t="s">
        <v>5583</v>
      </c>
      <c r="C148" t="s">
        <v>3206</v>
      </c>
      <c r="D148" t="s">
        <v>5791</v>
      </c>
      <c r="E148" t="s">
        <v>5791</v>
      </c>
      <c r="F148" s="12">
        <v>1</v>
      </c>
      <c r="G148" s="7">
        <v>36.357500000000002</v>
      </c>
    </row>
    <row r="149" spans="1:7" x14ac:dyDescent="0.25">
      <c r="A149" t="s">
        <v>5656</v>
      </c>
      <c r="B149" t="s">
        <v>1331</v>
      </c>
      <c r="C149" t="s">
        <v>46</v>
      </c>
      <c r="D149" t="s">
        <v>5791</v>
      </c>
      <c r="E149" t="s">
        <v>5791</v>
      </c>
      <c r="F149" s="12">
        <v>11</v>
      </c>
      <c r="G149" s="7">
        <v>157.66666666666669</v>
      </c>
    </row>
    <row r="150" spans="1:7" x14ac:dyDescent="0.25">
      <c r="A150" t="s">
        <v>5656</v>
      </c>
      <c r="B150" t="s">
        <v>1331</v>
      </c>
      <c r="C150" t="s">
        <v>73</v>
      </c>
      <c r="D150" t="s">
        <v>5791</v>
      </c>
      <c r="E150" t="s">
        <v>5791</v>
      </c>
      <c r="F150" s="12">
        <v>1</v>
      </c>
      <c r="G150" s="7">
        <v>8.6983333333333324</v>
      </c>
    </row>
    <row r="151" spans="1:7" x14ac:dyDescent="0.25">
      <c r="A151" t="s">
        <v>5657</v>
      </c>
      <c r="B151" t="s">
        <v>5658</v>
      </c>
      <c r="C151" t="s">
        <v>46</v>
      </c>
      <c r="D151" t="s">
        <v>5791</v>
      </c>
      <c r="E151" t="s">
        <v>5791</v>
      </c>
      <c r="F151" s="12">
        <v>2</v>
      </c>
      <c r="G151" s="7">
        <v>28.666666666666668</v>
      </c>
    </row>
    <row r="152" spans="1:7" x14ac:dyDescent="0.25">
      <c r="A152" t="s">
        <v>5733</v>
      </c>
      <c r="B152" t="s">
        <v>5734</v>
      </c>
      <c r="C152" t="s">
        <v>73</v>
      </c>
      <c r="D152" t="s">
        <v>5791</v>
      </c>
      <c r="E152" t="s">
        <v>5791</v>
      </c>
      <c r="F152" s="12">
        <v>1</v>
      </c>
      <c r="G152" s="7">
        <v>8.6983333333333324</v>
      </c>
    </row>
    <row r="153" spans="1:7" x14ac:dyDescent="0.25">
      <c r="A153" t="s">
        <v>5602</v>
      </c>
      <c r="B153" t="s">
        <v>5603</v>
      </c>
      <c r="C153" t="s">
        <v>46</v>
      </c>
      <c r="D153" t="s">
        <v>882</v>
      </c>
      <c r="E153" t="s">
        <v>5562</v>
      </c>
      <c r="F153" s="12">
        <v>1</v>
      </c>
      <c r="G153" s="7">
        <v>85.186250000000001</v>
      </c>
    </row>
    <row r="154" spans="1:7" x14ac:dyDescent="0.25">
      <c r="A154" t="s">
        <v>5602</v>
      </c>
      <c r="B154" t="s">
        <v>5603</v>
      </c>
      <c r="C154" t="s">
        <v>46</v>
      </c>
      <c r="D154" t="s">
        <v>5791</v>
      </c>
      <c r="E154" t="s">
        <v>5791</v>
      </c>
      <c r="F154" s="12">
        <v>9</v>
      </c>
      <c r="G154" s="7">
        <v>129</v>
      </c>
    </row>
    <row r="155" spans="1:7" x14ac:dyDescent="0.25">
      <c r="A155" t="s">
        <v>5602</v>
      </c>
      <c r="B155" t="s">
        <v>5603</v>
      </c>
      <c r="C155" t="s">
        <v>73</v>
      </c>
      <c r="D155" t="s">
        <v>5791</v>
      </c>
      <c r="E155" t="s">
        <v>5791</v>
      </c>
      <c r="F155" s="12">
        <v>2</v>
      </c>
      <c r="G155" s="7">
        <v>17.396666666666665</v>
      </c>
    </row>
    <row r="156" spans="1:7" x14ac:dyDescent="0.25">
      <c r="A156" t="s">
        <v>5602</v>
      </c>
      <c r="B156" t="s">
        <v>5603</v>
      </c>
      <c r="C156" t="s">
        <v>96</v>
      </c>
      <c r="D156" t="s">
        <v>5791</v>
      </c>
      <c r="E156" t="s">
        <v>5791</v>
      </c>
      <c r="F156" s="12">
        <v>1</v>
      </c>
      <c r="G156" s="7">
        <v>82.24</v>
      </c>
    </row>
    <row r="157" spans="1:7" x14ac:dyDescent="0.25">
      <c r="A157" t="s">
        <v>5761</v>
      </c>
      <c r="B157" t="s">
        <v>5762</v>
      </c>
      <c r="C157" t="s">
        <v>46</v>
      </c>
      <c r="D157" t="s">
        <v>5791</v>
      </c>
      <c r="E157" t="s">
        <v>5791</v>
      </c>
      <c r="F157" s="12">
        <v>2</v>
      </c>
      <c r="G157" s="7">
        <v>28.666666666666668</v>
      </c>
    </row>
    <row r="158" spans="1:7" x14ac:dyDescent="0.25">
      <c r="A158" t="s">
        <v>5600</v>
      </c>
      <c r="B158" t="s">
        <v>5601</v>
      </c>
      <c r="C158" t="s">
        <v>46</v>
      </c>
      <c r="D158" t="s">
        <v>5791</v>
      </c>
      <c r="E158" t="s">
        <v>5791</v>
      </c>
      <c r="F158" s="12">
        <v>6</v>
      </c>
      <c r="G158" s="7">
        <v>86</v>
      </c>
    </row>
    <row r="159" spans="1:7" x14ac:dyDescent="0.25">
      <c r="A159" t="s">
        <v>5632</v>
      </c>
      <c r="B159" t="s">
        <v>5633</v>
      </c>
      <c r="C159" t="s">
        <v>46</v>
      </c>
      <c r="D159" t="s">
        <v>5791</v>
      </c>
      <c r="E159" t="s">
        <v>5791</v>
      </c>
      <c r="F159" s="12">
        <v>2</v>
      </c>
      <c r="G159" s="7">
        <v>28.666666666666668</v>
      </c>
    </row>
    <row r="160" spans="1:7" x14ac:dyDescent="0.25">
      <c r="A160" t="s">
        <v>5632</v>
      </c>
      <c r="B160" t="s">
        <v>5633</v>
      </c>
      <c r="C160" t="s">
        <v>96</v>
      </c>
      <c r="D160" t="s">
        <v>5791</v>
      </c>
      <c r="E160" t="s">
        <v>5791</v>
      </c>
      <c r="F160" s="12">
        <v>1</v>
      </c>
      <c r="G160" s="7">
        <v>82.24</v>
      </c>
    </row>
    <row r="161" spans="1:7" x14ac:dyDescent="0.25">
      <c r="A161" t="s">
        <v>5632</v>
      </c>
      <c r="B161" t="s">
        <v>5633</v>
      </c>
      <c r="C161" t="s">
        <v>882</v>
      </c>
      <c r="D161" t="s">
        <v>5562</v>
      </c>
      <c r="E161" t="s">
        <v>5791</v>
      </c>
      <c r="F161" s="12">
        <v>1</v>
      </c>
      <c r="G161" s="7">
        <v>70.852916666666658</v>
      </c>
    </row>
    <row r="162" spans="1:7" x14ac:dyDescent="0.25">
      <c r="A162" t="s">
        <v>5673</v>
      </c>
      <c r="B162" t="s">
        <v>5674</v>
      </c>
      <c r="C162" t="s">
        <v>46</v>
      </c>
      <c r="D162" t="s">
        <v>5791</v>
      </c>
      <c r="E162" t="s">
        <v>5791</v>
      </c>
      <c r="F162" s="12">
        <v>3</v>
      </c>
      <c r="G162" s="7">
        <v>43</v>
      </c>
    </row>
    <row r="163" spans="1:7" x14ac:dyDescent="0.25">
      <c r="A163" t="s">
        <v>5673</v>
      </c>
      <c r="B163" t="s">
        <v>5674</v>
      </c>
      <c r="C163" t="s">
        <v>882</v>
      </c>
      <c r="D163" t="s">
        <v>5791</v>
      </c>
      <c r="E163" t="s">
        <v>5791</v>
      </c>
      <c r="F163" s="12">
        <v>1</v>
      </c>
      <c r="G163" s="7">
        <v>35.979166666666664</v>
      </c>
    </row>
    <row r="164" spans="1:7" x14ac:dyDescent="0.25">
      <c r="A164" t="s">
        <v>5710</v>
      </c>
      <c r="B164" t="s">
        <v>5711</v>
      </c>
      <c r="C164" t="s">
        <v>46</v>
      </c>
      <c r="D164" t="s">
        <v>5791</v>
      </c>
      <c r="E164" t="s">
        <v>5791</v>
      </c>
      <c r="F164" s="12">
        <v>2</v>
      </c>
      <c r="G164" s="7">
        <v>28.666666666666668</v>
      </c>
    </row>
    <row r="165" spans="1:7" x14ac:dyDescent="0.25">
      <c r="A165" t="s">
        <v>5699</v>
      </c>
      <c r="B165" t="s">
        <v>5700</v>
      </c>
      <c r="C165" t="s">
        <v>46</v>
      </c>
      <c r="D165" t="s">
        <v>5791</v>
      </c>
      <c r="E165" t="s">
        <v>5791</v>
      </c>
      <c r="F165" s="12">
        <v>3</v>
      </c>
      <c r="G165" s="7">
        <v>43</v>
      </c>
    </row>
    <row r="166" spans="1:7" x14ac:dyDescent="0.25">
      <c r="A166" t="s">
        <v>5699</v>
      </c>
      <c r="B166" t="s">
        <v>5700</v>
      </c>
      <c r="C166" t="s">
        <v>73</v>
      </c>
      <c r="D166" t="s">
        <v>5791</v>
      </c>
      <c r="E166" t="s">
        <v>5791</v>
      </c>
      <c r="F166" s="12">
        <v>2</v>
      </c>
      <c r="G166" s="7">
        <v>17.396666666666665</v>
      </c>
    </row>
    <row r="167" spans="1:7" x14ac:dyDescent="0.25">
      <c r="A167" t="s">
        <v>5630</v>
      </c>
      <c r="B167" t="s">
        <v>5631</v>
      </c>
      <c r="C167" t="s">
        <v>46</v>
      </c>
      <c r="D167" t="s">
        <v>3206</v>
      </c>
      <c r="E167" t="s">
        <v>5791</v>
      </c>
      <c r="F167" s="12">
        <v>2</v>
      </c>
      <c r="G167" s="7">
        <v>101.38166666666667</v>
      </c>
    </row>
    <row r="168" spans="1:7" x14ac:dyDescent="0.25">
      <c r="A168" t="s">
        <v>5630</v>
      </c>
      <c r="B168" t="s">
        <v>5631</v>
      </c>
      <c r="C168" t="s">
        <v>46</v>
      </c>
      <c r="D168" t="s">
        <v>5791</v>
      </c>
      <c r="E168" t="s">
        <v>5791</v>
      </c>
      <c r="F168" s="12">
        <v>15</v>
      </c>
      <c r="G168" s="7">
        <v>215.00000000000006</v>
      </c>
    </row>
    <row r="169" spans="1:7" x14ac:dyDescent="0.25">
      <c r="A169" t="s">
        <v>5630</v>
      </c>
      <c r="B169" t="s">
        <v>5631</v>
      </c>
      <c r="C169" t="s">
        <v>73</v>
      </c>
      <c r="D169" t="s">
        <v>3206</v>
      </c>
      <c r="E169" t="s">
        <v>5791</v>
      </c>
      <c r="F169" s="12">
        <v>1</v>
      </c>
      <c r="G169" s="7">
        <v>45.055833333333332</v>
      </c>
    </row>
    <row r="170" spans="1:7" x14ac:dyDescent="0.25">
      <c r="A170" t="s">
        <v>5630</v>
      </c>
      <c r="B170" t="s">
        <v>5631</v>
      </c>
      <c r="C170" t="s">
        <v>73</v>
      </c>
      <c r="D170" t="s">
        <v>5791</v>
      </c>
      <c r="E170" t="s">
        <v>5791</v>
      </c>
      <c r="F170" s="12">
        <v>2</v>
      </c>
      <c r="G170" s="7">
        <v>17.396666666666665</v>
      </c>
    </row>
    <row r="171" spans="1:7" x14ac:dyDescent="0.25">
      <c r="A171" t="s">
        <v>5630</v>
      </c>
      <c r="B171" t="s">
        <v>5631</v>
      </c>
      <c r="C171" t="s">
        <v>96</v>
      </c>
      <c r="D171" t="s">
        <v>5791</v>
      </c>
      <c r="E171" t="s">
        <v>5791</v>
      </c>
      <c r="F171" s="12">
        <v>1</v>
      </c>
      <c r="G171" s="7">
        <v>82.24</v>
      </c>
    </row>
    <row r="172" spans="1:7" x14ac:dyDescent="0.25">
      <c r="A172" t="s">
        <v>5638</v>
      </c>
      <c r="B172" t="s">
        <v>5639</v>
      </c>
      <c r="C172" t="s">
        <v>46</v>
      </c>
      <c r="D172" t="s">
        <v>5791</v>
      </c>
      <c r="E172" t="s">
        <v>5791</v>
      </c>
      <c r="F172" s="12">
        <v>1</v>
      </c>
      <c r="G172" s="7">
        <v>14.333333333333334</v>
      </c>
    </row>
    <row r="173" spans="1:7" x14ac:dyDescent="0.25">
      <c r="A173" t="s">
        <v>5667</v>
      </c>
      <c r="B173" t="s">
        <v>808</v>
      </c>
      <c r="C173" t="s">
        <v>46</v>
      </c>
      <c r="D173" t="s">
        <v>73</v>
      </c>
      <c r="E173" t="s">
        <v>5791</v>
      </c>
      <c r="F173" s="12">
        <v>1</v>
      </c>
      <c r="G173" s="7">
        <v>23.031666666666666</v>
      </c>
    </row>
    <row r="174" spans="1:7" x14ac:dyDescent="0.25">
      <c r="A174" t="s">
        <v>5667</v>
      </c>
      <c r="B174" t="s">
        <v>808</v>
      </c>
      <c r="C174" t="s">
        <v>46</v>
      </c>
      <c r="D174" t="s">
        <v>5791</v>
      </c>
      <c r="E174" t="s">
        <v>5791</v>
      </c>
      <c r="F174" s="12">
        <v>3</v>
      </c>
      <c r="G174" s="7">
        <v>43</v>
      </c>
    </row>
    <row r="175" spans="1:7" x14ac:dyDescent="0.25">
      <c r="A175" t="s">
        <v>5748</v>
      </c>
      <c r="B175" t="s">
        <v>4972</v>
      </c>
      <c r="C175" t="s">
        <v>46</v>
      </c>
      <c r="D175" t="s">
        <v>5791</v>
      </c>
      <c r="E175" t="s">
        <v>5791</v>
      </c>
      <c r="F175" s="12">
        <v>4</v>
      </c>
      <c r="G175" s="7">
        <v>57.333333333333336</v>
      </c>
    </row>
    <row r="176" spans="1:7" x14ac:dyDescent="0.25">
      <c r="A176" t="s">
        <v>5666</v>
      </c>
      <c r="B176" t="s">
        <v>1923</v>
      </c>
      <c r="C176" t="s">
        <v>46</v>
      </c>
      <c r="D176" t="s">
        <v>5791</v>
      </c>
      <c r="E176" t="s">
        <v>5791</v>
      </c>
      <c r="F176" s="12">
        <v>7</v>
      </c>
      <c r="G176" s="7">
        <v>100.33333333333333</v>
      </c>
    </row>
    <row r="177" spans="1:7" x14ac:dyDescent="0.25">
      <c r="A177" t="s">
        <v>5666</v>
      </c>
      <c r="B177" t="s">
        <v>1923</v>
      </c>
      <c r="C177" t="s">
        <v>73</v>
      </c>
      <c r="D177" t="s">
        <v>5791</v>
      </c>
      <c r="E177" t="s">
        <v>5791</v>
      </c>
      <c r="F177" s="12">
        <v>2</v>
      </c>
      <c r="G177" s="7">
        <v>17.396666666666665</v>
      </c>
    </row>
    <row r="178" spans="1:7" x14ac:dyDescent="0.25">
      <c r="A178" t="s">
        <v>5707</v>
      </c>
      <c r="B178" t="s">
        <v>2014</v>
      </c>
      <c r="C178" t="s">
        <v>46</v>
      </c>
      <c r="D178" t="s">
        <v>5791</v>
      </c>
      <c r="E178" t="s">
        <v>5791</v>
      </c>
      <c r="F178" s="12">
        <v>4</v>
      </c>
      <c r="G178" s="7">
        <v>57.333333333333336</v>
      </c>
    </row>
    <row r="179" spans="1:7" x14ac:dyDescent="0.25">
      <c r="A179" t="s">
        <v>5707</v>
      </c>
      <c r="B179" t="s">
        <v>2014</v>
      </c>
      <c r="C179" t="s">
        <v>73</v>
      </c>
      <c r="D179" t="s">
        <v>5791</v>
      </c>
      <c r="E179" t="s">
        <v>5791</v>
      </c>
      <c r="F179" s="12">
        <v>3</v>
      </c>
      <c r="G179" s="7">
        <v>26.094999999999999</v>
      </c>
    </row>
    <row r="180" spans="1:7" x14ac:dyDescent="0.25">
      <c r="A180" t="s">
        <v>5610</v>
      </c>
      <c r="B180" t="s">
        <v>5611</v>
      </c>
      <c r="C180" t="s">
        <v>46</v>
      </c>
      <c r="D180" t="s">
        <v>5791</v>
      </c>
      <c r="E180" t="s">
        <v>5791</v>
      </c>
      <c r="F180" s="12">
        <v>61</v>
      </c>
      <c r="G180" s="7">
        <v>874.33333333333405</v>
      </c>
    </row>
    <row r="181" spans="1:7" x14ac:dyDescent="0.25">
      <c r="A181" t="s">
        <v>5610</v>
      </c>
      <c r="B181" t="s">
        <v>5611</v>
      </c>
      <c r="C181" t="s">
        <v>73</v>
      </c>
      <c r="D181" t="s">
        <v>5791</v>
      </c>
      <c r="E181" t="s">
        <v>5791</v>
      </c>
      <c r="F181" s="12">
        <v>1</v>
      </c>
      <c r="G181" s="7">
        <v>8.6983333333333324</v>
      </c>
    </row>
    <row r="182" spans="1:7" x14ac:dyDescent="0.25">
      <c r="A182" t="s">
        <v>5675</v>
      </c>
      <c r="B182" t="s">
        <v>5676</v>
      </c>
      <c r="C182" t="s">
        <v>46</v>
      </c>
      <c r="D182" t="s">
        <v>5791</v>
      </c>
      <c r="E182" t="s">
        <v>5791</v>
      </c>
      <c r="F182" s="12">
        <v>3</v>
      </c>
      <c r="G182" s="7">
        <v>43</v>
      </c>
    </row>
    <row r="183" spans="1:7" x14ac:dyDescent="0.25">
      <c r="A183" t="s">
        <v>5749</v>
      </c>
      <c r="B183" t="s">
        <v>5750</v>
      </c>
      <c r="C183" t="s">
        <v>46</v>
      </c>
      <c r="D183" t="s">
        <v>5791</v>
      </c>
      <c r="E183" t="s">
        <v>5791</v>
      </c>
      <c r="F183" s="12">
        <v>6</v>
      </c>
      <c r="G183" s="7">
        <v>86</v>
      </c>
    </row>
    <row r="184" spans="1:7" x14ac:dyDescent="0.25">
      <c r="A184" t="s">
        <v>5662</v>
      </c>
      <c r="B184" t="s">
        <v>5663</v>
      </c>
      <c r="C184" t="s">
        <v>73</v>
      </c>
      <c r="D184" t="s">
        <v>5791</v>
      </c>
      <c r="E184" t="s">
        <v>5791</v>
      </c>
      <c r="F184" s="12">
        <v>1</v>
      </c>
      <c r="G184" s="7">
        <v>8.6983333333333324</v>
      </c>
    </row>
    <row r="185" spans="1:7" x14ac:dyDescent="0.25">
      <c r="A185" t="s">
        <v>5580</v>
      </c>
      <c r="B185" t="s">
        <v>5581</v>
      </c>
      <c r="C185" t="s">
        <v>46</v>
      </c>
      <c r="D185" t="s">
        <v>96</v>
      </c>
      <c r="E185" t="s">
        <v>5791</v>
      </c>
      <c r="F185" s="12">
        <v>1</v>
      </c>
      <c r="G185" s="7">
        <v>96.573333333333323</v>
      </c>
    </row>
    <row r="186" spans="1:7" x14ac:dyDescent="0.25">
      <c r="A186" t="s">
        <v>5580</v>
      </c>
      <c r="B186" t="s">
        <v>5581</v>
      </c>
      <c r="C186" t="s">
        <v>46</v>
      </c>
      <c r="D186" t="s">
        <v>5791</v>
      </c>
      <c r="E186" t="s">
        <v>5791</v>
      </c>
      <c r="F186" s="12">
        <v>24</v>
      </c>
      <c r="G186" s="7">
        <v>343.99999999999994</v>
      </c>
    </row>
    <row r="187" spans="1:7" x14ac:dyDescent="0.25">
      <c r="A187" t="s">
        <v>5580</v>
      </c>
      <c r="B187" t="s">
        <v>5581</v>
      </c>
      <c r="C187" t="s">
        <v>73</v>
      </c>
      <c r="D187" t="s">
        <v>5791</v>
      </c>
      <c r="E187" t="s">
        <v>5791</v>
      </c>
      <c r="F187" s="12">
        <v>3</v>
      </c>
      <c r="G187" s="7">
        <v>26.094999999999999</v>
      </c>
    </row>
    <row r="188" spans="1:7" x14ac:dyDescent="0.25">
      <c r="A188" t="s">
        <v>5580</v>
      </c>
      <c r="B188" t="s">
        <v>5581</v>
      </c>
      <c r="C188" t="s">
        <v>96</v>
      </c>
      <c r="D188" t="s">
        <v>5791</v>
      </c>
      <c r="E188" t="s">
        <v>5791</v>
      </c>
      <c r="F188" s="12">
        <v>2</v>
      </c>
      <c r="G188" s="7">
        <v>164.48</v>
      </c>
    </row>
    <row r="189" spans="1:7" x14ac:dyDescent="0.25">
      <c r="A189" t="s">
        <v>5759</v>
      </c>
      <c r="B189" t="s">
        <v>5760</v>
      </c>
      <c r="C189" t="s">
        <v>46</v>
      </c>
      <c r="D189" t="s">
        <v>5791</v>
      </c>
      <c r="E189" t="s">
        <v>5791</v>
      </c>
      <c r="F189" s="12">
        <v>1</v>
      </c>
      <c r="G189" s="7">
        <v>14.333333333333334</v>
      </c>
    </row>
    <row r="190" spans="1:7" x14ac:dyDescent="0.25">
      <c r="A190" t="s">
        <v>5672</v>
      </c>
      <c r="B190" t="s">
        <v>2329</v>
      </c>
      <c r="C190" t="s">
        <v>46</v>
      </c>
      <c r="D190" t="s">
        <v>5791</v>
      </c>
      <c r="E190" t="s">
        <v>5791</v>
      </c>
      <c r="F190" s="12">
        <v>5</v>
      </c>
      <c r="G190" s="7">
        <v>71.666666666666671</v>
      </c>
    </row>
    <row r="191" spans="1:7" x14ac:dyDescent="0.25">
      <c r="A191" t="s">
        <v>5672</v>
      </c>
      <c r="B191" t="s">
        <v>2329</v>
      </c>
      <c r="C191" t="s">
        <v>73</v>
      </c>
      <c r="D191" t="s">
        <v>5791</v>
      </c>
      <c r="E191" t="s">
        <v>5791</v>
      </c>
      <c r="F191" s="12">
        <v>5</v>
      </c>
      <c r="G191" s="7">
        <v>43.49166666666666</v>
      </c>
    </row>
    <row r="192" spans="1:7" x14ac:dyDescent="0.25">
      <c r="A192" t="s">
        <v>5620</v>
      </c>
      <c r="B192" t="s">
        <v>1230</v>
      </c>
      <c r="C192" t="s">
        <v>46</v>
      </c>
      <c r="D192" t="s">
        <v>5791</v>
      </c>
      <c r="E192" t="s">
        <v>5791</v>
      </c>
      <c r="F192" s="12">
        <v>1</v>
      </c>
      <c r="G192" s="7">
        <v>14.333333333333334</v>
      </c>
    </row>
    <row r="193" spans="1:7" x14ac:dyDescent="0.25">
      <c r="A193" t="s">
        <v>5712</v>
      </c>
      <c r="B193" t="s">
        <v>5713</v>
      </c>
      <c r="C193" t="s">
        <v>46</v>
      </c>
      <c r="D193" t="s">
        <v>5791</v>
      </c>
      <c r="E193" t="s">
        <v>5791</v>
      </c>
      <c r="F193" s="12">
        <v>4</v>
      </c>
      <c r="G193" s="7">
        <v>57.333333333333336</v>
      </c>
    </row>
    <row r="194" spans="1:7" x14ac:dyDescent="0.25">
      <c r="A194" t="s">
        <v>5650</v>
      </c>
      <c r="B194" t="s">
        <v>5651</v>
      </c>
      <c r="C194" t="s">
        <v>46</v>
      </c>
      <c r="D194" t="s">
        <v>5791</v>
      </c>
      <c r="E194" t="s">
        <v>5791</v>
      </c>
      <c r="F194" s="12">
        <v>2</v>
      </c>
      <c r="G194" s="7">
        <v>28.666666666666668</v>
      </c>
    </row>
    <row r="195" spans="1:7" x14ac:dyDescent="0.25">
      <c r="A195" t="s">
        <v>5650</v>
      </c>
      <c r="B195" t="s">
        <v>5651</v>
      </c>
      <c r="C195" t="s">
        <v>73</v>
      </c>
      <c r="D195" t="s">
        <v>5791</v>
      </c>
      <c r="E195" t="s">
        <v>5791</v>
      </c>
      <c r="F195" s="12">
        <v>1</v>
      </c>
      <c r="G195" s="7">
        <v>8.6983333333333324</v>
      </c>
    </row>
    <row r="196" spans="1:7" x14ac:dyDescent="0.25">
      <c r="A196" t="s">
        <v>5680</v>
      </c>
      <c r="B196" t="s">
        <v>5681</v>
      </c>
      <c r="C196" t="s">
        <v>46</v>
      </c>
      <c r="D196" t="s">
        <v>5562</v>
      </c>
      <c r="E196" t="s">
        <v>3206</v>
      </c>
      <c r="F196" s="12">
        <v>1</v>
      </c>
      <c r="G196" s="7">
        <v>85.564583333333331</v>
      </c>
    </row>
    <row r="197" spans="1:7" x14ac:dyDescent="0.25">
      <c r="A197" t="s">
        <v>5680</v>
      </c>
      <c r="B197" t="s">
        <v>5681</v>
      </c>
      <c r="C197" t="s">
        <v>46</v>
      </c>
      <c r="D197" t="s">
        <v>5791</v>
      </c>
      <c r="E197" t="s">
        <v>5791</v>
      </c>
      <c r="F197" s="12">
        <v>4</v>
      </c>
      <c r="G197" s="7">
        <v>57.333333333333336</v>
      </c>
    </row>
    <row r="198" spans="1:7" x14ac:dyDescent="0.25">
      <c r="A198" t="s">
        <v>5680</v>
      </c>
      <c r="B198" t="s">
        <v>5681</v>
      </c>
      <c r="C198" t="s">
        <v>73</v>
      </c>
      <c r="D198" t="s">
        <v>5791</v>
      </c>
      <c r="E198" t="s">
        <v>5791</v>
      </c>
      <c r="F198" s="12">
        <v>2</v>
      </c>
      <c r="G198" s="7">
        <v>17.396666666666665</v>
      </c>
    </row>
    <row r="199" spans="1:7" x14ac:dyDescent="0.25">
      <c r="A199" t="s">
        <v>5612</v>
      </c>
      <c r="B199" t="s">
        <v>5613</v>
      </c>
      <c r="C199" t="s">
        <v>46</v>
      </c>
      <c r="D199" t="s">
        <v>5791</v>
      </c>
      <c r="E199" t="s">
        <v>5791</v>
      </c>
      <c r="F199" s="12">
        <v>10</v>
      </c>
      <c r="G199" s="7">
        <v>143.33333333333334</v>
      </c>
    </row>
    <row r="200" spans="1:7" x14ac:dyDescent="0.25">
      <c r="A200" t="s">
        <v>5612</v>
      </c>
      <c r="B200" t="s">
        <v>5613</v>
      </c>
      <c r="C200" t="s">
        <v>73</v>
      </c>
      <c r="D200" t="s">
        <v>5791</v>
      </c>
      <c r="E200" t="s">
        <v>5791</v>
      </c>
      <c r="F200" s="12">
        <v>4</v>
      </c>
      <c r="G200" s="7">
        <v>34.793333333333329</v>
      </c>
    </row>
    <row r="201" spans="1:7" x14ac:dyDescent="0.25">
      <c r="A201" t="s">
        <v>5705</v>
      </c>
      <c r="B201" t="s">
        <v>1577</v>
      </c>
      <c r="C201" t="s">
        <v>46</v>
      </c>
      <c r="D201" t="s">
        <v>5791</v>
      </c>
      <c r="E201" t="s">
        <v>5791</v>
      </c>
      <c r="F201" s="12">
        <v>3</v>
      </c>
      <c r="G201" s="7">
        <v>43</v>
      </c>
    </row>
    <row r="202" spans="1:7" x14ac:dyDescent="0.25">
      <c r="A202" t="s">
        <v>5705</v>
      </c>
      <c r="B202" t="s">
        <v>1577</v>
      </c>
      <c r="C202" t="s">
        <v>73</v>
      </c>
      <c r="D202" t="s">
        <v>5791</v>
      </c>
      <c r="E202" t="s">
        <v>5791</v>
      </c>
      <c r="F202" s="12">
        <v>1</v>
      </c>
      <c r="G202" s="7">
        <v>8.6983333333333324</v>
      </c>
    </row>
    <row r="203" spans="1:7" x14ac:dyDescent="0.25">
      <c r="A203" t="s">
        <v>5686</v>
      </c>
      <c r="B203" t="s">
        <v>5687</v>
      </c>
      <c r="C203" t="s">
        <v>46</v>
      </c>
      <c r="D203" t="s">
        <v>5791</v>
      </c>
      <c r="E203" t="s">
        <v>5791</v>
      </c>
      <c r="F203" s="12">
        <v>11</v>
      </c>
      <c r="G203" s="7">
        <v>157.66666666666669</v>
      </c>
    </row>
    <row r="204" spans="1:7" x14ac:dyDescent="0.25">
      <c r="A204" t="s">
        <v>5686</v>
      </c>
      <c r="B204" t="s">
        <v>5687</v>
      </c>
      <c r="C204" t="s">
        <v>73</v>
      </c>
      <c r="D204" t="s">
        <v>5791</v>
      </c>
      <c r="E204" t="s">
        <v>5791</v>
      </c>
      <c r="F204" s="12">
        <v>4</v>
      </c>
      <c r="G204" s="7">
        <v>34.793333333333329</v>
      </c>
    </row>
    <row r="205" spans="1:7" x14ac:dyDescent="0.25">
      <c r="A205" t="s">
        <v>5628</v>
      </c>
      <c r="B205" t="s">
        <v>5629</v>
      </c>
      <c r="C205" t="s">
        <v>46</v>
      </c>
      <c r="D205" t="s">
        <v>5791</v>
      </c>
      <c r="E205" t="s">
        <v>5791</v>
      </c>
      <c r="F205" s="12">
        <v>18</v>
      </c>
      <c r="G205" s="7">
        <v>258.00000000000006</v>
      </c>
    </row>
    <row r="206" spans="1:7" x14ac:dyDescent="0.25">
      <c r="A206" t="s">
        <v>5628</v>
      </c>
      <c r="B206" t="s">
        <v>5629</v>
      </c>
      <c r="C206" t="s">
        <v>73</v>
      </c>
      <c r="D206" t="s">
        <v>5791</v>
      </c>
      <c r="E206" t="s">
        <v>5791</v>
      </c>
      <c r="F206" s="12">
        <v>3</v>
      </c>
      <c r="G206" s="7">
        <v>26.094999999999999</v>
      </c>
    </row>
    <row r="207" spans="1:7" x14ac:dyDescent="0.25">
      <c r="A207" t="s">
        <v>5729</v>
      </c>
      <c r="B207" t="s">
        <v>5730</v>
      </c>
      <c r="C207" t="s">
        <v>46</v>
      </c>
      <c r="D207" t="s">
        <v>5791</v>
      </c>
      <c r="E207" t="s">
        <v>5791</v>
      </c>
      <c r="F207" s="12">
        <v>2</v>
      </c>
      <c r="G207" s="7">
        <v>28.666666666666668</v>
      </c>
    </row>
    <row r="208" spans="1:7" x14ac:dyDescent="0.25">
      <c r="A208" t="s">
        <v>5771</v>
      </c>
      <c r="B208" t="s">
        <v>5772</v>
      </c>
      <c r="C208" t="s">
        <v>73</v>
      </c>
      <c r="D208" t="s">
        <v>5791</v>
      </c>
      <c r="E208" t="s">
        <v>5791</v>
      </c>
      <c r="F208" s="12">
        <v>2</v>
      </c>
      <c r="G208" s="7">
        <v>17.396666666666665</v>
      </c>
    </row>
    <row r="209" spans="1:7" x14ac:dyDescent="0.25">
      <c r="A209" t="s">
        <v>5724</v>
      </c>
      <c r="B209" t="s">
        <v>5725</v>
      </c>
      <c r="C209" t="s">
        <v>46</v>
      </c>
      <c r="D209" t="s">
        <v>5791</v>
      </c>
      <c r="E209" t="s">
        <v>5791</v>
      </c>
      <c r="F209" s="12">
        <v>2</v>
      </c>
      <c r="G209" s="7">
        <v>28.666666666666668</v>
      </c>
    </row>
    <row r="210" spans="1:7" x14ac:dyDescent="0.25">
      <c r="A210" t="s">
        <v>5775</v>
      </c>
      <c r="B210" t="s">
        <v>5776</v>
      </c>
      <c r="C210" t="s">
        <v>882</v>
      </c>
      <c r="D210" t="s">
        <v>5791</v>
      </c>
      <c r="E210" t="s">
        <v>5791</v>
      </c>
      <c r="F210" s="12">
        <v>1</v>
      </c>
      <c r="G210" s="7">
        <v>35.979166666666664</v>
      </c>
    </row>
    <row r="211" spans="1:7" x14ac:dyDescent="0.25">
      <c r="A211" t="s">
        <v>5744</v>
      </c>
      <c r="B211" t="s">
        <v>5745</v>
      </c>
      <c r="C211" t="s">
        <v>73</v>
      </c>
      <c r="D211" t="s">
        <v>5791</v>
      </c>
      <c r="E211" t="s">
        <v>5791</v>
      </c>
      <c r="F211" s="12">
        <v>1</v>
      </c>
      <c r="G211" s="7">
        <v>8.6983333333333324</v>
      </c>
    </row>
    <row r="212" spans="1:7" x14ac:dyDescent="0.25">
      <c r="A212" t="s">
        <v>5737</v>
      </c>
      <c r="B212" t="s">
        <v>5738</v>
      </c>
      <c r="C212" t="s">
        <v>46</v>
      </c>
      <c r="D212" t="s">
        <v>96</v>
      </c>
      <c r="E212" t="s">
        <v>5791</v>
      </c>
      <c r="F212" s="12">
        <v>1</v>
      </c>
      <c r="G212" s="7">
        <v>96.573333333333323</v>
      </c>
    </row>
    <row r="213" spans="1:7" x14ac:dyDescent="0.25">
      <c r="A213" t="s">
        <v>5737</v>
      </c>
      <c r="B213" t="s">
        <v>5738</v>
      </c>
      <c r="C213" t="s">
        <v>46</v>
      </c>
      <c r="D213" t="s">
        <v>5565</v>
      </c>
      <c r="E213" t="s">
        <v>5791</v>
      </c>
      <c r="F213" s="12">
        <v>3</v>
      </c>
      <c r="G213" s="7">
        <v>43</v>
      </c>
    </row>
    <row r="214" spans="1:7" x14ac:dyDescent="0.25">
      <c r="A214" t="s">
        <v>5737</v>
      </c>
      <c r="B214" t="s">
        <v>5738</v>
      </c>
      <c r="C214" t="s">
        <v>46</v>
      </c>
      <c r="D214" t="s">
        <v>5562</v>
      </c>
      <c r="E214" t="s">
        <v>5791</v>
      </c>
      <c r="F214" s="12">
        <v>1</v>
      </c>
      <c r="G214" s="7">
        <v>49.207083333333337</v>
      </c>
    </row>
    <row r="215" spans="1:7" x14ac:dyDescent="0.25">
      <c r="A215" t="s">
        <v>5737</v>
      </c>
      <c r="B215" t="s">
        <v>5738</v>
      </c>
      <c r="C215" t="s">
        <v>46</v>
      </c>
      <c r="D215" t="s">
        <v>5791</v>
      </c>
      <c r="E215" t="s">
        <v>5791</v>
      </c>
      <c r="F215" s="12">
        <v>17</v>
      </c>
      <c r="G215" s="7">
        <v>243.66666666666674</v>
      </c>
    </row>
    <row r="216" spans="1:7" x14ac:dyDescent="0.25">
      <c r="A216" t="s">
        <v>5737</v>
      </c>
      <c r="B216" t="s">
        <v>5738</v>
      </c>
      <c r="C216" t="s">
        <v>73</v>
      </c>
      <c r="D216" t="s">
        <v>5791</v>
      </c>
      <c r="E216" t="s">
        <v>5791</v>
      </c>
      <c r="F216" s="12">
        <v>2</v>
      </c>
      <c r="G216" s="7">
        <v>17.396666666666665</v>
      </c>
    </row>
    <row r="217" spans="1:7" x14ac:dyDescent="0.25">
      <c r="A217" t="s">
        <v>5767</v>
      </c>
      <c r="B217" t="s">
        <v>5768</v>
      </c>
      <c r="C217" t="s">
        <v>46</v>
      </c>
      <c r="D217" t="s">
        <v>5791</v>
      </c>
      <c r="E217" t="s">
        <v>5791</v>
      </c>
      <c r="F217" s="12">
        <v>1</v>
      </c>
      <c r="G217" s="7">
        <v>14.333333333333334</v>
      </c>
    </row>
    <row r="218" spans="1:7" x14ac:dyDescent="0.25">
      <c r="A218" t="s">
        <v>5752</v>
      </c>
      <c r="B218" t="s">
        <v>5753</v>
      </c>
      <c r="C218" t="s">
        <v>46</v>
      </c>
      <c r="D218" t="s">
        <v>882</v>
      </c>
      <c r="E218" t="s">
        <v>5562</v>
      </c>
      <c r="F218" s="12">
        <v>1</v>
      </c>
      <c r="G218" s="7">
        <v>85.186250000000001</v>
      </c>
    </row>
    <row r="219" spans="1:7" x14ac:dyDescent="0.25">
      <c r="A219" t="s">
        <v>5752</v>
      </c>
      <c r="B219" t="s">
        <v>5753</v>
      </c>
      <c r="C219" t="s">
        <v>46</v>
      </c>
      <c r="D219" t="s">
        <v>5791</v>
      </c>
      <c r="E219" t="s">
        <v>5791</v>
      </c>
      <c r="F219" s="12">
        <v>1</v>
      </c>
      <c r="G219" s="7">
        <v>14.333333333333334</v>
      </c>
    </row>
    <row r="220" spans="1:7" x14ac:dyDescent="0.25">
      <c r="A220" t="s">
        <v>5752</v>
      </c>
      <c r="B220" t="s">
        <v>5753</v>
      </c>
      <c r="C220" t="s">
        <v>882</v>
      </c>
      <c r="D220" t="s">
        <v>5562</v>
      </c>
      <c r="E220" t="s">
        <v>3206</v>
      </c>
      <c r="F220" s="12">
        <v>1</v>
      </c>
      <c r="G220" s="7">
        <v>107.21041666666666</v>
      </c>
    </row>
    <row r="221" spans="1:7" x14ac:dyDescent="0.25">
      <c r="A221" t="s">
        <v>5769</v>
      </c>
      <c r="B221" t="s">
        <v>5770</v>
      </c>
      <c r="C221" t="s">
        <v>46</v>
      </c>
      <c r="D221" t="s">
        <v>5791</v>
      </c>
      <c r="E221" t="s">
        <v>5791</v>
      </c>
      <c r="F221" s="12">
        <v>8</v>
      </c>
      <c r="G221" s="7">
        <v>114.66666666666666</v>
      </c>
    </row>
    <row r="222" spans="1:7" x14ac:dyDescent="0.25">
      <c r="A222" t="s">
        <v>5769</v>
      </c>
      <c r="B222" t="s">
        <v>5770</v>
      </c>
      <c r="C222" t="s">
        <v>73</v>
      </c>
      <c r="D222" t="s">
        <v>5791</v>
      </c>
      <c r="E222" t="s">
        <v>5791</v>
      </c>
      <c r="F222" s="12">
        <v>1</v>
      </c>
      <c r="G222" s="7">
        <v>8.6983333333333324</v>
      </c>
    </row>
    <row r="223" spans="1:7" x14ac:dyDescent="0.25">
      <c r="A223" t="s">
        <v>5756</v>
      </c>
      <c r="B223" t="s">
        <v>3808</v>
      </c>
      <c r="C223" t="s">
        <v>46</v>
      </c>
      <c r="D223" t="s">
        <v>5791</v>
      </c>
      <c r="E223" t="s">
        <v>5791</v>
      </c>
      <c r="F223" s="12">
        <v>6</v>
      </c>
      <c r="G223" s="7">
        <v>86</v>
      </c>
    </row>
    <row r="224" spans="1:7" x14ac:dyDescent="0.25">
      <c r="A224" t="s">
        <v>5756</v>
      </c>
      <c r="B224" t="s">
        <v>3808</v>
      </c>
      <c r="C224" t="s">
        <v>73</v>
      </c>
      <c r="D224" t="s">
        <v>3206</v>
      </c>
      <c r="E224" t="s">
        <v>5791</v>
      </c>
      <c r="F224" s="12">
        <v>1</v>
      </c>
      <c r="G224" s="7">
        <v>45.055833333333332</v>
      </c>
    </row>
    <row r="225" spans="1:7" x14ac:dyDescent="0.25">
      <c r="A225" t="s">
        <v>5756</v>
      </c>
      <c r="B225" t="s">
        <v>3808</v>
      </c>
      <c r="C225" t="s">
        <v>73</v>
      </c>
      <c r="D225" t="s">
        <v>5791</v>
      </c>
      <c r="E225" t="s">
        <v>5791</v>
      </c>
      <c r="F225" s="12">
        <v>3</v>
      </c>
      <c r="G225" s="7">
        <v>26.094999999999999</v>
      </c>
    </row>
    <row r="226" spans="1:7" x14ac:dyDescent="0.25">
      <c r="A226" t="s">
        <v>5715</v>
      </c>
      <c r="B226" t="s">
        <v>5716</v>
      </c>
      <c r="C226" t="s">
        <v>46</v>
      </c>
      <c r="D226" t="s">
        <v>5791</v>
      </c>
      <c r="E226" t="s">
        <v>5791</v>
      </c>
      <c r="F226" s="12">
        <v>4</v>
      </c>
      <c r="G226" s="7">
        <v>57.333333333333336</v>
      </c>
    </row>
    <row r="227" spans="1:7" x14ac:dyDescent="0.25">
      <c r="A227" t="s">
        <v>5742</v>
      </c>
      <c r="B227" t="s">
        <v>5743</v>
      </c>
      <c r="C227" t="s">
        <v>46</v>
      </c>
      <c r="D227" t="s">
        <v>5791</v>
      </c>
      <c r="E227" t="s">
        <v>5791</v>
      </c>
      <c r="F227" s="12">
        <v>11</v>
      </c>
      <c r="G227" s="7">
        <v>157.66666666666669</v>
      </c>
    </row>
    <row r="228" spans="1:7" x14ac:dyDescent="0.25">
      <c r="A228" t="s">
        <v>5742</v>
      </c>
      <c r="B228" t="s">
        <v>5743</v>
      </c>
      <c r="C228" t="s">
        <v>73</v>
      </c>
      <c r="D228" t="s">
        <v>5791</v>
      </c>
      <c r="E228" t="s">
        <v>5791</v>
      </c>
      <c r="F228" s="12">
        <v>5</v>
      </c>
      <c r="G228" s="7">
        <v>43.49166666666666</v>
      </c>
    </row>
    <row r="229" spans="1:7" x14ac:dyDescent="0.25">
      <c r="A229" t="s">
        <v>5741</v>
      </c>
      <c r="B229" t="s">
        <v>4723</v>
      </c>
      <c r="C229" t="s">
        <v>46</v>
      </c>
      <c r="D229" t="s">
        <v>5791</v>
      </c>
      <c r="E229" t="s">
        <v>5791</v>
      </c>
      <c r="F229" s="12">
        <v>1</v>
      </c>
      <c r="G229" s="7">
        <v>14.333333333333334</v>
      </c>
    </row>
    <row r="230" spans="1:7" x14ac:dyDescent="0.25">
      <c r="A230" t="s">
        <v>5741</v>
      </c>
      <c r="B230" t="s">
        <v>4723</v>
      </c>
      <c r="C230" t="s">
        <v>73</v>
      </c>
      <c r="D230" t="s">
        <v>5791</v>
      </c>
      <c r="E230" t="s">
        <v>5791</v>
      </c>
      <c r="F230" s="12">
        <v>1</v>
      </c>
      <c r="G230" s="7">
        <v>8.6983333333333324</v>
      </c>
    </row>
    <row r="231" spans="1:7" x14ac:dyDescent="0.25">
      <c r="A231" t="s">
        <v>5648</v>
      </c>
      <c r="B231" t="s">
        <v>5649</v>
      </c>
      <c r="C231" t="s">
        <v>46</v>
      </c>
      <c r="D231" t="s">
        <v>5791</v>
      </c>
      <c r="E231" t="s">
        <v>5791</v>
      </c>
      <c r="F231" s="12">
        <v>1</v>
      </c>
      <c r="G231" s="7">
        <v>14.333333333333334</v>
      </c>
    </row>
    <row r="232" spans="1:7" x14ac:dyDescent="0.25">
      <c r="A232" t="s">
        <v>5593</v>
      </c>
      <c r="B232" t="s">
        <v>5594</v>
      </c>
      <c r="C232" t="s">
        <v>46</v>
      </c>
      <c r="D232" t="s">
        <v>5791</v>
      </c>
      <c r="E232" t="s">
        <v>5791</v>
      </c>
      <c r="F232" s="12">
        <v>2</v>
      </c>
      <c r="G232" s="7">
        <v>28.666666666666668</v>
      </c>
    </row>
    <row r="233" spans="1:7" x14ac:dyDescent="0.25">
      <c r="A233" t="s">
        <v>5677</v>
      </c>
      <c r="B233" t="s">
        <v>5678</v>
      </c>
      <c r="C233" t="s">
        <v>46</v>
      </c>
      <c r="D233" t="s">
        <v>5791</v>
      </c>
      <c r="E233" t="s">
        <v>5791</v>
      </c>
      <c r="F233" s="12">
        <v>1</v>
      </c>
      <c r="G233" s="7">
        <v>14.333333333333334</v>
      </c>
    </row>
    <row r="234" spans="1:7" x14ac:dyDescent="0.25">
      <c r="A234" t="s">
        <v>5746</v>
      </c>
      <c r="B234" t="s">
        <v>5747</v>
      </c>
      <c r="C234" t="s">
        <v>46</v>
      </c>
      <c r="D234" t="s">
        <v>5791</v>
      </c>
      <c r="E234" t="s">
        <v>5791</v>
      </c>
      <c r="F234" s="12">
        <v>1</v>
      </c>
      <c r="G234" s="7">
        <v>14.333333333333334</v>
      </c>
    </row>
    <row r="235" spans="1:7" x14ac:dyDescent="0.25">
      <c r="A235" t="s">
        <v>5781</v>
      </c>
      <c r="B235" t="s">
        <v>5782</v>
      </c>
      <c r="C235" t="s">
        <v>46</v>
      </c>
      <c r="D235" t="s">
        <v>5791</v>
      </c>
      <c r="E235" t="s">
        <v>5791</v>
      </c>
      <c r="F235" s="12">
        <v>1</v>
      </c>
      <c r="G235" s="7">
        <v>14.333333333333334</v>
      </c>
    </row>
    <row r="236" spans="1:7" x14ac:dyDescent="0.25">
      <c r="A236" t="s">
        <v>5646</v>
      </c>
      <c r="B236" t="s">
        <v>5647</v>
      </c>
      <c r="C236" t="s">
        <v>46</v>
      </c>
      <c r="D236" t="s">
        <v>5791</v>
      </c>
      <c r="E236" t="s">
        <v>5791</v>
      </c>
      <c r="F236" s="12">
        <v>1</v>
      </c>
      <c r="G236" s="7">
        <v>14.333333333333334</v>
      </c>
    </row>
    <row r="237" spans="1:7" x14ac:dyDescent="0.25">
      <c r="A237" t="s">
        <v>5791</v>
      </c>
      <c r="B237" t="s">
        <v>5791</v>
      </c>
      <c r="C237" t="s">
        <v>3565</v>
      </c>
      <c r="D237" t="s">
        <v>5791</v>
      </c>
      <c r="E237" t="s">
        <v>5791</v>
      </c>
      <c r="F237" s="12"/>
      <c r="G237" s="7">
        <v>0</v>
      </c>
    </row>
    <row r="238" spans="1:7" x14ac:dyDescent="0.25">
      <c r="A238" t="s">
        <v>5792</v>
      </c>
      <c r="F238" s="12">
        <v>1103</v>
      </c>
      <c r="G238" s="7">
        <v>16336.833333333347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92CA-D909-42FF-9716-6BB3C546902D}">
  <sheetPr>
    <tabColor theme="1"/>
  </sheetPr>
  <dimension ref="A1:AB1531"/>
  <sheetViews>
    <sheetView topLeftCell="J1" zoomScale="80" zoomScaleNormal="80" workbookViewId="0">
      <pane ySplit="1" topLeftCell="A93" activePane="bottomLeft" state="frozen"/>
      <selection pane="bottomLeft" activeCell="V114" sqref="V114"/>
    </sheetView>
  </sheetViews>
  <sheetFormatPr defaultRowHeight="15" x14ac:dyDescent="0.25"/>
  <cols>
    <col min="2" max="2" width="9.140625" customWidth="1"/>
    <col min="4" max="4" width="35.140625" customWidth="1"/>
    <col min="8" max="8" width="58" bestFit="1" customWidth="1"/>
    <col min="9" max="11" width="45.28515625" customWidth="1"/>
    <col min="22" max="22" width="51.85546875" customWidth="1"/>
    <col min="23" max="23" width="42.28515625" customWidth="1"/>
    <col min="27" max="27" width="11.28515625" bestFit="1" customWidth="1"/>
  </cols>
  <sheetData>
    <row r="1" spans="1:28" s="3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5566</v>
      </c>
      <c r="J1" s="3" t="s">
        <v>5567</v>
      </c>
      <c r="K1" s="3" t="s">
        <v>5568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6" t="s">
        <v>5574</v>
      </c>
      <c r="W1" s="6" t="s">
        <v>5575</v>
      </c>
      <c r="X1" s="6" t="s">
        <v>5564</v>
      </c>
      <c r="Y1" s="6" t="s">
        <v>5569</v>
      </c>
      <c r="Z1" s="6" t="s">
        <v>5570</v>
      </c>
      <c r="AA1" s="6" t="s">
        <v>5571</v>
      </c>
      <c r="AB1" s="6" t="s">
        <v>5572</v>
      </c>
    </row>
    <row r="2" spans="1:28" x14ac:dyDescent="0.25">
      <c r="A2" t="s">
        <v>19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L2" t="s">
        <v>26</v>
      </c>
      <c r="N2" t="s">
        <v>27</v>
      </c>
      <c r="X2" s="2">
        <f>IFERROR(VLOOKUP(I2,'Rate Sheet'!$D:$F,3,FALSE),0)</f>
        <v>0</v>
      </c>
      <c r="Y2" s="2">
        <f>IFERROR(VLOOKUP(J2,'Rate Sheet'!$D:$F,3,FALSE),0)</f>
        <v>0</v>
      </c>
      <c r="Z2" s="2">
        <f>IFERROR(VLOOKUP(K2,'Rate Sheet'!$D:$F,3,FALSE),0)</f>
        <v>0</v>
      </c>
      <c r="AA2" s="2">
        <f>SUM(X2:Z2)</f>
        <v>0</v>
      </c>
    </row>
    <row r="3" spans="1:28" x14ac:dyDescent="0.25">
      <c r="A3" t="s">
        <v>19</v>
      </c>
      <c r="B3" t="s">
        <v>28</v>
      </c>
      <c r="C3" t="s">
        <v>29</v>
      </c>
      <c r="D3" t="s">
        <v>28</v>
      </c>
      <c r="E3" t="s">
        <v>30</v>
      </c>
      <c r="F3" t="s">
        <v>31</v>
      </c>
      <c r="G3" t="s">
        <v>24</v>
      </c>
      <c r="H3" t="s">
        <v>32</v>
      </c>
      <c r="N3" t="s">
        <v>27</v>
      </c>
      <c r="X3" s="2">
        <f>IFERROR(VLOOKUP(I3,'Rate Sheet'!$D:$F,3,FALSE),0)</f>
        <v>0</v>
      </c>
      <c r="Y3" s="2">
        <f>IFERROR(VLOOKUP(J3,'Rate Sheet'!$D:$F,3,FALSE),0)</f>
        <v>0</v>
      </c>
      <c r="Z3" s="2">
        <f>IFERROR(VLOOKUP(K3,'Rate Sheet'!$D:$F,3,FALSE),0)</f>
        <v>0</v>
      </c>
      <c r="AA3" s="2">
        <f t="shared" ref="AA3:AA66" si="0">SUM(X3:Z3)</f>
        <v>0</v>
      </c>
    </row>
    <row r="4" spans="1:28" x14ac:dyDescent="0.25">
      <c r="A4" t="s">
        <v>33</v>
      </c>
      <c r="B4" t="s">
        <v>34</v>
      </c>
      <c r="C4" t="s">
        <v>21</v>
      </c>
      <c r="D4" t="s">
        <v>34</v>
      </c>
      <c r="E4" t="s">
        <v>35</v>
      </c>
      <c r="F4" t="s">
        <v>36</v>
      </c>
      <c r="G4" t="s">
        <v>24</v>
      </c>
      <c r="H4" t="s">
        <v>37</v>
      </c>
      <c r="N4" t="s">
        <v>38</v>
      </c>
      <c r="X4" s="2">
        <f>IFERROR(VLOOKUP(I4,'Rate Sheet'!$D:$F,3,FALSE),0)</f>
        <v>0</v>
      </c>
      <c r="Y4" s="2">
        <f>IFERROR(VLOOKUP(J4,'Rate Sheet'!$D:$F,3,FALSE),0)</f>
        <v>0</v>
      </c>
      <c r="Z4" s="2">
        <f>IFERROR(VLOOKUP(K4,'Rate Sheet'!$D:$F,3,FALSE),0)</f>
        <v>0</v>
      </c>
      <c r="AA4" s="2">
        <f t="shared" si="0"/>
        <v>0</v>
      </c>
    </row>
    <row r="5" spans="1:28" x14ac:dyDescent="0.25">
      <c r="A5" t="s">
        <v>33</v>
      </c>
      <c r="B5" t="s">
        <v>39</v>
      </c>
      <c r="C5" t="s">
        <v>21</v>
      </c>
      <c r="D5" t="s">
        <v>39</v>
      </c>
      <c r="E5" t="s">
        <v>22</v>
      </c>
      <c r="F5" t="s">
        <v>40</v>
      </c>
      <c r="G5" t="s">
        <v>24</v>
      </c>
      <c r="H5" t="s">
        <v>41</v>
      </c>
      <c r="L5" t="s">
        <v>26</v>
      </c>
      <c r="N5" t="s">
        <v>27</v>
      </c>
      <c r="X5" s="2">
        <f>IFERROR(VLOOKUP(I5,'Rate Sheet'!$D:$F,3,FALSE),0)</f>
        <v>0</v>
      </c>
      <c r="Y5" s="2">
        <f>IFERROR(VLOOKUP(J5,'Rate Sheet'!$D:$F,3,FALSE),0)</f>
        <v>0</v>
      </c>
      <c r="Z5" s="2">
        <f>IFERROR(VLOOKUP(K5,'Rate Sheet'!$D:$F,3,FALSE),0)</f>
        <v>0</v>
      </c>
      <c r="AA5" s="2">
        <f t="shared" si="0"/>
        <v>0</v>
      </c>
    </row>
    <row r="6" spans="1:28" x14ac:dyDescent="0.25">
      <c r="A6" t="s">
        <v>33</v>
      </c>
      <c r="B6" t="s">
        <v>42</v>
      </c>
      <c r="C6" t="s">
        <v>21</v>
      </c>
      <c r="D6" t="s">
        <v>42</v>
      </c>
      <c r="E6" t="s">
        <v>43</v>
      </c>
      <c r="F6" t="s">
        <v>44</v>
      </c>
      <c r="G6" t="s">
        <v>24</v>
      </c>
      <c r="H6" t="s">
        <v>45</v>
      </c>
      <c r="I6" t="s">
        <v>46</v>
      </c>
      <c r="N6" t="s">
        <v>47</v>
      </c>
      <c r="S6" t="s">
        <v>48</v>
      </c>
      <c r="V6" t="s">
        <v>5578</v>
      </c>
      <c r="W6" t="s">
        <v>5579</v>
      </c>
      <c r="X6" s="2">
        <f>IFERROR(VLOOKUP(I6,'Rate Sheet'!$D:$F,3,FALSE),0)</f>
        <v>14.333333333333334</v>
      </c>
      <c r="Y6" s="2">
        <f>IFERROR(VLOOKUP(J6,'Rate Sheet'!$D:$F,3,FALSE),0)</f>
        <v>0</v>
      </c>
      <c r="Z6" s="2">
        <f>IFERROR(VLOOKUP(K6,'Rate Sheet'!$D:$F,3,FALSE),0)</f>
        <v>0</v>
      </c>
      <c r="AA6" s="2">
        <f t="shared" si="0"/>
        <v>14.333333333333334</v>
      </c>
      <c r="AB6">
        <v>1</v>
      </c>
    </row>
    <row r="7" spans="1:28" x14ac:dyDescent="0.25">
      <c r="A7" t="s">
        <v>33</v>
      </c>
      <c r="B7" t="s">
        <v>49</v>
      </c>
      <c r="C7" t="s">
        <v>21</v>
      </c>
      <c r="D7" t="s">
        <v>49</v>
      </c>
      <c r="E7" t="s">
        <v>50</v>
      </c>
      <c r="F7" t="s">
        <v>51</v>
      </c>
      <c r="G7" t="s">
        <v>24</v>
      </c>
      <c r="H7" t="s">
        <v>52</v>
      </c>
      <c r="I7" t="s">
        <v>46</v>
      </c>
      <c r="N7" t="s">
        <v>53</v>
      </c>
      <c r="S7" t="s">
        <v>48</v>
      </c>
      <c r="V7" t="s">
        <v>5580</v>
      </c>
      <c r="W7" t="s">
        <v>5581</v>
      </c>
      <c r="X7" s="2">
        <f>IFERROR(VLOOKUP(I7,'Rate Sheet'!$D:$F,3,FALSE),0)</f>
        <v>14.333333333333334</v>
      </c>
      <c r="Y7" s="2">
        <f>IFERROR(VLOOKUP(J7,'Rate Sheet'!$D:$F,3,FALSE),0)</f>
        <v>0</v>
      </c>
      <c r="Z7" s="2">
        <f>IFERROR(VLOOKUP(K7,'Rate Sheet'!$D:$F,3,FALSE),0)</f>
        <v>0</v>
      </c>
      <c r="AA7" s="2">
        <f t="shared" si="0"/>
        <v>14.333333333333334</v>
      </c>
      <c r="AB7">
        <v>1</v>
      </c>
    </row>
    <row r="8" spans="1:28" x14ac:dyDescent="0.25">
      <c r="A8" t="s">
        <v>33</v>
      </c>
      <c r="B8" t="s">
        <v>54</v>
      </c>
      <c r="C8" t="s">
        <v>21</v>
      </c>
      <c r="D8" t="s">
        <v>54</v>
      </c>
      <c r="E8" t="s">
        <v>55</v>
      </c>
      <c r="F8" t="s">
        <v>56</v>
      </c>
      <c r="G8" t="s">
        <v>24</v>
      </c>
      <c r="H8" t="s">
        <v>57</v>
      </c>
      <c r="I8" t="s">
        <v>46</v>
      </c>
      <c r="N8" t="s">
        <v>38</v>
      </c>
      <c r="S8" t="s">
        <v>48</v>
      </c>
      <c r="V8" t="s">
        <v>5582</v>
      </c>
      <c r="W8" t="s">
        <v>5583</v>
      </c>
      <c r="X8" s="2">
        <f>IFERROR(VLOOKUP(I8,'Rate Sheet'!$D:$F,3,FALSE),0)</f>
        <v>14.333333333333334</v>
      </c>
      <c r="Y8" s="2">
        <f>IFERROR(VLOOKUP(J8,'Rate Sheet'!$D:$F,3,FALSE),0)</f>
        <v>0</v>
      </c>
      <c r="Z8" s="2">
        <f>IFERROR(VLOOKUP(K8,'Rate Sheet'!$D:$F,3,FALSE),0)</f>
        <v>0</v>
      </c>
      <c r="AA8" s="2">
        <f t="shared" si="0"/>
        <v>14.333333333333334</v>
      </c>
      <c r="AB8">
        <v>1</v>
      </c>
    </row>
    <row r="9" spans="1:28" x14ac:dyDescent="0.25">
      <c r="A9" t="s">
        <v>33</v>
      </c>
      <c r="B9" t="s">
        <v>58</v>
      </c>
      <c r="C9" t="s">
        <v>21</v>
      </c>
      <c r="D9" t="s">
        <v>59</v>
      </c>
      <c r="E9" t="s">
        <v>60</v>
      </c>
      <c r="F9" t="s">
        <v>61</v>
      </c>
      <c r="G9" t="s">
        <v>24</v>
      </c>
      <c r="H9" t="s">
        <v>62</v>
      </c>
      <c r="I9" t="s">
        <v>46</v>
      </c>
      <c r="N9" t="s">
        <v>63</v>
      </c>
      <c r="S9" t="s">
        <v>48</v>
      </c>
      <c r="V9" t="s">
        <v>5584</v>
      </c>
      <c r="W9" t="s">
        <v>63</v>
      </c>
      <c r="X9" s="2">
        <f>IFERROR(VLOOKUP(I9,'Rate Sheet'!$D:$F,3,FALSE),0)</f>
        <v>14.333333333333334</v>
      </c>
      <c r="Y9" s="2">
        <f>IFERROR(VLOOKUP(J9,'Rate Sheet'!$D:$F,3,FALSE),0)</f>
        <v>0</v>
      </c>
      <c r="Z9" s="2">
        <f>IFERROR(VLOOKUP(K9,'Rate Sheet'!$D:$F,3,FALSE),0)</f>
        <v>0</v>
      </c>
      <c r="AA9" s="2">
        <f t="shared" si="0"/>
        <v>14.333333333333334</v>
      </c>
      <c r="AB9">
        <v>1</v>
      </c>
    </row>
    <row r="10" spans="1:28" x14ac:dyDescent="0.25">
      <c r="A10" t="s">
        <v>33</v>
      </c>
      <c r="B10" t="s">
        <v>64</v>
      </c>
      <c r="C10" t="s">
        <v>21</v>
      </c>
      <c r="D10" t="s">
        <v>64</v>
      </c>
      <c r="E10" t="s">
        <v>65</v>
      </c>
      <c r="F10" t="s">
        <v>66</v>
      </c>
      <c r="G10" t="s">
        <v>24</v>
      </c>
      <c r="H10" t="s">
        <v>67</v>
      </c>
      <c r="I10" t="s">
        <v>46</v>
      </c>
      <c r="N10" t="s">
        <v>68</v>
      </c>
      <c r="S10" t="s">
        <v>48</v>
      </c>
      <c r="V10" t="s">
        <v>5585</v>
      </c>
      <c r="W10" t="s">
        <v>68</v>
      </c>
      <c r="X10" s="2">
        <f>IFERROR(VLOOKUP(I10,'Rate Sheet'!$D:$F,3,FALSE),0)</f>
        <v>14.333333333333334</v>
      </c>
      <c r="Y10" s="2">
        <f>IFERROR(VLOOKUP(J10,'Rate Sheet'!$D:$F,3,FALSE),0)</f>
        <v>0</v>
      </c>
      <c r="Z10" s="2">
        <f>IFERROR(VLOOKUP(K10,'Rate Sheet'!$D:$F,3,FALSE),0)</f>
        <v>0</v>
      </c>
      <c r="AA10" s="2">
        <f t="shared" si="0"/>
        <v>14.333333333333334</v>
      </c>
      <c r="AB10">
        <v>1</v>
      </c>
    </row>
    <row r="11" spans="1:28" x14ac:dyDescent="0.25">
      <c r="A11" t="s">
        <v>33</v>
      </c>
      <c r="B11" t="s">
        <v>69</v>
      </c>
      <c r="C11" t="s">
        <v>21</v>
      </c>
      <c r="D11" t="s">
        <v>69</v>
      </c>
      <c r="E11" t="s">
        <v>70</v>
      </c>
      <c r="F11" t="s">
        <v>71</v>
      </c>
      <c r="G11" t="s">
        <v>24</v>
      </c>
      <c r="H11" t="s">
        <v>72</v>
      </c>
      <c r="I11" t="s">
        <v>73</v>
      </c>
      <c r="N11" t="s">
        <v>74</v>
      </c>
      <c r="S11" t="s">
        <v>75</v>
      </c>
      <c r="V11" t="s">
        <v>5586</v>
      </c>
      <c r="W11" t="s">
        <v>5587</v>
      </c>
      <c r="X11" s="2">
        <f>IFERROR(VLOOKUP(I11,'Rate Sheet'!$D:$F,3,FALSE),0)</f>
        <v>8.6983333333333324</v>
      </c>
      <c r="Y11" s="2">
        <f>IFERROR(VLOOKUP(J11,'Rate Sheet'!$D:$F,3,FALSE),0)</f>
        <v>0</v>
      </c>
      <c r="Z11" s="2">
        <f>IFERROR(VLOOKUP(K11,'Rate Sheet'!$D:$F,3,FALSE),0)</f>
        <v>0</v>
      </c>
      <c r="AA11" s="2">
        <f t="shared" si="0"/>
        <v>8.6983333333333324</v>
      </c>
      <c r="AB11">
        <v>1</v>
      </c>
    </row>
    <row r="12" spans="1:28" x14ac:dyDescent="0.25">
      <c r="A12" t="s">
        <v>33</v>
      </c>
      <c r="B12" t="s">
        <v>76</v>
      </c>
      <c r="C12" t="s">
        <v>21</v>
      </c>
      <c r="D12" t="s">
        <v>76</v>
      </c>
      <c r="E12" t="s">
        <v>77</v>
      </c>
      <c r="F12" t="s">
        <v>78</v>
      </c>
      <c r="G12" t="s">
        <v>24</v>
      </c>
      <c r="H12" t="s">
        <v>79</v>
      </c>
      <c r="I12" t="s">
        <v>46</v>
      </c>
      <c r="N12" t="s">
        <v>80</v>
      </c>
      <c r="S12" t="s">
        <v>48</v>
      </c>
      <c r="V12" t="s">
        <v>5588</v>
      </c>
      <c r="W12" t="s">
        <v>5589</v>
      </c>
      <c r="X12" s="2">
        <f>IFERROR(VLOOKUP(I12,'Rate Sheet'!$D:$F,3,FALSE),0)</f>
        <v>14.333333333333334</v>
      </c>
      <c r="Y12" s="2">
        <f>IFERROR(VLOOKUP(J12,'Rate Sheet'!$D:$F,3,FALSE),0)</f>
        <v>0</v>
      </c>
      <c r="Z12" s="2">
        <f>IFERROR(VLOOKUP(K12,'Rate Sheet'!$D:$F,3,FALSE),0)</f>
        <v>0</v>
      </c>
      <c r="AA12" s="2">
        <f t="shared" si="0"/>
        <v>14.333333333333334</v>
      </c>
      <c r="AB12">
        <v>1</v>
      </c>
    </row>
    <row r="13" spans="1:28" x14ac:dyDescent="0.25">
      <c r="A13" t="s">
        <v>33</v>
      </c>
      <c r="B13" t="s">
        <v>81</v>
      </c>
      <c r="C13" t="s">
        <v>21</v>
      </c>
      <c r="D13" t="s">
        <v>81</v>
      </c>
      <c r="E13" t="s">
        <v>82</v>
      </c>
      <c r="F13" t="s">
        <v>83</v>
      </c>
      <c r="G13" t="s">
        <v>24</v>
      </c>
      <c r="H13" t="s">
        <v>84</v>
      </c>
      <c r="I13" t="s">
        <v>46</v>
      </c>
      <c r="N13" t="s">
        <v>85</v>
      </c>
      <c r="S13" t="s">
        <v>48</v>
      </c>
      <c r="V13" t="s">
        <v>5590</v>
      </c>
      <c r="W13" t="s">
        <v>85</v>
      </c>
      <c r="X13" s="2">
        <f>IFERROR(VLOOKUP(I13,'Rate Sheet'!$D:$F,3,FALSE),0)</f>
        <v>14.333333333333334</v>
      </c>
      <c r="Y13" s="2">
        <f>IFERROR(VLOOKUP(J13,'Rate Sheet'!$D:$F,3,FALSE),0)</f>
        <v>0</v>
      </c>
      <c r="Z13" s="2">
        <f>IFERROR(VLOOKUP(K13,'Rate Sheet'!$D:$F,3,FALSE),0)</f>
        <v>0</v>
      </c>
      <c r="AA13" s="2">
        <f t="shared" si="0"/>
        <v>14.333333333333334</v>
      </c>
      <c r="AB13">
        <v>1</v>
      </c>
    </row>
    <row r="14" spans="1:28" x14ac:dyDescent="0.25">
      <c r="A14" t="s">
        <v>33</v>
      </c>
      <c r="B14" t="s">
        <v>86</v>
      </c>
      <c r="C14" t="s">
        <v>21</v>
      </c>
      <c r="D14" t="s">
        <v>86</v>
      </c>
      <c r="E14" t="s">
        <v>87</v>
      </c>
      <c r="F14" t="s">
        <v>88</v>
      </c>
      <c r="G14" t="s">
        <v>24</v>
      </c>
      <c r="H14" t="s">
        <v>89</v>
      </c>
      <c r="I14" t="s">
        <v>46</v>
      </c>
      <c r="N14" t="s">
        <v>90</v>
      </c>
      <c r="S14" t="s">
        <v>48</v>
      </c>
      <c r="V14" t="s">
        <v>5591</v>
      </c>
      <c r="W14" t="s">
        <v>90</v>
      </c>
      <c r="X14" s="2">
        <f>IFERROR(VLOOKUP(I14,'Rate Sheet'!$D:$F,3,FALSE),0)</f>
        <v>14.333333333333334</v>
      </c>
      <c r="Y14" s="2">
        <f>IFERROR(VLOOKUP(J14,'Rate Sheet'!$D:$F,3,FALSE),0)</f>
        <v>0</v>
      </c>
      <c r="Z14" s="2">
        <f>IFERROR(VLOOKUP(K14,'Rate Sheet'!$D:$F,3,FALSE),0)</f>
        <v>0</v>
      </c>
      <c r="AA14" s="2">
        <f t="shared" si="0"/>
        <v>14.333333333333334</v>
      </c>
      <c r="AB14">
        <v>1</v>
      </c>
    </row>
    <row r="15" spans="1:28" x14ac:dyDescent="0.25">
      <c r="A15" t="s">
        <v>33</v>
      </c>
      <c r="B15" t="s">
        <v>91</v>
      </c>
      <c r="C15" t="s">
        <v>92</v>
      </c>
      <c r="D15" t="s">
        <v>91</v>
      </c>
      <c r="E15" t="s">
        <v>93</v>
      </c>
      <c r="F15" t="s">
        <v>94</v>
      </c>
      <c r="G15" t="s">
        <v>24</v>
      </c>
      <c r="H15" t="s">
        <v>95</v>
      </c>
      <c r="I15" t="s">
        <v>96</v>
      </c>
      <c r="N15" t="s">
        <v>97</v>
      </c>
      <c r="S15" t="s">
        <v>98</v>
      </c>
      <c r="V15" t="s">
        <v>5592</v>
      </c>
      <c r="W15" t="s">
        <v>97</v>
      </c>
      <c r="X15" s="2">
        <f>IFERROR(VLOOKUP(I15,'Rate Sheet'!$D:$F,3,FALSE),0)</f>
        <v>82.24</v>
      </c>
      <c r="Y15" s="2">
        <f>IFERROR(VLOOKUP(J15,'Rate Sheet'!$D:$F,3,FALSE),0)</f>
        <v>0</v>
      </c>
      <c r="Z15" s="2">
        <f>IFERROR(VLOOKUP(K15,'Rate Sheet'!$D:$F,3,FALSE),0)</f>
        <v>0</v>
      </c>
      <c r="AA15" s="2">
        <f t="shared" si="0"/>
        <v>82.24</v>
      </c>
      <c r="AB15">
        <v>1</v>
      </c>
    </row>
    <row r="16" spans="1:28" x14ac:dyDescent="0.25">
      <c r="A16" t="s">
        <v>33</v>
      </c>
      <c r="B16" t="s">
        <v>99</v>
      </c>
      <c r="C16" t="s">
        <v>21</v>
      </c>
      <c r="D16" t="s">
        <v>99</v>
      </c>
      <c r="E16" t="s">
        <v>100</v>
      </c>
      <c r="F16" t="s">
        <v>101</v>
      </c>
      <c r="G16" t="s">
        <v>24</v>
      </c>
      <c r="H16" t="s">
        <v>102</v>
      </c>
      <c r="I16" t="s">
        <v>46</v>
      </c>
      <c r="N16" t="s">
        <v>103</v>
      </c>
      <c r="S16" t="s">
        <v>48</v>
      </c>
      <c r="V16" t="s">
        <v>5593</v>
      </c>
      <c r="W16" t="s">
        <v>5594</v>
      </c>
      <c r="X16" s="2">
        <f>IFERROR(VLOOKUP(I16,'Rate Sheet'!$D:$F,3,FALSE),0)</f>
        <v>14.333333333333334</v>
      </c>
      <c r="Y16" s="2">
        <f>IFERROR(VLOOKUP(J16,'Rate Sheet'!$D:$F,3,FALSE),0)</f>
        <v>0</v>
      </c>
      <c r="Z16" s="2">
        <f>IFERROR(VLOOKUP(K16,'Rate Sheet'!$D:$F,3,FALSE),0)</f>
        <v>0</v>
      </c>
      <c r="AA16" s="2">
        <f t="shared" si="0"/>
        <v>14.333333333333334</v>
      </c>
      <c r="AB16">
        <v>1</v>
      </c>
    </row>
    <row r="17" spans="1:28" x14ac:dyDescent="0.25">
      <c r="A17" t="s">
        <v>33</v>
      </c>
      <c r="B17" t="s">
        <v>104</v>
      </c>
      <c r="C17" t="s">
        <v>21</v>
      </c>
      <c r="D17" t="s">
        <v>104</v>
      </c>
      <c r="E17" t="s">
        <v>105</v>
      </c>
      <c r="F17" t="s">
        <v>106</v>
      </c>
      <c r="G17" t="s">
        <v>24</v>
      </c>
      <c r="H17" t="s">
        <v>107</v>
      </c>
      <c r="I17" t="s">
        <v>46</v>
      </c>
      <c r="N17" t="s">
        <v>108</v>
      </c>
      <c r="S17" t="s">
        <v>48</v>
      </c>
      <c r="V17" t="s">
        <v>5595</v>
      </c>
      <c r="W17" t="s">
        <v>108</v>
      </c>
      <c r="X17" s="2">
        <f>IFERROR(VLOOKUP(I17,'Rate Sheet'!$D:$F,3,FALSE),0)</f>
        <v>14.333333333333334</v>
      </c>
      <c r="Y17" s="2">
        <f>IFERROR(VLOOKUP(J17,'Rate Sheet'!$D:$F,3,FALSE),0)</f>
        <v>0</v>
      </c>
      <c r="Z17" s="2">
        <f>IFERROR(VLOOKUP(K17,'Rate Sheet'!$D:$F,3,FALSE),0)</f>
        <v>0</v>
      </c>
      <c r="AA17" s="2">
        <f t="shared" si="0"/>
        <v>14.333333333333334</v>
      </c>
      <c r="AB17">
        <v>1</v>
      </c>
    </row>
    <row r="18" spans="1:28" x14ac:dyDescent="0.25">
      <c r="A18" t="s">
        <v>33</v>
      </c>
      <c r="B18" t="s">
        <v>109</v>
      </c>
      <c r="C18" t="s">
        <v>21</v>
      </c>
      <c r="D18" t="s">
        <v>109</v>
      </c>
      <c r="E18" t="s">
        <v>110</v>
      </c>
      <c r="F18" t="s">
        <v>111</v>
      </c>
      <c r="G18" t="s">
        <v>24</v>
      </c>
      <c r="H18" t="s">
        <v>112</v>
      </c>
      <c r="I18" t="s">
        <v>46</v>
      </c>
      <c r="N18" t="s">
        <v>113</v>
      </c>
      <c r="S18" t="s">
        <v>48</v>
      </c>
      <c r="V18" t="s">
        <v>5596</v>
      </c>
      <c r="W18" t="s">
        <v>5597</v>
      </c>
      <c r="X18" s="2">
        <f>IFERROR(VLOOKUP(I18,'Rate Sheet'!$D:$F,3,FALSE),0)</f>
        <v>14.333333333333334</v>
      </c>
      <c r="Y18" s="2">
        <f>IFERROR(VLOOKUP(J18,'Rate Sheet'!$D:$F,3,FALSE),0)</f>
        <v>0</v>
      </c>
      <c r="Z18" s="2">
        <f>IFERROR(VLOOKUP(K18,'Rate Sheet'!$D:$F,3,FALSE),0)</f>
        <v>0</v>
      </c>
      <c r="AA18" s="2">
        <f t="shared" si="0"/>
        <v>14.333333333333334</v>
      </c>
      <c r="AB18">
        <v>1</v>
      </c>
    </row>
    <row r="19" spans="1:28" x14ac:dyDescent="0.25">
      <c r="A19" t="s">
        <v>33</v>
      </c>
      <c r="B19" t="s">
        <v>114</v>
      </c>
      <c r="C19" t="s">
        <v>21</v>
      </c>
      <c r="D19" t="s">
        <v>114</v>
      </c>
      <c r="E19" t="s">
        <v>115</v>
      </c>
      <c r="F19" t="s">
        <v>116</v>
      </c>
      <c r="G19" t="s">
        <v>24</v>
      </c>
      <c r="H19" t="s">
        <v>117</v>
      </c>
      <c r="I19" t="s">
        <v>46</v>
      </c>
      <c r="J19" t="s">
        <v>882</v>
      </c>
      <c r="N19" t="s">
        <v>119</v>
      </c>
      <c r="S19" t="s">
        <v>120</v>
      </c>
      <c r="V19" t="s">
        <v>5598</v>
      </c>
      <c r="W19" t="s">
        <v>119</v>
      </c>
      <c r="X19" s="2">
        <f>IFERROR(VLOOKUP(I19,'Rate Sheet'!$D:$F,3,FALSE),0)</f>
        <v>14.333333333333334</v>
      </c>
      <c r="Y19" s="2">
        <f>IFERROR(VLOOKUP(J19,'Rate Sheet'!$D:$F,3,FALSE),0)</f>
        <v>35.979166666666664</v>
      </c>
      <c r="Z19" s="2">
        <f>IFERROR(VLOOKUP(K19,'Rate Sheet'!$D:$F,3,FALSE),0)</f>
        <v>0</v>
      </c>
      <c r="AA19" s="2">
        <f t="shared" si="0"/>
        <v>50.3125</v>
      </c>
      <c r="AB19">
        <v>1</v>
      </c>
    </row>
    <row r="20" spans="1:28" x14ac:dyDescent="0.25">
      <c r="A20" t="s">
        <v>33</v>
      </c>
      <c r="B20" t="s">
        <v>121</v>
      </c>
      <c r="C20" t="s">
        <v>21</v>
      </c>
      <c r="D20" t="s">
        <v>121</v>
      </c>
      <c r="E20" t="s">
        <v>122</v>
      </c>
      <c r="F20" t="s">
        <v>123</v>
      </c>
      <c r="G20" t="s">
        <v>24</v>
      </c>
      <c r="H20" t="s">
        <v>124</v>
      </c>
      <c r="N20" t="s">
        <v>90</v>
      </c>
      <c r="X20" s="2">
        <f>IFERROR(VLOOKUP(I20,'Rate Sheet'!$D:$F,3,FALSE),0)</f>
        <v>0</v>
      </c>
      <c r="Y20" s="2">
        <f>IFERROR(VLOOKUP(J20,'Rate Sheet'!$D:$F,3,FALSE),0)</f>
        <v>0</v>
      </c>
      <c r="Z20" s="2">
        <f>IFERROR(VLOOKUP(K20,'Rate Sheet'!$D:$F,3,FALSE),0)</f>
        <v>0</v>
      </c>
      <c r="AA20" s="2">
        <f t="shared" si="0"/>
        <v>0</v>
      </c>
    </row>
    <row r="21" spans="1:28" x14ac:dyDescent="0.25">
      <c r="A21" t="s">
        <v>33</v>
      </c>
      <c r="B21" t="s">
        <v>125</v>
      </c>
      <c r="C21" t="s">
        <v>92</v>
      </c>
      <c r="D21" t="s">
        <v>125</v>
      </c>
      <c r="E21" t="s">
        <v>126</v>
      </c>
      <c r="F21" t="s">
        <v>127</v>
      </c>
      <c r="G21" t="s">
        <v>24</v>
      </c>
      <c r="H21" t="s">
        <v>128</v>
      </c>
      <c r="I21" t="s">
        <v>46</v>
      </c>
      <c r="N21" t="s">
        <v>129</v>
      </c>
      <c r="S21" t="s">
        <v>48</v>
      </c>
      <c r="V21" t="s">
        <v>5599</v>
      </c>
      <c r="W21" t="s">
        <v>129</v>
      </c>
      <c r="X21" s="2">
        <f>IFERROR(VLOOKUP(I21,'Rate Sheet'!$D:$F,3,FALSE),0)</f>
        <v>14.333333333333334</v>
      </c>
      <c r="Y21" s="2">
        <f>IFERROR(VLOOKUP(J21,'Rate Sheet'!$D:$F,3,FALSE),0)</f>
        <v>0</v>
      </c>
      <c r="Z21" s="2">
        <f>IFERROR(VLOOKUP(K21,'Rate Sheet'!$D:$F,3,FALSE),0)</f>
        <v>0</v>
      </c>
      <c r="AA21" s="2">
        <f t="shared" si="0"/>
        <v>14.333333333333334</v>
      </c>
      <c r="AB21">
        <v>1</v>
      </c>
    </row>
    <row r="22" spans="1:28" x14ac:dyDescent="0.25">
      <c r="A22" t="s">
        <v>33</v>
      </c>
      <c r="B22" t="s">
        <v>130</v>
      </c>
      <c r="C22" t="s">
        <v>21</v>
      </c>
      <c r="D22" t="s">
        <v>130</v>
      </c>
      <c r="E22" t="s">
        <v>131</v>
      </c>
      <c r="F22" t="s">
        <v>132</v>
      </c>
      <c r="G22" t="s">
        <v>24</v>
      </c>
      <c r="H22" t="s">
        <v>133</v>
      </c>
      <c r="I22" t="s">
        <v>46</v>
      </c>
      <c r="N22" t="s">
        <v>53</v>
      </c>
      <c r="S22" t="s">
        <v>48</v>
      </c>
      <c r="V22" t="s">
        <v>5600</v>
      </c>
      <c r="W22" t="s">
        <v>5601</v>
      </c>
      <c r="X22" s="2">
        <f>IFERROR(VLOOKUP(I22,'Rate Sheet'!$D:$F,3,FALSE),0)</f>
        <v>14.333333333333334</v>
      </c>
      <c r="Y22" s="2">
        <f>IFERROR(VLOOKUP(J22,'Rate Sheet'!$D:$F,3,FALSE),0)</f>
        <v>0</v>
      </c>
      <c r="Z22" s="2">
        <f>IFERROR(VLOOKUP(K22,'Rate Sheet'!$D:$F,3,FALSE),0)</f>
        <v>0</v>
      </c>
      <c r="AA22" s="2">
        <f t="shared" si="0"/>
        <v>14.333333333333334</v>
      </c>
      <c r="AB22">
        <v>1</v>
      </c>
    </row>
    <row r="23" spans="1:28" x14ac:dyDescent="0.25">
      <c r="A23" t="s">
        <v>33</v>
      </c>
      <c r="B23" t="s">
        <v>134</v>
      </c>
      <c r="C23" t="s">
        <v>21</v>
      </c>
      <c r="D23" t="s">
        <v>134</v>
      </c>
      <c r="E23" t="s">
        <v>135</v>
      </c>
      <c r="F23" t="s">
        <v>136</v>
      </c>
      <c r="G23" t="s">
        <v>24</v>
      </c>
      <c r="H23" t="s">
        <v>137</v>
      </c>
      <c r="I23" t="s">
        <v>46</v>
      </c>
      <c r="N23" t="s">
        <v>138</v>
      </c>
      <c r="S23" t="s">
        <v>48</v>
      </c>
      <c r="V23" t="s">
        <v>5602</v>
      </c>
      <c r="W23" t="s">
        <v>5603</v>
      </c>
      <c r="X23" s="2">
        <f>IFERROR(VLOOKUP(I23,'Rate Sheet'!$D:$F,3,FALSE),0)</f>
        <v>14.333333333333334</v>
      </c>
      <c r="Y23" s="2">
        <f>IFERROR(VLOOKUP(J23,'Rate Sheet'!$D:$F,3,FALSE),0)</f>
        <v>0</v>
      </c>
      <c r="Z23" s="2">
        <f>IFERROR(VLOOKUP(K23,'Rate Sheet'!$D:$F,3,FALSE),0)</f>
        <v>0</v>
      </c>
      <c r="AA23" s="2">
        <f t="shared" si="0"/>
        <v>14.333333333333334</v>
      </c>
      <c r="AB23">
        <v>1</v>
      </c>
    </row>
    <row r="24" spans="1:28" x14ac:dyDescent="0.25">
      <c r="A24" t="s">
        <v>33</v>
      </c>
      <c r="B24" t="s">
        <v>139</v>
      </c>
      <c r="C24" t="s">
        <v>21</v>
      </c>
      <c r="D24" t="s">
        <v>139</v>
      </c>
      <c r="E24" t="s">
        <v>140</v>
      </c>
      <c r="F24" t="s">
        <v>141</v>
      </c>
      <c r="G24" t="s">
        <v>24</v>
      </c>
      <c r="H24" t="s">
        <v>142</v>
      </c>
      <c r="N24" t="s">
        <v>143</v>
      </c>
      <c r="X24" s="2">
        <f>IFERROR(VLOOKUP(I24,'Rate Sheet'!$D:$F,3,FALSE),0)</f>
        <v>0</v>
      </c>
      <c r="Y24" s="2">
        <f>IFERROR(VLOOKUP(J24,'Rate Sheet'!$D:$F,3,FALSE),0)</f>
        <v>0</v>
      </c>
      <c r="Z24" s="2">
        <f>IFERROR(VLOOKUP(K24,'Rate Sheet'!$D:$F,3,FALSE),0)</f>
        <v>0</v>
      </c>
      <c r="AA24" s="2">
        <f t="shared" si="0"/>
        <v>0</v>
      </c>
    </row>
    <row r="25" spans="1:28" x14ac:dyDescent="0.25">
      <c r="A25" t="s">
        <v>33</v>
      </c>
      <c r="B25" t="s">
        <v>144</v>
      </c>
      <c r="C25" t="s">
        <v>21</v>
      </c>
      <c r="D25" t="s">
        <v>144</v>
      </c>
      <c r="E25" t="s">
        <v>145</v>
      </c>
      <c r="F25" t="s">
        <v>146</v>
      </c>
      <c r="G25" t="s">
        <v>24</v>
      </c>
      <c r="H25" t="s">
        <v>147</v>
      </c>
      <c r="I25" t="s">
        <v>46</v>
      </c>
      <c r="N25" t="s">
        <v>148</v>
      </c>
      <c r="S25" t="s">
        <v>48</v>
      </c>
      <c r="V25" t="s">
        <v>5604</v>
      </c>
      <c r="W25" t="s">
        <v>5605</v>
      </c>
      <c r="X25" s="2">
        <f>IFERROR(VLOOKUP(I25,'Rate Sheet'!$D:$F,3,FALSE),0)</f>
        <v>14.333333333333334</v>
      </c>
      <c r="Y25" s="2">
        <f>IFERROR(VLOOKUP(J25,'Rate Sheet'!$D:$F,3,FALSE),0)</f>
        <v>0</v>
      </c>
      <c r="Z25" s="2">
        <f>IFERROR(VLOOKUP(K25,'Rate Sheet'!$D:$F,3,FALSE),0)</f>
        <v>0</v>
      </c>
      <c r="AA25" s="2">
        <f t="shared" si="0"/>
        <v>14.333333333333334</v>
      </c>
      <c r="AB25">
        <v>1</v>
      </c>
    </row>
    <row r="26" spans="1:28" x14ac:dyDescent="0.25">
      <c r="A26" t="s">
        <v>33</v>
      </c>
      <c r="B26" t="s">
        <v>149</v>
      </c>
      <c r="C26" t="s">
        <v>21</v>
      </c>
      <c r="D26" t="s">
        <v>149</v>
      </c>
      <c r="E26" t="s">
        <v>150</v>
      </c>
      <c r="F26" t="s">
        <v>151</v>
      </c>
      <c r="G26" t="s">
        <v>24</v>
      </c>
      <c r="H26" t="s">
        <v>152</v>
      </c>
      <c r="N26" t="s">
        <v>38</v>
      </c>
      <c r="X26" s="2">
        <f>IFERROR(VLOOKUP(I26,'Rate Sheet'!$D:$F,3,FALSE),0)</f>
        <v>0</v>
      </c>
      <c r="Y26" s="2">
        <f>IFERROR(VLOOKUP(J26,'Rate Sheet'!$D:$F,3,FALSE),0)</f>
        <v>0</v>
      </c>
      <c r="Z26" s="2">
        <f>IFERROR(VLOOKUP(K26,'Rate Sheet'!$D:$F,3,FALSE),0)</f>
        <v>0</v>
      </c>
      <c r="AA26" s="2">
        <f t="shared" si="0"/>
        <v>0</v>
      </c>
    </row>
    <row r="27" spans="1:28" x14ac:dyDescent="0.25">
      <c r="A27" t="s">
        <v>33</v>
      </c>
      <c r="B27" t="s">
        <v>153</v>
      </c>
      <c r="C27" t="s">
        <v>21</v>
      </c>
      <c r="D27" t="s">
        <v>153</v>
      </c>
      <c r="E27" t="s">
        <v>87</v>
      </c>
      <c r="F27" t="s">
        <v>154</v>
      </c>
      <c r="G27" t="s">
        <v>24</v>
      </c>
      <c r="H27" t="s">
        <v>155</v>
      </c>
      <c r="N27" t="s">
        <v>156</v>
      </c>
      <c r="X27" s="2">
        <f>IFERROR(VLOOKUP(I27,'Rate Sheet'!$D:$F,3,FALSE),0)</f>
        <v>0</v>
      </c>
      <c r="Y27" s="2">
        <f>IFERROR(VLOOKUP(J27,'Rate Sheet'!$D:$F,3,FALSE),0)</f>
        <v>0</v>
      </c>
      <c r="Z27" s="2">
        <f>IFERROR(VLOOKUP(K27,'Rate Sheet'!$D:$F,3,FALSE),0)</f>
        <v>0</v>
      </c>
      <c r="AA27" s="2">
        <f t="shared" si="0"/>
        <v>0</v>
      </c>
    </row>
    <row r="28" spans="1:28" x14ac:dyDescent="0.25">
      <c r="A28" t="s">
        <v>33</v>
      </c>
      <c r="B28" t="s">
        <v>157</v>
      </c>
      <c r="C28" t="s">
        <v>92</v>
      </c>
      <c r="D28" t="s">
        <v>158</v>
      </c>
      <c r="E28" t="s">
        <v>159</v>
      </c>
      <c r="F28" t="s">
        <v>160</v>
      </c>
      <c r="G28" t="s">
        <v>24</v>
      </c>
      <c r="H28" t="s">
        <v>161</v>
      </c>
      <c r="I28" t="s">
        <v>46</v>
      </c>
      <c r="N28" t="s">
        <v>129</v>
      </c>
      <c r="S28" t="s">
        <v>48</v>
      </c>
      <c r="V28" t="s">
        <v>5599</v>
      </c>
      <c r="W28" t="s">
        <v>129</v>
      </c>
      <c r="X28" s="2">
        <f>IFERROR(VLOOKUP(I28,'Rate Sheet'!$D:$F,3,FALSE),0)</f>
        <v>14.333333333333334</v>
      </c>
      <c r="Y28" s="2">
        <f>IFERROR(VLOOKUP(J28,'Rate Sheet'!$D:$F,3,FALSE),0)</f>
        <v>0</v>
      </c>
      <c r="Z28" s="2">
        <f>IFERROR(VLOOKUP(K28,'Rate Sheet'!$D:$F,3,FALSE),0)</f>
        <v>0</v>
      </c>
      <c r="AA28" s="2">
        <f t="shared" si="0"/>
        <v>14.333333333333334</v>
      </c>
      <c r="AB28">
        <v>1</v>
      </c>
    </row>
    <row r="29" spans="1:28" x14ac:dyDescent="0.25">
      <c r="A29" t="s">
        <v>33</v>
      </c>
      <c r="B29" t="s">
        <v>162</v>
      </c>
      <c r="C29" t="s">
        <v>21</v>
      </c>
      <c r="D29" t="s">
        <v>162</v>
      </c>
      <c r="E29" t="s">
        <v>163</v>
      </c>
      <c r="F29" t="s">
        <v>164</v>
      </c>
      <c r="G29" t="s">
        <v>24</v>
      </c>
      <c r="H29" t="s">
        <v>165</v>
      </c>
      <c r="I29" t="s">
        <v>46</v>
      </c>
      <c r="N29" t="s">
        <v>166</v>
      </c>
      <c r="S29" t="s">
        <v>48</v>
      </c>
      <c r="V29" t="s">
        <v>5606</v>
      </c>
      <c r="W29" t="s">
        <v>166</v>
      </c>
      <c r="X29" s="2">
        <f>IFERROR(VLOOKUP(I29,'Rate Sheet'!$D:$F,3,FALSE),0)</f>
        <v>14.333333333333334</v>
      </c>
      <c r="Y29" s="2">
        <f>IFERROR(VLOOKUP(J29,'Rate Sheet'!$D:$F,3,FALSE),0)</f>
        <v>0</v>
      </c>
      <c r="Z29" s="2">
        <f>IFERROR(VLOOKUP(K29,'Rate Sheet'!$D:$F,3,FALSE),0)</f>
        <v>0</v>
      </c>
      <c r="AA29" s="2">
        <f t="shared" si="0"/>
        <v>14.333333333333334</v>
      </c>
      <c r="AB29">
        <v>1</v>
      </c>
    </row>
    <row r="30" spans="1:28" x14ac:dyDescent="0.25">
      <c r="A30" t="s">
        <v>33</v>
      </c>
      <c r="B30" t="s">
        <v>167</v>
      </c>
      <c r="C30" t="s">
        <v>21</v>
      </c>
      <c r="D30" t="s">
        <v>167</v>
      </c>
      <c r="E30" t="s">
        <v>168</v>
      </c>
      <c r="F30" t="s">
        <v>169</v>
      </c>
      <c r="G30" t="s">
        <v>24</v>
      </c>
      <c r="H30" t="s">
        <v>170</v>
      </c>
      <c r="N30" t="s">
        <v>171</v>
      </c>
      <c r="X30" s="2">
        <f>IFERROR(VLOOKUP(I30,'Rate Sheet'!$D:$F,3,FALSE),0)</f>
        <v>0</v>
      </c>
      <c r="Y30" s="2">
        <f>IFERROR(VLOOKUP(J30,'Rate Sheet'!$D:$F,3,FALSE),0)</f>
        <v>0</v>
      </c>
      <c r="Z30" s="2">
        <f>IFERROR(VLOOKUP(K30,'Rate Sheet'!$D:$F,3,FALSE),0)</f>
        <v>0</v>
      </c>
      <c r="AA30" s="2">
        <f t="shared" si="0"/>
        <v>0</v>
      </c>
    </row>
    <row r="31" spans="1:28" x14ac:dyDescent="0.25">
      <c r="A31" t="s">
        <v>33</v>
      </c>
      <c r="B31" t="s">
        <v>172</v>
      </c>
      <c r="C31" t="s">
        <v>29</v>
      </c>
      <c r="D31" t="s">
        <v>172</v>
      </c>
      <c r="E31" t="s">
        <v>173</v>
      </c>
      <c r="F31" t="s">
        <v>174</v>
      </c>
      <c r="G31" t="s">
        <v>24</v>
      </c>
      <c r="H31" t="s">
        <v>175</v>
      </c>
      <c r="I31" t="s">
        <v>46</v>
      </c>
      <c r="N31" t="s">
        <v>176</v>
      </c>
      <c r="S31" t="s">
        <v>48</v>
      </c>
      <c r="V31" t="s">
        <v>5607</v>
      </c>
      <c r="W31" t="s">
        <v>5608</v>
      </c>
      <c r="X31" s="2">
        <f>IFERROR(VLOOKUP(I31,'Rate Sheet'!$D:$F,3,FALSE),0)</f>
        <v>14.333333333333334</v>
      </c>
      <c r="Y31" s="2">
        <f>IFERROR(VLOOKUP(J31,'Rate Sheet'!$D:$F,3,FALSE),0)</f>
        <v>0</v>
      </c>
      <c r="Z31" s="2">
        <f>IFERROR(VLOOKUP(K31,'Rate Sheet'!$D:$F,3,FALSE),0)</f>
        <v>0</v>
      </c>
      <c r="AA31" s="2">
        <f t="shared" si="0"/>
        <v>14.333333333333334</v>
      </c>
      <c r="AB31">
        <v>1</v>
      </c>
    </row>
    <row r="32" spans="1:28" x14ac:dyDescent="0.25">
      <c r="A32" t="s">
        <v>33</v>
      </c>
      <c r="B32" t="s">
        <v>177</v>
      </c>
      <c r="C32" t="s">
        <v>21</v>
      </c>
      <c r="D32" t="s">
        <v>177</v>
      </c>
      <c r="E32" t="s">
        <v>178</v>
      </c>
      <c r="F32" t="s">
        <v>179</v>
      </c>
      <c r="G32" t="s">
        <v>24</v>
      </c>
      <c r="H32" s="1" t="s">
        <v>180</v>
      </c>
      <c r="I32" t="s">
        <v>73</v>
      </c>
      <c r="N32" t="s">
        <v>181</v>
      </c>
      <c r="S32" t="s">
        <v>75</v>
      </c>
      <c r="V32" t="s">
        <v>5609</v>
      </c>
      <c r="W32" t="s">
        <v>181</v>
      </c>
      <c r="X32" s="2">
        <f>IFERROR(VLOOKUP(I32,'Rate Sheet'!$D:$F,3,FALSE),0)</f>
        <v>8.6983333333333324</v>
      </c>
      <c r="Y32" s="2">
        <f>IFERROR(VLOOKUP(J32,'Rate Sheet'!$D:$F,3,FALSE),0)</f>
        <v>0</v>
      </c>
      <c r="Z32" s="2">
        <f>IFERROR(VLOOKUP(K32,'Rate Sheet'!$D:$F,3,FALSE),0)</f>
        <v>0</v>
      </c>
      <c r="AA32" s="2">
        <f t="shared" si="0"/>
        <v>8.6983333333333324</v>
      </c>
      <c r="AB32">
        <v>1</v>
      </c>
    </row>
    <row r="33" spans="1:28" x14ac:dyDescent="0.25">
      <c r="A33" t="s">
        <v>33</v>
      </c>
      <c r="B33" t="s">
        <v>182</v>
      </c>
      <c r="C33" t="s">
        <v>21</v>
      </c>
      <c r="D33" t="s">
        <v>182</v>
      </c>
      <c r="E33" t="s">
        <v>122</v>
      </c>
      <c r="F33" t="s">
        <v>183</v>
      </c>
      <c r="G33" t="s">
        <v>24</v>
      </c>
      <c r="H33" t="s">
        <v>184</v>
      </c>
      <c r="I33" t="s">
        <v>46</v>
      </c>
      <c r="N33" t="s">
        <v>185</v>
      </c>
      <c r="S33" t="s">
        <v>48</v>
      </c>
      <c r="V33" t="s">
        <v>5610</v>
      </c>
      <c r="W33" t="s">
        <v>5611</v>
      </c>
      <c r="X33" s="2">
        <f>IFERROR(VLOOKUP(I33,'Rate Sheet'!$D:$F,3,FALSE),0)</f>
        <v>14.333333333333334</v>
      </c>
      <c r="Y33" s="2">
        <f>IFERROR(VLOOKUP(J33,'Rate Sheet'!$D:$F,3,FALSE),0)</f>
        <v>0</v>
      </c>
      <c r="Z33" s="2">
        <f>IFERROR(VLOOKUP(K33,'Rate Sheet'!$D:$F,3,FALSE),0)</f>
        <v>0</v>
      </c>
      <c r="AA33" s="2">
        <f t="shared" si="0"/>
        <v>14.333333333333334</v>
      </c>
      <c r="AB33">
        <v>1</v>
      </c>
    </row>
    <row r="34" spans="1:28" x14ac:dyDescent="0.25">
      <c r="A34" t="s">
        <v>33</v>
      </c>
      <c r="B34" t="s">
        <v>186</v>
      </c>
      <c r="C34" t="s">
        <v>29</v>
      </c>
      <c r="D34" t="s">
        <v>186</v>
      </c>
      <c r="E34" t="s">
        <v>187</v>
      </c>
      <c r="F34" t="s">
        <v>188</v>
      </c>
      <c r="G34" t="s">
        <v>24</v>
      </c>
      <c r="H34" t="s">
        <v>189</v>
      </c>
      <c r="I34" t="s">
        <v>46</v>
      </c>
      <c r="N34" t="s">
        <v>190</v>
      </c>
      <c r="S34" t="s">
        <v>48</v>
      </c>
      <c r="V34" t="s">
        <v>5612</v>
      </c>
      <c r="W34" t="s">
        <v>5613</v>
      </c>
      <c r="X34" s="2">
        <f>IFERROR(VLOOKUP(I34,'Rate Sheet'!$D:$F,3,FALSE),0)</f>
        <v>14.333333333333334</v>
      </c>
      <c r="Y34" s="2">
        <f>IFERROR(VLOOKUP(J34,'Rate Sheet'!$D:$F,3,FALSE),0)</f>
        <v>0</v>
      </c>
      <c r="Z34" s="2">
        <f>IFERROR(VLOOKUP(K34,'Rate Sheet'!$D:$F,3,FALSE),0)</f>
        <v>0</v>
      </c>
      <c r="AA34" s="2">
        <f t="shared" si="0"/>
        <v>14.333333333333334</v>
      </c>
      <c r="AB34">
        <v>1</v>
      </c>
    </row>
    <row r="35" spans="1:28" x14ac:dyDescent="0.25">
      <c r="A35" t="s">
        <v>33</v>
      </c>
      <c r="B35" t="s">
        <v>191</v>
      </c>
      <c r="C35" t="s">
        <v>21</v>
      </c>
      <c r="D35" t="s">
        <v>191</v>
      </c>
      <c r="E35" t="s">
        <v>192</v>
      </c>
      <c r="F35" t="s">
        <v>193</v>
      </c>
      <c r="G35" t="s">
        <v>24</v>
      </c>
      <c r="H35" t="s">
        <v>194</v>
      </c>
      <c r="I35" t="s">
        <v>46</v>
      </c>
      <c r="N35" t="s">
        <v>185</v>
      </c>
      <c r="S35" t="s">
        <v>48</v>
      </c>
      <c r="V35" t="s">
        <v>5610</v>
      </c>
      <c r="W35" t="s">
        <v>5611</v>
      </c>
      <c r="X35" s="2">
        <f>IFERROR(VLOOKUP(I35,'Rate Sheet'!$D:$F,3,FALSE),0)</f>
        <v>14.333333333333334</v>
      </c>
      <c r="Y35" s="2">
        <f>IFERROR(VLOOKUP(J35,'Rate Sheet'!$D:$F,3,FALSE),0)</f>
        <v>0</v>
      </c>
      <c r="Z35" s="2">
        <f>IFERROR(VLOOKUP(K35,'Rate Sheet'!$D:$F,3,FALSE),0)</f>
        <v>0</v>
      </c>
      <c r="AA35" s="2">
        <f t="shared" si="0"/>
        <v>14.333333333333334</v>
      </c>
      <c r="AB35">
        <v>1</v>
      </c>
    </row>
    <row r="36" spans="1:28" x14ac:dyDescent="0.25">
      <c r="A36" t="s">
        <v>33</v>
      </c>
      <c r="B36" t="s">
        <v>195</v>
      </c>
      <c r="C36" t="s">
        <v>21</v>
      </c>
      <c r="D36" t="s">
        <v>195</v>
      </c>
      <c r="E36" t="s">
        <v>196</v>
      </c>
      <c r="F36" t="s">
        <v>197</v>
      </c>
      <c r="G36" t="s">
        <v>24</v>
      </c>
      <c r="H36" t="s">
        <v>198</v>
      </c>
      <c r="I36" t="s">
        <v>46</v>
      </c>
      <c r="N36" t="s">
        <v>38</v>
      </c>
      <c r="S36" t="s">
        <v>48</v>
      </c>
      <c r="V36" s="10" t="s">
        <v>5582</v>
      </c>
      <c r="W36" s="10" t="s">
        <v>5583</v>
      </c>
      <c r="X36" s="2">
        <f>IFERROR(VLOOKUP(I36,'Rate Sheet'!$D:$F,3,FALSE),0)</f>
        <v>14.333333333333334</v>
      </c>
      <c r="Y36" s="2">
        <f>IFERROR(VLOOKUP(J36,'Rate Sheet'!$D:$F,3,FALSE),0)</f>
        <v>0</v>
      </c>
      <c r="Z36" s="2">
        <f>IFERROR(VLOOKUP(K36,'Rate Sheet'!$D:$F,3,FALSE),0)</f>
        <v>0</v>
      </c>
      <c r="AA36" s="2">
        <f t="shared" si="0"/>
        <v>14.333333333333334</v>
      </c>
      <c r="AB36">
        <v>1</v>
      </c>
    </row>
    <row r="37" spans="1:28" x14ac:dyDescent="0.25">
      <c r="A37" t="s">
        <v>33</v>
      </c>
      <c r="B37" t="s">
        <v>199</v>
      </c>
      <c r="C37" t="s">
        <v>21</v>
      </c>
      <c r="D37" t="s">
        <v>199</v>
      </c>
      <c r="E37" t="s">
        <v>200</v>
      </c>
      <c r="F37" t="s">
        <v>201</v>
      </c>
      <c r="G37" t="s">
        <v>24</v>
      </c>
      <c r="H37" t="s">
        <v>202</v>
      </c>
      <c r="I37" t="s">
        <v>46</v>
      </c>
      <c r="N37" t="s">
        <v>166</v>
      </c>
      <c r="S37" t="s">
        <v>48</v>
      </c>
      <c r="V37" t="s">
        <v>5606</v>
      </c>
      <c r="W37" t="s">
        <v>166</v>
      </c>
      <c r="X37" s="2">
        <f>IFERROR(VLOOKUP(I37,'Rate Sheet'!$D:$F,3,FALSE),0)</f>
        <v>14.333333333333334</v>
      </c>
      <c r="Y37" s="2">
        <f>IFERROR(VLOOKUP(J37,'Rate Sheet'!$D:$F,3,FALSE),0)</f>
        <v>0</v>
      </c>
      <c r="Z37" s="2">
        <f>IFERROR(VLOOKUP(K37,'Rate Sheet'!$D:$F,3,FALSE),0)</f>
        <v>0</v>
      </c>
      <c r="AA37" s="2">
        <f t="shared" si="0"/>
        <v>14.333333333333334</v>
      </c>
      <c r="AB37">
        <v>1</v>
      </c>
    </row>
    <row r="38" spans="1:28" x14ac:dyDescent="0.25">
      <c r="A38" t="s">
        <v>33</v>
      </c>
      <c r="B38" t="s">
        <v>203</v>
      </c>
      <c r="C38" t="s">
        <v>21</v>
      </c>
      <c r="D38" t="s">
        <v>203</v>
      </c>
      <c r="E38" t="s">
        <v>204</v>
      </c>
      <c r="F38" t="s">
        <v>205</v>
      </c>
      <c r="G38" t="s">
        <v>24</v>
      </c>
      <c r="H38" t="s">
        <v>206</v>
      </c>
      <c r="I38" t="s">
        <v>73</v>
      </c>
      <c r="N38" t="s">
        <v>207</v>
      </c>
      <c r="S38" t="s">
        <v>75</v>
      </c>
      <c r="V38" t="s">
        <v>5614</v>
      </c>
      <c r="W38" t="s">
        <v>1184</v>
      </c>
      <c r="X38" s="2">
        <f>IFERROR(VLOOKUP(I38,'Rate Sheet'!$D:$F,3,FALSE),0)</f>
        <v>8.6983333333333324</v>
      </c>
      <c r="Y38" s="2">
        <f>IFERROR(VLOOKUP(J38,'Rate Sheet'!$D:$F,3,FALSE),0)</f>
        <v>0</v>
      </c>
      <c r="Z38" s="2">
        <f>IFERROR(VLOOKUP(K38,'Rate Sheet'!$D:$F,3,FALSE),0)</f>
        <v>0</v>
      </c>
      <c r="AA38" s="2">
        <f t="shared" si="0"/>
        <v>8.6983333333333324</v>
      </c>
      <c r="AB38">
        <v>1</v>
      </c>
    </row>
    <row r="39" spans="1:28" x14ac:dyDescent="0.25">
      <c r="A39" t="s">
        <v>33</v>
      </c>
      <c r="B39" t="s">
        <v>208</v>
      </c>
      <c r="C39" t="s">
        <v>21</v>
      </c>
      <c r="D39" t="s">
        <v>208</v>
      </c>
      <c r="E39" t="s">
        <v>209</v>
      </c>
      <c r="F39" t="s">
        <v>210</v>
      </c>
      <c r="G39" t="s">
        <v>24</v>
      </c>
      <c r="H39" t="s">
        <v>211</v>
      </c>
      <c r="L39" t="s">
        <v>26</v>
      </c>
      <c r="N39" t="s">
        <v>27</v>
      </c>
      <c r="X39" s="2">
        <f>IFERROR(VLOOKUP(I39,'Rate Sheet'!$D:$F,3,FALSE),0)</f>
        <v>0</v>
      </c>
      <c r="Y39" s="2">
        <f>IFERROR(VLOOKUP(J39,'Rate Sheet'!$D:$F,3,FALSE),0)</f>
        <v>0</v>
      </c>
      <c r="Z39" s="2">
        <f>IFERROR(VLOOKUP(K39,'Rate Sheet'!$D:$F,3,FALSE),0)</f>
        <v>0</v>
      </c>
      <c r="AA39" s="2">
        <f t="shared" si="0"/>
        <v>0</v>
      </c>
    </row>
    <row r="40" spans="1:28" x14ac:dyDescent="0.25">
      <c r="A40" t="s">
        <v>33</v>
      </c>
      <c r="B40" t="s">
        <v>212</v>
      </c>
      <c r="C40" t="s">
        <v>21</v>
      </c>
      <c r="D40" t="s">
        <v>212</v>
      </c>
      <c r="E40" t="s">
        <v>213</v>
      </c>
      <c r="F40" t="s">
        <v>214</v>
      </c>
      <c r="G40" t="s">
        <v>24</v>
      </c>
      <c r="H40" t="s">
        <v>215</v>
      </c>
      <c r="I40" t="s">
        <v>46</v>
      </c>
      <c r="N40" t="s">
        <v>90</v>
      </c>
      <c r="S40" t="s">
        <v>48</v>
      </c>
      <c r="V40" t="s">
        <v>5591</v>
      </c>
      <c r="W40" t="s">
        <v>90</v>
      </c>
      <c r="X40" s="2">
        <f>IFERROR(VLOOKUP(I40,'Rate Sheet'!$D:$F,3,FALSE),0)</f>
        <v>14.333333333333334</v>
      </c>
      <c r="Y40" s="2">
        <f>IFERROR(VLOOKUP(J40,'Rate Sheet'!$D:$F,3,FALSE),0)</f>
        <v>0</v>
      </c>
      <c r="Z40" s="2">
        <f>IFERROR(VLOOKUP(K40,'Rate Sheet'!$D:$F,3,FALSE),0)</f>
        <v>0</v>
      </c>
      <c r="AA40" s="2">
        <f t="shared" si="0"/>
        <v>14.333333333333334</v>
      </c>
      <c r="AB40">
        <v>1</v>
      </c>
    </row>
    <row r="41" spans="1:28" x14ac:dyDescent="0.25">
      <c r="A41" t="s">
        <v>33</v>
      </c>
      <c r="B41" t="s">
        <v>216</v>
      </c>
      <c r="C41" t="s">
        <v>21</v>
      </c>
      <c r="D41" t="s">
        <v>216</v>
      </c>
      <c r="E41" t="s">
        <v>217</v>
      </c>
      <c r="F41" t="s">
        <v>218</v>
      </c>
      <c r="G41" t="s">
        <v>24</v>
      </c>
      <c r="H41" t="s">
        <v>219</v>
      </c>
      <c r="I41" t="s">
        <v>46</v>
      </c>
      <c r="N41" t="s">
        <v>185</v>
      </c>
      <c r="S41" t="s">
        <v>48</v>
      </c>
      <c r="V41" t="s">
        <v>5610</v>
      </c>
      <c r="W41" t="s">
        <v>5611</v>
      </c>
      <c r="X41" s="2">
        <f>IFERROR(VLOOKUP(I41,'Rate Sheet'!$D:$F,3,FALSE),0)</f>
        <v>14.333333333333334</v>
      </c>
      <c r="Y41" s="2">
        <f>IFERROR(VLOOKUP(J41,'Rate Sheet'!$D:$F,3,FALSE),0)</f>
        <v>0</v>
      </c>
      <c r="Z41" s="2">
        <f>IFERROR(VLOOKUP(K41,'Rate Sheet'!$D:$F,3,FALSE),0)</f>
        <v>0</v>
      </c>
      <c r="AA41" s="2">
        <f t="shared" si="0"/>
        <v>14.333333333333334</v>
      </c>
      <c r="AB41">
        <v>1</v>
      </c>
    </row>
    <row r="42" spans="1:28" x14ac:dyDescent="0.25">
      <c r="A42" t="s">
        <v>33</v>
      </c>
      <c r="B42" t="s">
        <v>220</v>
      </c>
      <c r="C42" t="s">
        <v>21</v>
      </c>
      <c r="D42" t="s">
        <v>220</v>
      </c>
      <c r="E42" t="s">
        <v>221</v>
      </c>
      <c r="F42" t="s">
        <v>222</v>
      </c>
      <c r="G42" t="s">
        <v>24</v>
      </c>
      <c r="H42" t="s">
        <v>223</v>
      </c>
      <c r="I42" t="s">
        <v>46</v>
      </c>
      <c r="N42" t="s">
        <v>224</v>
      </c>
      <c r="S42" t="s">
        <v>48</v>
      </c>
      <c r="V42" t="s">
        <v>5615</v>
      </c>
      <c r="W42" t="s">
        <v>5616</v>
      </c>
      <c r="X42" s="2">
        <f>IFERROR(VLOOKUP(I42,'Rate Sheet'!$D:$F,3,FALSE),0)</f>
        <v>14.333333333333334</v>
      </c>
      <c r="Y42" s="2">
        <f>IFERROR(VLOOKUP(J42,'Rate Sheet'!$D:$F,3,FALSE),0)</f>
        <v>0</v>
      </c>
      <c r="Z42" s="2">
        <f>IFERROR(VLOOKUP(K42,'Rate Sheet'!$D:$F,3,FALSE),0)</f>
        <v>0</v>
      </c>
      <c r="AA42" s="2">
        <f t="shared" si="0"/>
        <v>14.333333333333334</v>
      </c>
      <c r="AB42">
        <v>1</v>
      </c>
    </row>
    <row r="43" spans="1:28" x14ac:dyDescent="0.25">
      <c r="A43" t="s">
        <v>33</v>
      </c>
      <c r="B43" t="s">
        <v>225</v>
      </c>
      <c r="C43" t="s">
        <v>21</v>
      </c>
      <c r="D43" t="s">
        <v>225</v>
      </c>
      <c r="E43" t="s">
        <v>226</v>
      </c>
      <c r="F43" t="s">
        <v>227</v>
      </c>
      <c r="G43" t="s">
        <v>24</v>
      </c>
      <c r="H43" t="s">
        <v>228</v>
      </c>
      <c r="L43" t="s">
        <v>26</v>
      </c>
      <c r="X43" s="2">
        <f>IFERROR(VLOOKUP(I43,'Rate Sheet'!$D:$F,3,FALSE),0)</f>
        <v>0</v>
      </c>
      <c r="Y43" s="2">
        <f>IFERROR(VLOOKUP(J43,'Rate Sheet'!$D:$F,3,FALSE),0)</f>
        <v>0</v>
      </c>
      <c r="Z43" s="2">
        <f>IFERROR(VLOOKUP(K43,'Rate Sheet'!$D:$F,3,FALSE),0)</f>
        <v>0</v>
      </c>
      <c r="AA43" s="2">
        <f t="shared" si="0"/>
        <v>0</v>
      </c>
    </row>
    <row r="44" spans="1:28" x14ac:dyDescent="0.25">
      <c r="A44" t="s">
        <v>33</v>
      </c>
      <c r="B44" t="s">
        <v>229</v>
      </c>
      <c r="C44" t="s">
        <v>21</v>
      </c>
      <c r="D44" t="s">
        <v>229</v>
      </c>
      <c r="G44" t="s">
        <v>24</v>
      </c>
      <c r="H44" t="s">
        <v>230</v>
      </c>
      <c r="L44" t="s">
        <v>26</v>
      </c>
      <c r="N44" t="s">
        <v>27</v>
      </c>
      <c r="X44" s="2">
        <f>IFERROR(VLOOKUP(I44,'Rate Sheet'!$D:$F,3,FALSE),0)</f>
        <v>0</v>
      </c>
      <c r="Y44" s="2">
        <f>IFERROR(VLOOKUP(J44,'Rate Sheet'!$D:$F,3,FALSE),0)</f>
        <v>0</v>
      </c>
      <c r="Z44" s="2">
        <f>IFERROR(VLOOKUP(K44,'Rate Sheet'!$D:$F,3,FALSE),0)</f>
        <v>0</v>
      </c>
      <c r="AA44" s="2">
        <f t="shared" si="0"/>
        <v>0</v>
      </c>
    </row>
    <row r="45" spans="1:28" x14ac:dyDescent="0.25">
      <c r="A45" t="s">
        <v>33</v>
      </c>
      <c r="B45" t="s">
        <v>231</v>
      </c>
      <c r="C45" t="s">
        <v>21</v>
      </c>
      <c r="D45" t="s">
        <v>231</v>
      </c>
      <c r="E45" t="s">
        <v>232</v>
      </c>
      <c r="F45" t="s">
        <v>233</v>
      </c>
      <c r="G45" t="s">
        <v>24</v>
      </c>
      <c r="H45" t="s">
        <v>234</v>
      </c>
      <c r="N45" t="s">
        <v>27</v>
      </c>
      <c r="X45" s="2">
        <f>IFERROR(VLOOKUP(I45,'Rate Sheet'!$D:$F,3,FALSE),0)</f>
        <v>0</v>
      </c>
      <c r="Y45" s="2">
        <f>IFERROR(VLOOKUP(J45,'Rate Sheet'!$D:$F,3,FALSE),0)</f>
        <v>0</v>
      </c>
      <c r="Z45" s="2">
        <f>IFERROR(VLOOKUP(K45,'Rate Sheet'!$D:$F,3,FALSE),0)</f>
        <v>0</v>
      </c>
      <c r="AA45" s="2">
        <f t="shared" si="0"/>
        <v>0</v>
      </c>
    </row>
    <row r="46" spans="1:28" x14ac:dyDescent="0.25">
      <c r="A46" t="s">
        <v>33</v>
      </c>
      <c r="B46" t="s">
        <v>235</v>
      </c>
      <c r="C46" t="s">
        <v>21</v>
      </c>
      <c r="D46" t="s">
        <v>235</v>
      </c>
      <c r="E46" t="s">
        <v>236</v>
      </c>
      <c r="F46" t="s">
        <v>237</v>
      </c>
      <c r="G46" t="s">
        <v>24</v>
      </c>
      <c r="H46" t="s">
        <v>238</v>
      </c>
      <c r="L46" t="s">
        <v>26</v>
      </c>
      <c r="N46" t="s">
        <v>27</v>
      </c>
      <c r="X46" s="2">
        <f>IFERROR(VLOOKUP(I46,'Rate Sheet'!$D:$F,3,FALSE),0)</f>
        <v>0</v>
      </c>
      <c r="Y46" s="2">
        <f>IFERROR(VLOOKUP(J46,'Rate Sheet'!$D:$F,3,FALSE),0)</f>
        <v>0</v>
      </c>
      <c r="Z46" s="2">
        <f>IFERROR(VLOOKUP(K46,'Rate Sheet'!$D:$F,3,FALSE),0)</f>
        <v>0</v>
      </c>
      <c r="AA46" s="2">
        <f t="shared" si="0"/>
        <v>0</v>
      </c>
    </row>
    <row r="47" spans="1:28" x14ac:dyDescent="0.25">
      <c r="A47" t="s">
        <v>33</v>
      </c>
      <c r="B47" t="s">
        <v>239</v>
      </c>
      <c r="C47" t="s">
        <v>21</v>
      </c>
      <c r="D47" t="s">
        <v>239</v>
      </c>
      <c r="E47" t="s">
        <v>240</v>
      </c>
      <c r="F47" t="s">
        <v>123</v>
      </c>
      <c r="G47" t="s">
        <v>24</v>
      </c>
      <c r="H47" t="s">
        <v>241</v>
      </c>
      <c r="L47" t="s">
        <v>26</v>
      </c>
      <c r="N47" t="s">
        <v>27</v>
      </c>
      <c r="X47" s="2">
        <f>IFERROR(VLOOKUP(I47,'Rate Sheet'!$D:$F,3,FALSE),0)</f>
        <v>0</v>
      </c>
      <c r="Y47" s="2">
        <f>IFERROR(VLOOKUP(J47,'Rate Sheet'!$D:$F,3,FALSE),0)</f>
        <v>0</v>
      </c>
      <c r="Z47" s="2">
        <f>IFERROR(VLOOKUP(K47,'Rate Sheet'!$D:$F,3,FALSE),0)</f>
        <v>0</v>
      </c>
      <c r="AA47" s="2">
        <f t="shared" si="0"/>
        <v>0</v>
      </c>
    </row>
    <row r="48" spans="1:28" x14ac:dyDescent="0.25">
      <c r="A48" t="s">
        <v>33</v>
      </c>
      <c r="B48" t="s">
        <v>242</v>
      </c>
      <c r="C48" t="s">
        <v>29</v>
      </c>
      <c r="D48" t="s">
        <v>242</v>
      </c>
      <c r="E48" t="s">
        <v>243</v>
      </c>
      <c r="F48" t="s">
        <v>244</v>
      </c>
      <c r="G48" t="s">
        <v>24</v>
      </c>
      <c r="H48" t="s">
        <v>245</v>
      </c>
      <c r="I48" t="s">
        <v>46</v>
      </c>
      <c r="N48" t="s">
        <v>246</v>
      </c>
      <c r="S48" t="s">
        <v>48</v>
      </c>
      <c r="V48" t="s">
        <v>5617</v>
      </c>
      <c r="W48" t="s">
        <v>511</v>
      </c>
      <c r="X48" s="2">
        <f>IFERROR(VLOOKUP(I48,'Rate Sheet'!$D:$F,3,FALSE),0)</f>
        <v>14.333333333333334</v>
      </c>
      <c r="Y48" s="2">
        <f>IFERROR(VLOOKUP(J48,'Rate Sheet'!$D:$F,3,FALSE),0)</f>
        <v>0</v>
      </c>
      <c r="Z48" s="2">
        <f>IFERROR(VLOOKUP(K48,'Rate Sheet'!$D:$F,3,FALSE),0)</f>
        <v>0</v>
      </c>
      <c r="AA48" s="2">
        <f t="shared" si="0"/>
        <v>14.333333333333334</v>
      </c>
      <c r="AB48">
        <v>1</v>
      </c>
    </row>
    <row r="49" spans="1:28" x14ac:dyDescent="0.25">
      <c r="A49" t="s">
        <v>33</v>
      </c>
      <c r="B49" t="s">
        <v>247</v>
      </c>
      <c r="C49" t="s">
        <v>21</v>
      </c>
      <c r="D49" t="s">
        <v>247</v>
      </c>
      <c r="E49" t="s">
        <v>248</v>
      </c>
      <c r="F49" t="s">
        <v>249</v>
      </c>
      <c r="G49" t="s">
        <v>24</v>
      </c>
      <c r="H49" t="s">
        <v>250</v>
      </c>
      <c r="N49" t="s">
        <v>38</v>
      </c>
      <c r="X49" s="2">
        <f>IFERROR(VLOOKUP(I49,'Rate Sheet'!$D:$F,3,FALSE),0)</f>
        <v>0</v>
      </c>
      <c r="Y49" s="2">
        <f>IFERROR(VLOOKUP(J49,'Rate Sheet'!$D:$F,3,FALSE),0)</f>
        <v>0</v>
      </c>
      <c r="Z49" s="2">
        <f>IFERROR(VLOOKUP(K49,'Rate Sheet'!$D:$F,3,FALSE),0)</f>
        <v>0</v>
      </c>
      <c r="AA49" s="2">
        <f t="shared" si="0"/>
        <v>0</v>
      </c>
    </row>
    <row r="50" spans="1:28" x14ac:dyDescent="0.25">
      <c r="A50" t="s">
        <v>33</v>
      </c>
      <c r="B50" t="s">
        <v>251</v>
      </c>
      <c r="C50" t="s">
        <v>21</v>
      </c>
      <c r="D50" t="s">
        <v>251</v>
      </c>
      <c r="E50" t="s">
        <v>252</v>
      </c>
      <c r="F50" t="s">
        <v>253</v>
      </c>
      <c r="G50" t="s">
        <v>24</v>
      </c>
      <c r="H50" t="s">
        <v>254</v>
      </c>
      <c r="I50" t="s">
        <v>46</v>
      </c>
      <c r="N50" t="s">
        <v>255</v>
      </c>
      <c r="S50" t="s">
        <v>48</v>
      </c>
      <c r="V50" t="s">
        <v>5618</v>
      </c>
      <c r="W50" t="s">
        <v>5619</v>
      </c>
      <c r="X50" s="2">
        <f>IFERROR(VLOOKUP(I50,'Rate Sheet'!$D:$F,3,FALSE),0)</f>
        <v>14.333333333333334</v>
      </c>
      <c r="Y50" s="2">
        <f>IFERROR(VLOOKUP(J50,'Rate Sheet'!$D:$F,3,FALSE),0)</f>
        <v>0</v>
      </c>
      <c r="Z50" s="2">
        <f>IFERROR(VLOOKUP(K50,'Rate Sheet'!$D:$F,3,FALSE),0)</f>
        <v>0</v>
      </c>
      <c r="AA50" s="2">
        <f t="shared" si="0"/>
        <v>14.333333333333334</v>
      </c>
      <c r="AB50">
        <v>1</v>
      </c>
    </row>
    <row r="51" spans="1:28" x14ac:dyDescent="0.25">
      <c r="A51" t="s">
        <v>33</v>
      </c>
      <c r="B51" t="s">
        <v>256</v>
      </c>
      <c r="C51" t="s">
        <v>21</v>
      </c>
      <c r="D51" t="s">
        <v>256</v>
      </c>
      <c r="E51" t="s">
        <v>257</v>
      </c>
      <c r="F51" t="s">
        <v>258</v>
      </c>
      <c r="G51" t="s">
        <v>24</v>
      </c>
      <c r="H51" t="s">
        <v>259</v>
      </c>
      <c r="I51" t="s">
        <v>73</v>
      </c>
      <c r="N51" t="s">
        <v>90</v>
      </c>
      <c r="S51" t="s">
        <v>75</v>
      </c>
      <c r="V51" t="s">
        <v>5591</v>
      </c>
      <c r="W51" t="s">
        <v>90</v>
      </c>
      <c r="X51" s="2">
        <f>IFERROR(VLOOKUP(I51,'Rate Sheet'!$D:$F,3,FALSE),0)</f>
        <v>8.6983333333333324</v>
      </c>
      <c r="Y51" s="2">
        <f>IFERROR(VLOOKUP(J51,'Rate Sheet'!$D:$F,3,FALSE),0)</f>
        <v>0</v>
      </c>
      <c r="Z51" s="2">
        <f>IFERROR(VLOOKUP(K51,'Rate Sheet'!$D:$F,3,FALSE),0)</f>
        <v>0</v>
      </c>
      <c r="AA51" s="2">
        <f t="shared" si="0"/>
        <v>8.6983333333333324</v>
      </c>
      <c r="AB51">
        <v>1</v>
      </c>
    </row>
    <row r="52" spans="1:28" x14ac:dyDescent="0.25">
      <c r="A52" t="s">
        <v>33</v>
      </c>
      <c r="B52" t="s">
        <v>260</v>
      </c>
      <c r="C52" t="s">
        <v>21</v>
      </c>
      <c r="D52" t="s">
        <v>260</v>
      </c>
      <c r="G52" t="s">
        <v>24</v>
      </c>
      <c r="H52" t="s">
        <v>261</v>
      </c>
      <c r="L52" t="s">
        <v>262</v>
      </c>
      <c r="M52" t="s">
        <v>46</v>
      </c>
      <c r="N52" t="s">
        <v>27</v>
      </c>
      <c r="O52" t="s">
        <v>263</v>
      </c>
      <c r="P52" t="s">
        <v>48</v>
      </c>
      <c r="X52" s="2">
        <f>IFERROR(VLOOKUP(I52,'Rate Sheet'!$D:$F,3,FALSE),0)</f>
        <v>0</v>
      </c>
      <c r="Y52" s="2">
        <f>IFERROR(VLOOKUP(J52,'Rate Sheet'!$D:$F,3,FALSE),0)</f>
        <v>0</v>
      </c>
      <c r="Z52" s="2">
        <f>IFERROR(VLOOKUP(K52,'Rate Sheet'!$D:$F,3,FALSE),0)</f>
        <v>0</v>
      </c>
      <c r="AA52" s="2">
        <f t="shared" si="0"/>
        <v>0</v>
      </c>
    </row>
    <row r="53" spans="1:28" x14ac:dyDescent="0.25">
      <c r="A53" t="s">
        <v>33</v>
      </c>
      <c r="B53" t="s">
        <v>264</v>
      </c>
      <c r="C53" t="s">
        <v>21</v>
      </c>
      <c r="D53" t="s">
        <v>264</v>
      </c>
      <c r="E53" t="s">
        <v>140</v>
      </c>
      <c r="F53" t="s">
        <v>265</v>
      </c>
      <c r="G53" t="s">
        <v>24</v>
      </c>
      <c r="H53" s="1" t="s">
        <v>266</v>
      </c>
      <c r="N53" t="s">
        <v>27</v>
      </c>
      <c r="X53" s="2">
        <f>IFERROR(VLOOKUP(I53,'Rate Sheet'!$D:$F,3,FALSE),0)</f>
        <v>0</v>
      </c>
      <c r="Y53" s="2">
        <f>IFERROR(VLOOKUP(J53,'Rate Sheet'!$D:$F,3,FALSE),0)</f>
        <v>0</v>
      </c>
      <c r="Z53" s="2">
        <f>IFERROR(VLOOKUP(K53,'Rate Sheet'!$D:$F,3,FALSE),0)</f>
        <v>0</v>
      </c>
      <c r="AA53" s="2">
        <f t="shared" si="0"/>
        <v>0</v>
      </c>
    </row>
    <row r="54" spans="1:28" x14ac:dyDescent="0.25">
      <c r="A54" t="s">
        <v>33</v>
      </c>
      <c r="B54" t="s">
        <v>267</v>
      </c>
      <c r="C54" t="s">
        <v>21</v>
      </c>
      <c r="D54" t="s">
        <v>267</v>
      </c>
      <c r="E54" t="s">
        <v>100</v>
      </c>
      <c r="F54" t="s">
        <v>268</v>
      </c>
      <c r="G54" t="s">
        <v>24</v>
      </c>
      <c r="H54" t="s">
        <v>269</v>
      </c>
      <c r="N54" t="s">
        <v>27</v>
      </c>
      <c r="X54" s="2">
        <f>IFERROR(VLOOKUP(I54,'Rate Sheet'!$D:$F,3,FALSE),0)</f>
        <v>0</v>
      </c>
      <c r="Y54" s="2">
        <f>IFERROR(VLOOKUP(J54,'Rate Sheet'!$D:$F,3,FALSE),0)</f>
        <v>0</v>
      </c>
      <c r="Z54" s="2">
        <f>IFERROR(VLOOKUP(K54,'Rate Sheet'!$D:$F,3,FALSE),0)</f>
        <v>0</v>
      </c>
      <c r="AA54" s="2">
        <f t="shared" si="0"/>
        <v>0</v>
      </c>
    </row>
    <row r="55" spans="1:28" x14ac:dyDescent="0.25">
      <c r="A55" t="s">
        <v>33</v>
      </c>
      <c r="B55" t="s">
        <v>270</v>
      </c>
      <c r="C55" t="s">
        <v>21</v>
      </c>
      <c r="D55" t="s">
        <v>270</v>
      </c>
      <c r="E55" t="s">
        <v>22</v>
      </c>
      <c r="F55" t="s">
        <v>271</v>
      </c>
      <c r="G55" t="s">
        <v>24</v>
      </c>
      <c r="H55" t="s">
        <v>272</v>
      </c>
      <c r="I55" t="s">
        <v>46</v>
      </c>
      <c r="N55" t="s">
        <v>273</v>
      </c>
      <c r="S55" t="s">
        <v>48</v>
      </c>
      <c r="V55" t="s">
        <v>5621</v>
      </c>
      <c r="W55" t="s">
        <v>5622</v>
      </c>
      <c r="X55" s="2">
        <f>IFERROR(VLOOKUP(I55,'Rate Sheet'!$D:$F,3,FALSE),0)</f>
        <v>14.333333333333334</v>
      </c>
      <c r="Y55" s="2">
        <f>IFERROR(VLOOKUP(J55,'Rate Sheet'!$D:$F,3,FALSE),0)</f>
        <v>0</v>
      </c>
      <c r="Z55" s="2">
        <f>IFERROR(VLOOKUP(K55,'Rate Sheet'!$D:$F,3,FALSE),0)</f>
        <v>0</v>
      </c>
      <c r="AA55" s="2">
        <f t="shared" si="0"/>
        <v>14.333333333333334</v>
      </c>
      <c r="AB55">
        <v>1</v>
      </c>
    </row>
    <row r="56" spans="1:28" x14ac:dyDescent="0.25">
      <c r="A56" t="s">
        <v>33</v>
      </c>
      <c r="B56" t="s">
        <v>274</v>
      </c>
      <c r="C56" t="s">
        <v>21</v>
      </c>
      <c r="D56" t="s">
        <v>274</v>
      </c>
      <c r="E56" t="s">
        <v>275</v>
      </c>
      <c r="F56" t="s">
        <v>276</v>
      </c>
      <c r="G56" t="s">
        <v>24</v>
      </c>
      <c r="H56" t="s">
        <v>277</v>
      </c>
      <c r="I56" t="s">
        <v>73</v>
      </c>
      <c r="N56" t="s">
        <v>38</v>
      </c>
      <c r="S56" t="s">
        <v>75</v>
      </c>
      <c r="V56" t="s">
        <v>5582</v>
      </c>
      <c r="W56" t="s">
        <v>5583</v>
      </c>
      <c r="X56" s="2">
        <f>IFERROR(VLOOKUP(I56,'Rate Sheet'!$D:$F,3,FALSE),0)</f>
        <v>8.6983333333333324</v>
      </c>
      <c r="Y56" s="2">
        <f>IFERROR(VLOOKUP(J56,'Rate Sheet'!$D:$F,3,FALSE),0)</f>
        <v>0</v>
      </c>
      <c r="Z56" s="2">
        <f>IFERROR(VLOOKUP(K56,'Rate Sheet'!$D:$F,3,FALSE),0)</f>
        <v>0</v>
      </c>
      <c r="AA56" s="2">
        <f t="shared" si="0"/>
        <v>8.6983333333333324</v>
      </c>
      <c r="AB56">
        <v>1</v>
      </c>
    </row>
    <row r="57" spans="1:28" x14ac:dyDescent="0.25">
      <c r="A57" t="s">
        <v>33</v>
      </c>
      <c r="B57" t="s">
        <v>278</v>
      </c>
      <c r="C57" t="s">
        <v>21</v>
      </c>
      <c r="D57" t="s">
        <v>278</v>
      </c>
      <c r="G57" t="s">
        <v>24</v>
      </c>
      <c r="H57" t="s">
        <v>279</v>
      </c>
      <c r="N57" t="s">
        <v>27</v>
      </c>
      <c r="X57" s="2">
        <f>IFERROR(VLOOKUP(I57,'Rate Sheet'!$D:$F,3,FALSE),0)</f>
        <v>0</v>
      </c>
      <c r="Y57" s="2">
        <f>IFERROR(VLOOKUP(J57,'Rate Sheet'!$D:$F,3,FALSE),0)</f>
        <v>0</v>
      </c>
      <c r="Z57" s="2">
        <f>IFERROR(VLOOKUP(K57,'Rate Sheet'!$D:$F,3,FALSE),0)</f>
        <v>0</v>
      </c>
      <c r="AA57" s="2">
        <f t="shared" si="0"/>
        <v>0</v>
      </c>
    </row>
    <row r="58" spans="1:28" x14ac:dyDescent="0.25">
      <c r="A58" t="s">
        <v>33</v>
      </c>
      <c r="B58" t="s">
        <v>280</v>
      </c>
      <c r="C58" t="s">
        <v>21</v>
      </c>
      <c r="D58" t="s">
        <v>280</v>
      </c>
      <c r="E58" t="s">
        <v>236</v>
      </c>
      <c r="F58" t="s">
        <v>281</v>
      </c>
      <c r="G58" t="s">
        <v>24</v>
      </c>
      <c r="H58" t="s">
        <v>282</v>
      </c>
      <c r="L58" t="s">
        <v>26</v>
      </c>
      <c r="N58" t="s">
        <v>27</v>
      </c>
      <c r="X58" s="2">
        <f>IFERROR(VLOOKUP(I58,'Rate Sheet'!$D:$F,3,FALSE),0)</f>
        <v>0</v>
      </c>
      <c r="Y58" s="2">
        <f>IFERROR(VLOOKUP(J58,'Rate Sheet'!$D:$F,3,FALSE),0)</f>
        <v>0</v>
      </c>
      <c r="Z58" s="2">
        <f>IFERROR(VLOOKUP(K58,'Rate Sheet'!$D:$F,3,FALSE),0)</f>
        <v>0</v>
      </c>
      <c r="AA58" s="2">
        <f t="shared" si="0"/>
        <v>0</v>
      </c>
    </row>
    <row r="59" spans="1:28" x14ac:dyDescent="0.25">
      <c r="A59" t="s">
        <v>33</v>
      </c>
      <c r="B59" t="s">
        <v>283</v>
      </c>
      <c r="C59" t="s">
        <v>21</v>
      </c>
      <c r="D59" t="s">
        <v>283</v>
      </c>
      <c r="E59" t="s">
        <v>284</v>
      </c>
      <c r="F59" t="s">
        <v>285</v>
      </c>
      <c r="G59" t="s">
        <v>24</v>
      </c>
      <c r="H59" t="s">
        <v>286</v>
      </c>
      <c r="I59" t="s">
        <v>46</v>
      </c>
      <c r="N59" t="s">
        <v>287</v>
      </c>
      <c r="S59" t="s">
        <v>48</v>
      </c>
      <c r="V59" t="s">
        <v>5623</v>
      </c>
      <c r="W59" t="s">
        <v>287</v>
      </c>
      <c r="X59" s="2">
        <f>IFERROR(VLOOKUP(I59,'Rate Sheet'!$D:$F,3,FALSE),0)</f>
        <v>14.333333333333334</v>
      </c>
      <c r="Y59" s="2">
        <f>IFERROR(VLOOKUP(J59,'Rate Sheet'!$D:$F,3,FALSE),0)</f>
        <v>0</v>
      </c>
      <c r="Z59" s="2">
        <f>IFERROR(VLOOKUP(K59,'Rate Sheet'!$D:$F,3,FALSE),0)</f>
        <v>0</v>
      </c>
      <c r="AA59" s="2">
        <f t="shared" si="0"/>
        <v>14.333333333333334</v>
      </c>
      <c r="AB59">
        <v>1</v>
      </c>
    </row>
    <row r="60" spans="1:28" x14ac:dyDescent="0.25">
      <c r="A60" t="s">
        <v>33</v>
      </c>
      <c r="B60" t="s">
        <v>288</v>
      </c>
      <c r="C60" t="s">
        <v>21</v>
      </c>
      <c r="D60" t="s">
        <v>288</v>
      </c>
      <c r="E60" t="s">
        <v>289</v>
      </c>
      <c r="F60" t="s">
        <v>290</v>
      </c>
      <c r="G60" t="s">
        <v>24</v>
      </c>
      <c r="H60" t="s">
        <v>291</v>
      </c>
      <c r="I60" t="s">
        <v>46</v>
      </c>
      <c r="N60" t="s">
        <v>292</v>
      </c>
      <c r="S60" t="s">
        <v>48</v>
      </c>
      <c r="V60" t="s">
        <v>5624</v>
      </c>
      <c r="W60" t="s">
        <v>292</v>
      </c>
      <c r="X60" s="2">
        <f>IFERROR(VLOOKUP(I60,'Rate Sheet'!$D:$F,3,FALSE),0)</f>
        <v>14.333333333333334</v>
      </c>
      <c r="Y60" s="2">
        <f>IFERROR(VLOOKUP(J60,'Rate Sheet'!$D:$F,3,FALSE),0)</f>
        <v>0</v>
      </c>
      <c r="Z60" s="2">
        <f>IFERROR(VLOOKUP(K60,'Rate Sheet'!$D:$F,3,FALSE),0)</f>
        <v>0</v>
      </c>
      <c r="AA60" s="2">
        <f t="shared" si="0"/>
        <v>14.333333333333334</v>
      </c>
      <c r="AB60">
        <v>1</v>
      </c>
    </row>
    <row r="61" spans="1:28" x14ac:dyDescent="0.25">
      <c r="A61" t="s">
        <v>33</v>
      </c>
      <c r="B61" t="s">
        <v>293</v>
      </c>
      <c r="C61" t="s">
        <v>21</v>
      </c>
      <c r="D61" t="s">
        <v>293</v>
      </c>
      <c r="E61" t="s">
        <v>294</v>
      </c>
      <c r="F61" t="s">
        <v>295</v>
      </c>
      <c r="G61" t="s">
        <v>24</v>
      </c>
      <c r="H61" t="s">
        <v>296</v>
      </c>
      <c r="I61" t="s">
        <v>73</v>
      </c>
      <c r="N61" t="s">
        <v>38</v>
      </c>
      <c r="S61" t="s">
        <v>75</v>
      </c>
      <c r="V61" t="s">
        <v>5582</v>
      </c>
      <c r="W61" t="s">
        <v>5583</v>
      </c>
      <c r="X61" s="2">
        <f>IFERROR(VLOOKUP(I61,'Rate Sheet'!$D:$F,3,FALSE),0)</f>
        <v>8.6983333333333324</v>
      </c>
      <c r="Y61" s="2">
        <f>IFERROR(VLOOKUP(J61,'Rate Sheet'!$D:$F,3,FALSE),0)</f>
        <v>0</v>
      </c>
      <c r="Z61" s="2">
        <f>IFERROR(VLOOKUP(K61,'Rate Sheet'!$D:$F,3,FALSE),0)</f>
        <v>0</v>
      </c>
      <c r="AA61" s="2">
        <f t="shared" si="0"/>
        <v>8.6983333333333324</v>
      </c>
      <c r="AB61">
        <v>1</v>
      </c>
    </row>
    <row r="62" spans="1:28" x14ac:dyDescent="0.25">
      <c r="A62" t="s">
        <v>33</v>
      </c>
      <c r="B62" t="s">
        <v>297</v>
      </c>
      <c r="C62" t="s">
        <v>21</v>
      </c>
      <c r="D62" t="s">
        <v>297</v>
      </c>
      <c r="E62" t="s">
        <v>298</v>
      </c>
      <c r="F62" t="s">
        <v>299</v>
      </c>
      <c r="G62" t="s">
        <v>24</v>
      </c>
      <c r="H62" t="s">
        <v>300</v>
      </c>
      <c r="N62" t="s">
        <v>27</v>
      </c>
      <c r="X62" s="2">
        <f>IFERROR(VLOOKUP(I62,'Rate Sheet'!$D:$F,3,FALSE),0)</f>
        <v>0</v>
      </c>
      <c r="Y62" s="2">
        <f>IFERROR(VLOOKUP(J62,'Rate Sheet'!$D:$F,3,FALSE),0)</f>
        <v>0</v>
      </c>
      <c r="Z62" s="2">
        <f>IFERROR(VLOOKUP(K62,'Rate Sheet'!$D:$F,3,FALSE),0)</f>
        <v>0</v>
      </c>
      <c r="AA62" s="2">
        <f t="shared" si="0"/>
        <v>0</v>
      </c>
    </row>
    <row r="63" spans="1:28" x14ac:dyDescent="0.25">
      <c r="A63" t="s">
        <v>33</v>
      </c>
      <c r="B63" t="s">
        <v>301</v>
      </c>
      <c r="C63" t="s">
        <v>21</v>
      </c>
      <c r="D63" t="s">
        <v>301</v>
      </c>
      <c r="E63" t="s">
        <v>302</v>
      </c>
      <c r="F63" t="s">
        <v>303</v>
      </c>
      <c r="G63" t="s">
        <v>24</v>
      </c>
      <c r="H63" t="s">
        <v>304</v>
      </c>
      <c r="I63" t="s">
        <v>46</v>
      </c>
      <c r="N63" t="s">
        <v>53</v>
      </c>
      <c r="S63" t="s">
        <v>48</v>
      </c>
      <c r="V63" t="s">
        <v>5580</v>
      </c>
      <c r="W63" t="s">
        <v>5581</v>
      </c>
      <c r="X63" s="2">
        <f>IFERROR(VLOOKUP(I63,'Rate Sheet'!$D:$F,3,FALSE),0)</f>
        <v>14.333333333333334</v>
      </c>
      <c r="Y63" s="2">
        <f>IFERROR(VLOOKUP(J63,'Rate Sheet'!$D:$F,3,FALSE),0)</f>
        <v>0</v>
      </c>
      <c r="Z63" s="2">
        <f>IFERROR(VLOOKUP(K63,'Rate Sheet'!$D:$F,3,FALSE),0)</f>
        <v>0</v>
      </c>
      <c r="AA63" s="2">
        <f t="shared" si="0"/>
        <v>14.333333333333334</v>
      </c>
      <c r="AB63">
        <v>1</v>
      </c>
    </row>
    <row r="64" spans="1:28" x14ac:dyDescent="0.25">
      <c r="A64" t="s">
        <v>33</v>
      </c>
      <c r="B64" t="s">
        <v>305</v>
      </c>
      <c r="C64" t="s">
        <v>21</v>
      </c>
      <c r="D64" t="s">
        <v>305</v>
      </c>
      <c r="E64" t="s">
        <v>306</v>
      </c>
      <c r="F64" t="s">
        <v>307</v>
      </c>
      <c r="G64" t="s">
        <v>24</v>
      </c>
      <c r="H64" t="s">
        <v>308</v>
      </c>
      <c r="N64" t="s">
        <v>309</v>
      </c>
      <c r="X64" s="2">
        <f>IFERROR(VLOOKUP(I64,'Rate Sheet'!$D:$F,3,FALSE),0)</f>
        <v>0</v>
      </c>
      <c r="Y64" s="2">
        <f>IFERROR(VLOOKUP(J64,'Rate Sheet'!$D:$F,3,FALSE),0)</f>
        <v>0</v>
      </c>
      <c r="Z64" s="2">
        <f>IFERROR(VLOOKUP(K64,'Rate Sheet'!$D:$F,3,FALSE),0)</f>
        <v>0</v>
      </c>
      <c r="AA64" s="2">
        <f t="shared" si="0"/>
        <v>0</v>
      </c>
    </row>
    <row r="65" spans="1:28" x14ac:dyDescent="0.25">
      <c r="A65" t="s">
        <v>33</v>
      </c>
      <c r="B65" t="s">
        <v>310</v>
      </c>
      <c r="C65" t="s">
        <v>21</v>
      </c>
      <c r="D65" t="s">
        <v>310</v>
      </c>
      <c r="E65" t="s">
        <v>240</v>
      </c>
      <c r="F65" t="s">
        <v>311</v>
      </c>
      <c r="G65" t="s">
        <v>24</v>
      </c>
      <c r="H65" t="s">
        <v>312</v>
      </c>
      <c r="I65" t="s">
        <v>46</v>
      </c>
      <c r="N65" t="s">
        <v>273</v>
      </c>
      <c r="S65" t="s">
        <v>48</v>
      </c>
      <c r="V65" t="s">
        <v>5621</v>
      </c>
      <c r="W65" t="s">
        <v>5622</v>
      </c>
      <c r="X65" s="2">
        <f>IFERROR(VLOOKUP(I65,'Rate Sheet'!$D:$F,3,FALSE),0)</f>
        <v>14.333333333333334</v>
      </c>
      <c r="Y65" s="2">
        <f>IFERROR(VLOOKUP(J65,'Rate Sheet'!$D:$F,3,FALSE),0)</f>
        <v>0</v>
      </c>
      <c r="Z65" s="2">
        <f>IFERROR(VLOOKUP(K65,'Rate Sheet'!$D:$F,3,FALSE),0)</f>
        <v>0</v>
      </c>
      <c r="AA65" s="2">
        <f t="shared" si="0"/>
        <v>14.333333333333334</v>
      </c>
      <c r="AB65">
        <v>1</v>
      </c>
    </row>
    <row r="66" spans="1:28" x14ac:dyDescent="0.25">
      <c r="A66" t="s">
        <v>33</v>
      </c>
      <c r="B66" t="s">
        <v>313</v>
      </c>
      <c r="C66" t="s">
        <v>21</v>
      </c>
      <c r="D66" t="s">
        <v>313</v>
      </c>
      <c r="E66" t="s">
        <v>314</v>
      </c>
      <c r="F66" t="s">
        <v>315</v>
      </c>
      <c r="G66" t="s">
        <v>24</v>
      </c>
      <c r="H66" t="s">
        <v>316</v>
      </c>
      <c r="I66" t="s">
        <v>46</v>
      </c>
      <c r="N66" t="s">
        <v>317</v>
      </c>
      <c r="S66" t="s">
        <v>48</v>
      </c>
      <c r="V66" t="s">
        <v>5625</v>
      </c>
      <c r="W66" t="s">
        <v>317</v>
      </c>
      <c r="X66" s="2">
        <f>IFERROR(VLOOKUP(I66,'Rate Sheet'!$D:$F,3,FALSE),0)</f>
        <v>14.333333333333334</v>
      </c>
      <c r="Y66" s="2">
        <f>IFERROR(VLOOKUP(J66,'Rate Sheet'!$D:$F,3,FALSE),0)</f>
        <v>0</v>
      </c>
      <c r="Z66" s="2">
        <f>IFERROR(VLOOKUP(K66,'Rate Sheet'!$D:$F,3,FALSE),0)</f>
        <v>0</v>
      </c>
      <c r="AA66" s="2">
        <f t="shared" si="0"/>
        <v>14.333333333333334</v>
      </c>
      <c r="AB66">
        <v>1</v>
      </c>
    </row>
    <row r="67" spans="1:28" x14ac:dyDescent="0.25">
      <c r="A67" t="s">
        <v>33</v>
      </c>
      <c r="B67" t="s">
        <v>318</v>
      </c>
      <c r="C67" t="s">
        <v>92</v>
      </c>
      <c r="D67" t="s">
        <v>318</v>
      </c>
      <c r="E67" t="s">
        <v>319</v>
      </c>
      <c r="F67" t="s">
        <v>320</v>
      </c>
      <c r="G67" t="s">
        <v>24</v>
      </c>
      <c r="H67" t="s">
        <v>321</v>
      </c>
      <c r="I67" t="s">
        <v>73</v>
      </c>
      <c r="N67" t="s">
        <v>322</v>
      </c>
      <c r="S67" t="s">
        <v>75</v>
      </c>
      <c r="V67" t="s">
        <v>5626</v>
      </c>
      <c r="W67" t="s">
        <v>5627</v>
      </c>
      <c r="X67" s="2">
        <f>IFERROR(VLOOKUP(I67,'Rate Sheet'!$D:$F,3,FALSE),0)</f>
        <v>8.6983333333333324</v>
      </c>
      <c r="Y67" s="2">
        <f>IFERROR(VLOOKUP(J67,'Rate Sheet'!$D:$F,3,FALSE),0)</f>
        <v>0</v>
      </c>
      <c r="Z67" s="2">
        <f>IFERROR(VLOOKUP(K67,'Rate Sheet'!$D:$F,3,FALSE),0)</f>
        <v>0</v>
      </c>
      <c r="AA67" s="2">
        <f t="shared" ref="AA67:AA130" si="1">SUM(X67:Z67)</f>
        <v>8.6983333333333324</v>
      </c>
      <c r="AB67">
        <v>1</v>
      </c>
    </row>
    <row r="68" spans="1:28" x14ac:dyDescent="0.25">
      <c r="A68" t="s">
        <v>33</v>
      </c>
      <c r="B68" t="s">
        <v>323</v>
      </c>
      <c r="C68" t="s">
        <v>21</v>
      </c>
      <c r="D68" t="s">
        <v>323</v>
      </c>
      <c r="E68" t="s">
        <v>324</v>
      </c>
      <c r="F68" t="s">
        <v>325</v>
      </c>
      <c r="G68" t="s">
        <v>24</v>
      </c>
      <c r="H68" t="s">
        <v>326</v>
      </c>
      <c r="N68" t="s">
        <v>327</v>
      </c>
      <c r="X68" s="2">
        <f>IFERROR(VLOOKUP(I68,'Rate Sheet'!$D:$F,3,FALSE),0)</f>
        <v>0</v>
      </c>
      <c r="Y68" s="2">
        <f>IFERROR(VLOOKUP(J68,'Rate Sheet'!$D:$F,3,FALSE),0)</f>
        <v>0</v>
      </c>
      <c r="Z68" s="2">
        <f>IFERROR(VLOOKUP(K68,'Rate Sheet'!$D:$F,3,FALSE),0)</f>
        <v>0</v>
      </c>
      <c r="AA68" s="2">
        <f t="shared" si="1"/>
        <v>0</v>
      </c>
    </row>
    <row r="69" spans="1:28" x14ac:dyDescent="0.25">
      <c r="A69" t="s">
        <v>33</v>
      </c>
      <c r="B69" t="s">
        <v>328</v>
      </c>
      <c r="C69" t="s">
        <v>21</v>
      </c>
      <c r="D69" t="s">
        <v>328</v>
      </c>
      <c r="E69" t="s">
        <v>329</v>
      </c>
      <c r="F69" t="s">
        <v>330</v>
      </c>
      <c r="G69" t="s">
        <v>24</v>
      </c>
      <c r="H69" t="s">
        <v>331</v>
      </c>
      <c r="N69" t="s">
        <v>332</v>
      </c>
      <c r="X69" s="2">
        <f>IFERROR(VLOOKUP(I69,'Rate Sheet'!$D:$F,3,FALSE),0)</f>
        <v>0</v>
      </c>
      <c r="Y69" s="2">
        <f>IFERROR(VLOOKUP(J69,'Rate Sheet'!$D:$F,3,FALSE),0)</f>
        <v>0</v>
      </c>
      <c r="Z69" s="2">
        <f>IFERROR(VLOOKUP(K69,'Rate Sheet'!$D:$F,3,FALSE),0)</f>
        <v>0</v>
      </c>
      <c r="AA69" s="2">
        <f t="shared" si="1"/>
        <v>0</v>
      </c>
    </row>
    <row r="70" spans="1:28" x14ac:dyDescent="0.25">
      <c r="A70" t="s">
        <v>33</v>
      </c>
      <c r="B70" t="s">
        <v>333</v>
      </c>
      <c r="C70" t="s">
        <v>21</v>
      </c>
      <c r="D70" t="s">
        <v>333</v>
      </c>
      <c r="E70" t="s">
        <v>334</v>
      </c>
      <c r="F70" t="s">
        <v>335</v>
      </c>
      <c r="G70" t="s">
        <v>24</v>
      </c>
      <c r="H70" t="s">
        <v>336</v>
      </c>
      <c r="I70" t="s">
        <v>46</v>
      </c>
      <c r="N70" t="s">
        <v>53</v>
      </c>
      <c r="S70" t="s">
        <v>48</v>
      </c>
      <c r="V70" t="s">
        <v>5628</v>
      </c>
      <c r="W70" t="s">
        <v>5629</v>
      </c>
      <c r="X70" s="2">
        <f>IFERROR(VLOOKUP(I70,'Rate Sheet'!$D:$F,3,FALSE),0)</f>
        <v>14.333333333333334</v>
      </c>
      <c r="Y70" s="2">
        <f>IFERROR(VLOOKUP(J70,'Rate Sheet'!$D:$F,3,FALSE),0)</f>
        <v>0</v>
      </c>
      <c r="Z70" s="2">
        <f>IFERROR(VLOOKUP(K70,'Rate Sheet'!$D:$F,3,FALSE),0)</f>
        <v>0</v>
      </c>
      <c r="AA70" s="2">
        <f t="shared" si="1"/>
        <v>14.333333333333334</v>
      </c>
      <c r="AB70">
        <v>1</v>
      </c>
    </row>
    <row r="71" spans="1:28" x14ac:dyDescent="0.25">
      <c r="A71" t="s">
        <v>33</v>
      </c>
      <c r="B71" t="s">
        <v>337</v>
      </c>
      <c r="C71" t="s">
        <v>21</v>
      </c>
      <c r="D71" t="s">
        <v>337</v>
      </c>
      <c r="E71" t="s">
        <v>338</v>
      </c>
      <c r="F71" t="s">
        <v>339</v>
      </c>
      <c r="G71" t="s">
        <v>24</v>
      </c>
      <c r="H71" s="1" t="s">
        <v>340</v>
      </c>
      <c r="L71" t="s">
        <v>26</v>
      </c>
      <c r="N71" t="s">
        <v>27</v>
      </c>
      <c r="X71" s="2">
        <f>IFERROR(VLOOKUP(I71,'Rate Sheet'!$D:$F,3,FALSE),0)</f>
        <v>0</v>
      </c>
      <c r="Y71" s="2">
        <f>IFERROR(VLOOKUP(J71,'Rate Sheet'!$D:$F,3,FALSE),0)</f>
        <v>0</v>
      </c>
      <c r="Z71" s="2">
        <f>IFERROR(VLOOKUP(K71,'Rate Sheet'!$D:$F,3,FALSE),0)</f>
        <v>0</v>
      </c>
      <c r="AA71" s="2">
        <f t="shared" si="1"/>
        <v>0</v>
      </c>
    </row>
    <row r="72" spans="1:28" x14ac:dyDescent="0.25">
      <c r="A72" t="s">
        <v>33</v>
      </c>
      <c r="B72" t="s">
        <v>341</v>
      </c>
      <c r="C72" t="s">
        <v>21</v>
      </c>
      <c r="D72" t="s">
        <v>341</v>
      </c>
      <c r="E72" t="s">
        <v>342</v>
      </c>
      <c r="F72" t="s">
        <v>343</v>
      </c>
      <c r="G72" t="s">
        <v>24</v>
      </c>
      <c r="H72" t="s">
        <v>344</v>
      </c>
      <c r="I72" t="s">
        <v>46</v>
      </c>
      <c r="N72" t="s">
        <v>138</v>
      </c>
      <c r="S72" t="s">
        <v>48</v>
      </c>
      <c r="V72" t="s">
        <v>5580</v>
      </c>
      <c r="W72" t="s">
        <v>5581</v>
      </c>
      <c r="X72" s="2">
        <f>IFERROR(VLOOKUP(I72,'Rate Sheet'!$D:$F,3,FALSE),0)</f>
        <v>14.333333333333334</v>
      </c>
      <c r="Y72" s="2">
        <f>IFERROR(VLOOKUP(J72,'Rate Sheet'!$D:$F,3,FALSE),0)</f>
        <v>0</v>
      </c>
      <c r="Z72" s="2">
        <f>IFERROR(VLOOKUP(K72,'Rate Sheet'!$D:$F,3,FALSE),0)</f>
        <v>0</v>
      </c>
      <c r="AA72" s="2">
        <f t="shared" si="1"/>
        <v>14.333333333333334</v>
      </c>
      <c r="AB72">
        <v>1</v>
      </c>
    </row>
    <row r="73" spans="1:28" x14ac:dyDescent="0.25">
      <c r="A73" t="s">
        <v>33</v>
      </c>
      <c r="B73" t="s">
        <v>345</v>
      </c>
      <c r="C73" t="s">
        <v>21</v>
      </c>
      <c r="D73" t="s">
        <v>345</v>
      </c>
      <c r="E73" t="s">
        <v>346</v>
      </c>
      <c r="F73" t="s">
        <v>347</v>
      </c>
      <c r="G73" t="s">
        <v>24</v>
      </c>
      <c r="H73" t="s">
        <v>348</v>
      </c>
      <c r="I73" t="s">
        <v>46</v>
      </c>
      <c r="N73" t="s">
        <v>349</v>
      </c>
      <c r="S73" t="s">
        <v>48</v>
      </c>
      <c r="V73" t="s">
        <v>5630</v>
      </c>
      <c r="W73" t="s">
        <v>5631</v>
      </c>
      <c r="X73" s="2">
        <f>IFERROR(VLOOKUP(I73,'Rate Sheet'!$D:$F,3,FALSE),0)</f>
        <v>14.333333333333334</v>
      </c>
      <c r="Y73" s="2">
        <f>IFERROR(VLOOKUP(J73,'Rate Sheet'!$D:$F,3,FALSE),0)</f>
        <v>0</v>
      </c>
      <c r="Z73" s="2">
        <f>IFERROR(VLOOKUP(K73,'Rate Sheet'!$D:$F,3,FALSE),0)</f>
        <v>0</v>
      </c>
      <c r="AA73" s="2">
        <f t="shared" si="1"/>
        <v>14.333333333333334</v>
      </c>
      <c r="AB73">
        <v>1</v>
      </c>
    </row>
    <row r="74" spans="1:28" x14ac:dyDescent="0.25">
      <c r="A74" t="s">
        <v>33</v>
      </c>
      <c r="B74" t="s">
        <v>350</v>
      </c>
      <c r="C74" t="s">
        <v>21</v>
      </c>
      <c r="D74" t="s">
        <v>350</v>
      </c>
      <c r="E74" t="s">
        <v>351</v>
      </c>
      <c r="F74" t="s">
        <v>352</v>
      </c>
      <c r="G74" t="s">
        <v>24</v>
      </c>
      <c r="H74" t="s">
        <v>353</v>
      </c>
      <c r="I74" t="s">
        <v>46</v>
      </c>
      <c r="N74" t="s">
        <v>273</v>
      </c>
      <c r="S74" t="s">
        <v>48</v>
      </c>
      <c r="V74" t="s">
        <v>5621</v>
      </c>
      <c r="W74" t="s">
        <v>5622</v>
      </c>
      <c r="X74" s="2">
        <f>IFERROR(VLOOKUP(I74,'Rate Sheet'!$D:$F,3,FALSE),0)</f>
        <v>14.333333333333334</v>
      </c>
      <c r="Y74" s="2">
        <f>IFERROR(VLOOKUP(J74,'Rate Sheet'!$D:$F,3,FALSE),0)</f>
        <v>0</v>
      </c>
      <c r="Z74" s="2">
        <f>IFERROR(VLOOKUP(K74,'Rate Sheet'!$D:$F,3,FALSE),0)</f>
        <v>0</v>
      </c>
      <c r="AA74" s="2">
        <f t="shared" si="1"/>
        <v>14.333333333333334</v>
      </c>
      <c r="AB74">
        <v>1</v>
      </c>
    </row>
    <row r="75" spans="1:28" x14ac:dyDescent="0.25">
      <c r="A75" t="s">
        <v>33</v>
      </c>
      <c r="B75" t="s">
        <v>354</v>
      </c>
      <c r="C75" t="s">
        <v>21</v>
      </c>
      <c r="D75" t="s">
        <v>354</v>
      </c>
      <c r="E75" t="s">
        <v>355</v>
      </c>
      <c r="F75" t="s">
        <v>356</v>
      </c>
      <c r="G75" t="s">
        <v>24</v>
      </c>
      <c r="H75" t="s">
        <v>357</v>
      </c>
      <c r="N75" t="s">
        <v>327</v>
      </c>
      <c r="X75" s="2">
        <f>IFERROR(VLOOKUP(I75,'Rate Sheet'!$D:$F,3,FALSE),0)</f>
        <v>0</v>
      </c>
      <c r="Y75" s="2">
        <f>IFERROR(VLOOKUP(J75,'Rate Sheet'!$D:$F,3,FALSE),0)</f>
        <v>0</v>
      </c>
      <c r="Z75" s="2">
        <f>IFERROR(VLOOKUP(K75,'Rate Sheet'!$D:$F,3,FALSE),0)</f>
        <v>0</v>
      </c>
      <c r="AA75" s="2">
        <f t="shared" si="1"/>
        <v>0</v>
      </c>
    </row>
    <row r="76" spans="1:28" x14ac:dyDescent="0.25">
      <c r="A76" t="s">
        <v>33</v>
      </c>
      <c r="B76" t="s">
        <v>358</v>
      </c>
      <c r="C76" t="s">
        <v>21</v>
      </c>
      <c r="D76" t="s">
        <v>358</v>
      </c>
      <c r="E76" t="s">
        <v>359</v>
      </c>
      <c r="F76" t="s">
        <v>360</v>
      </c>
      <c r="G76" t="s">
        <v>24</v>
      </c>
      <c r="H76" t="s">
        <v>361</v>
      </c>
      <c r="I76" t="s">
        <v>46</v>
      </c>
      <c r="N76" t="s">
        <v>53</v>
      </c>
      <c r="S76" t="s">
        <v>48</v>
      </c>
      <c r="V76" t="s">
        <v>5580</v>
      </c>
      <c r="W76" t="s">
        <v>5581</v>
      </c>
      <c r="X76" s="2">
        <f>IFERROR(VLOOKUP(I76,'Rate Sheet'!$D:$F,3,FALSE),0)</f>
        <v>14.333333333333334</v>
      </c>
      <c r="Y76" s="2">
        <f>IFERROR(VLOOKUP(J76,'Rate Sheet'!$D:$F,3,FALSE),0)</f>
        <v>0</v>
      </c>
      <c r="Z76" s="2">
        <f>IFERROR(VLOOKUP(K76,'Rate Sheet'!$D:$F,3,FALSE),0)</f>
        <v>0</v>
      </c>
      <c r="AA76" s="2">
        <f t="shared" si="1"/>
        <v>14.333333333333334</v>
      </c>
      <c r="AB76">
        <v>1</v>
      </c>
    </row>
    <row r="77" spans="1:28" x14ac:dyDescent="0.25">
      <c r="A77" t="s">
        <v>33</v>
      </c>
      <c r="B77" t="s">
        <v>362</v>
      </c>
      <c r="C77" t="s">
        <v>29</v>
      </c>
      <c r="D77" t="s">
        <v>362</v>
      </c>
      <c r="E77" t="s">
        <v>363</v>
      </c>
      <c r="F77" t="s">
        <v>364</v>
      </c>
      <c r="G77" t="s">
        <v>24</v>
      </c>
      <c r="H77" t="s">
        <v>365</v>
      </c>
      <c r="X77" s="2">
        <f>IFERROR(VLOOKUP(I77,'Rate Sheet'!$D:$F,3,FALSE),0)</f>
        <v>0</v>
      </c>
      <c r="Y77" s="2">
        <f>IFERROR(VLOOKUP(J77,'Rate Sheet'!$D:$F,3,FALSE),0)</f>
        <v>0</v>
      </c>
      <c r="Z77" s="2">
        <f>IFERROR(VLOOKUP(K77,'Rate Sheet'!$D:$F,3,FALSE),0)</f>
        <v>0</v>
      </c>
      <c r="AA77" s="2">
        <f t="shared" si="1"/>
        <v>0</v>
      </c>
    </row>
    <row r="78" spans="1:28" x14ac:dyDescent="0.25">
      <c r="A78" t="s">
        <v>33</v>
      </c>
      <c r="B78" t="s">
        <v>366</v>
      </c>
      <c r="C78" t="s">
        <v>21</v>
      </c>
      <c r="D78" t="s">
        <v>366</v>
      </c>
      <c r="E78" t="s">
        <v>367</v>
      </c>
      <c r="F78" t="s">
        <v>368</v>
      </c>
      <c r="G78" t="s">
        <v>24</v>
      </c>
      <c r="H78" t="s">
        <v>369</v>
      </c>
      <c r="I78" t="s">
        <v>46</v>
      </c>
      <c r="N78" t="s">
        <v>370</v>
      </c>
      <c r="S78" t="s">
        <v>48</v>
      </c>
      <c r="V78" t="s">
        <v>5598</v>
      </c>
      <c r="W78" t="s">
        <v>119</v>
      </c>
      <c r="X78" s="2">
        <f>IFERROR(VLOOKUP(I78,'Rate Sheet'!$D:$F,3,FALSE),0)</f>
        <v>14.333333333333334</v>
      </c>
      <c r="Y78" s="2">
        <f>IFERROR(VLOOKUP(J78,'Rate Sheet'!$D:$F,3,FALSE),0)</f>
        <v>0</v>
      </c>
      <c r="Z78" s="2">
        <f>IFERROR(VLOOKUP(K78,'Rate Sheet'!$D:$F,3,FALSE),0)</f>
        <v>0</v>
      </c>
      <c r="AA78" s="2">
        <f t="shared" si="1"/>
        <v>14.333333333333334</v>
      </c>
      <c r="AB78">
        <v>1</v>
      </c>
    </row>
    <row r="79" spans="1:28" x14ac:dyDescent="0.25">
      <c r="A79" t="s">
        <v>33</v>
      </c>
      <c r="B79" t="s">
        <v>371</v>
      </c>
      <c r="C79" t="s">
        <v>21</v>
      </c>
      <c r="D79" t="s">
        <v>371</v>
      </c>
      <c r="E79" t="s">
        <v>372</v>
      </c>
      <c r="F79" t="s">
        <v>373</v>
      </c>
      <c r="G79" t="s">
        <v>24</v>
      </c>
      <c r="H79" t="s">
        <v>374</v>
      </c>
      <c r="I79" t="s">
        <v>46</v>
      </c>
      <c r="N79" t="s">
        <v>375</v>
      </c>
      <c r="S79" t="s">
        <v>48</v>
      </c>
      <c r="V79" t="s">
        <v>5632</v>
      </c>
      <c r="W79" t="s">
        <v>5633</v>
      </c>
      <c r="X79" s="2">
        <f>IFERROR(VLOOKUP(I79,'Rate Sheet'!$D:$F,3,FALSE),0)</f>
        <v>14.333333333333334</v>
      </c>
      <c r="Y79" s="2">
        <f>IFERROR(VLOOKUP(J79,'Rate Sheet'!$D:$F,3,FALSE),0)</f>
        <v>0</v>
      </c>
      <c r="Z79" s="2">
        <f>IFERROR(VLOOKUP(K79,'Rate Sheet'!$D:$F,3,FALSE),0)</f>
        <v>0</v>
      </c>
      <c r="AA79" s="2">
        <f t="shared" si="1"/>
        <v>14.333333333333334</v>
      </c>
      <c r="AB79">
        <v>1</v>
      </c>
    </row>
    <row r="80" spans="1:28" x14ac:dyDescent="0.25">
      <c r="A80" t="s">
        <v>33</v>
      </c>
      <c r="B80" t="s">
        <v>376</v>
      </c>
      <c r="C80" t="s">
        <v>21</v>
      </c>
      <c r="D80" t="s">
        <v>376</v>
      </c>
      <c r="E80" t="s">
        <v>377</v>
      </c>
      <c r="F80" t="s">
        <v>78</v>
      </c>
      <c r="G80" t="s">
        <v>24</v>
      </c>
      <c r="H80" t="s">
        <v>378</v>
      </c>
      <c r="I80" t="s">
        <v>46</v>
      </c>
      <c r="N80" t="s">
        <v>38</v>
      </c>
      <c r="S80" t="s">
        <v>48</v>
      </c>
      <c r="V80" t="s">
        <v>5582</v>
      </c>
      <c r="W80" t="s">
        <v>5583</v>
      </c>
      <c r="X80" s="2">
        <f>IFERROR(VLOOKUP(I80,'Rate Sheet'!$D:$F,3,FALSE),0)</f>
        <v>14.333333333333334</v>
      </c>
      <c r="Y80" s="2">
        <f>IFERROR(VLOOKUP(J80,'Rate Sheet'!$D:$F,3,FALSE),0)</f>
        <v>0</v>
      </c>
      <c r="Z80" s="2">
        <f>IFERROR(VLOOKUP(K80,'Rate Sheet'!$D:$F,3,FALSE),0)</f>
        <v>0</v>
      </c>
      <c r="AA80" s="2">
        <f t="shared" si="1"/>
        <v>14.333333333333334</v>
      </c>
      <c r="AB80">
        <v>1</v>
      </c>
    </row>
    <row r="81" spans="1:28" x14ac:dyDescent="0.25">
      <c r="A81" t="s">
        <v>33</v>
      </c>
      <c r="B81" t="s">
        <v>379</v>
      </c>
      <c r="C81" t="s">
        <v>21</v>
      </c>
      <c r="D81" t="s">
        <v>379</v>
      </c>
      <c r="E81" t="s">
        <v>380</v>
      </c>
      <c r="F81" t="s">
        <v>381</v>
      </c>
      <c r="G81" t="s">
        <v>24</v>
      </c>
      <c r="H81" t="s">
        <v>382</v>
      </c>
      <c r="N81" t="s">
        <v>129</v>
      </c>
      <c r="X81" s="2">
        <f>IFERROR(VLOOKUP(I81,'Rate Sheet'!$D:$F,3,FALSE),0)</f>
        <v>0</v>
      </c>
      <c r="Y81" s="2">
        <f>IFERROR(VLOOKUP(J81,'Rate Sheet'!$D:$F,3,FALSE),0)</f>
        <v>0</v>
      </c>
      <c r="Z81" s="2">
        <f>IFERROR(VLOOKUP(K81,'Rate Sheet'!$D:$F,3,FALSE),0)</f>
        <v>0</v>
      </c>
      <c r="AA81" s="2">
        <f t="shared" si="1"/>
        <v>0</v>
      </c>
    </row>
    <row r="82" spans="1:28" x14ac:dyDescent="0.25">
      <c r="A82" t="s">
        <v>33</v>
      </c>
      <c r="B82" t="s">
        <v>383</v>
      </c>
      <c r="C82" t="s">
        <v>21</v>
      </c>
      <c r="D82" t="s">
        <v>383</v>
      </c>
      <c r="E82" t="s">
        <v>377</v>
      </c>
      <c r="F82" t="s">
        <v>384</v>
      </c>
      <c r="G82" t="s">
        <v>24</v>
      </c>
      <c r="H82" s="1" t="s">
        <v>385</v>
      </c>
      <c r="I82" t="s">
        <v>73</v>
      </c>
      <c r="N82" t="s">
        <v>207</v>
      </c>
      <c r="S82" t="s">
        <v>75</v>
      </c>
      <c r="V82" t="s">
        <v>5634</v>
      </c>
      <c r="W82" t="s">
        <v>207</v>
      </c>
      <c r="X82" s="2">
        <f>IFERROR(VLOOKUP(I82,'Rate Sheet'!$D:$F,3,FALSE),0)</f>
        <v>8.6983333333333324</v>
      </c>
      <c r="Y82" s="2">
        <f>IFERROR(VLOOKUP(J82,'Rate Sheet'!$D:$F,3,FALSE),0)</f>
        <v>0</v>
      </c>
      <c r="Z82" s="2">
        <f>IFERROR(VLOOKUP(K82,'Rate Sheet'!$D:$F,3,FALSE),0)</f>
        <v>0</v>
      </c>
      <c r="AA82" s="2">
        <f t="shared" si="1"/>
        <v>8.6983333333333324</v>
      </c>
      <c r="AB82">
        <v>1</v>
      </c>
    </row>
    <row r="83" spans="1:28" x14ac:dyDescent="0.25">
      <c r="A83" t="s">
        <v>33</v>
      </c>
      <c r="B83" t="s">
        <v>386</v>
      </c>
      <c r="C83" t="s">
        <v>21</v>
      </c>
      <c r="D83" t="s">
        <v>386</v>
      </c>
      <c r="E83" t="s">
        <v>334</v>
      </c>
      <c r="F83" t="s">
        <v>387</v>
      </c>
      <c r="G83" t="s">
        <v>24</v>
      </c>
      <c r="H83" t="s">
        <v>388</v>
      </c>
      <c r="I83" t="s">
        <v>46</v>
      </c>
      <c r="N83" t="s">
        <v>389</v>
      </c>
      <c r="S83" t="s">
        <v>48</v>
      </c>
      <c r="V83" t="s">
        <v>5580</v>
      </c>
      <c r="W83" t="s">
        <v>5581</v>
      </c>
      <c r="X83" s="2">
        <f>IFERROR(VLOOKUP(I83,'Rate Sheet'!$D:$F,3,FALSE),0)</f>
        <v>14.333333333333334</v>
      </c>
      <c r="Y83" s="2">
        <f>IFERROR(VLOOKUP(J83,'Rate Sheet'!$D:$F,3,FALSE),0)</f>
        <v>0</v>
      </c>
      <c r="Z83" s="2">
        <f>IFERROR(VLOOKUP(K83,'Rate Sheet'!$D:$F,3,FALSE),0)</f>
        <v>0</v>
      </c>
      <c r="AA83" s="2">
        <f t="shared" si="1"/>
        <v>14.333333333333334</v>
      </c>
      <c r="AB83">
        <v>1</v>
      </c>
    </row>
    <row r="84" spans="1:28" x14ac:dyDescent="0.25">
      <c r="A84" t="s">
        <v>33</v>
      </c>
      <c r="B84" t="s">
        <v>390</v>
      </c>
      <c r="C84" t="s">
        <v>21</v>
      </c>
      <c r="D84" t="s">
        <v>390</v>
      </c>
      <c r="E84" t="s">
        <v>159</v>
      </c>
      <c r="F84" t="s">
        <v>391</v>
      </c>
      <c r="G84" t="s">
        <v>24</v>
      </c>
      <c r="H84" t="s">
        <v>392</v>
      </c>
      <c r="N84" t="s">
        <v>53</v>
      </c>
      <c r="X84" s="2">
        <f>IFERROR(VLOOKUP(I84,'Rate Sheet'!$D:$F,3,FALSE),0)</f>
        <v>0</v>
      </c>
      <c r="Y84" s="2">
        <f>IFERROR(VLOOKUP(J84,'Rate Sheet'!$D:$F,3,FALSE),0)</f>
        <v>0</v>
      </c>
      <c r="Z84" s="2">
        <f>IFERROR(VLOOKUP(K84,'Rate Sheet'!$D:$F,3,FALSE),0)</f>
        <v>0</v>
      </c>
      <c r="AA84" s="2">
        <f t="shared" si="1"/>
        <v>0</v>
      </c>
    </row>
    <row r="85" spans="1:28" x14ac:dyDescent="0.25">
      <c r="A85" t="s">
        <v>33</v>
      </c>
      <c r="B85" t="s">
        <v>393</v>
      </c>
      <c r="C85" t="s">
        <v>29</v>
      </c>
      <c r="D85" t="s">
        <v>393</v>
      </c>
      <c r="E85" t="s">
        <v>394</v>
      </c>
      <c r="F85" t="s">
        <v>395</v>
      </c>
      <c r="G85" t="s">
        <v>24</v>
      </c>
      <c r="H85" t="s">
        <v>396</v>
      </c>
      <c r="N85" t="s">
        <v>397</v>
      </c>
      <c r="X85" s="2">
        <f>IFERROR(VLOOKUP(I85,'Rate Sheet'!$D:$F,3,FALSE),0)</f>
        <v>0</v>
      </c>
      <c r="Y85" s="2">
        <f>IFERROR(VLOOKUP(J85,'Rate Sheet'!$D:$F,3,FALSE),0)</f>
        <v>0</v>
      </c>
      <c r="Z85" s="2">
        <f>IFERROR(VLOOKUP(K85,'Rate Sheet'!$D:$F,3,FALSE),0)</f>
        <v>0</v>
      </c>
      <c r="AA85" s="2">
        <f t="shared" si="1"/>
        <v>0</v>
      </c>
    </row>
    <row r="86" spans="1:28" x14ac:dyDescent="0.25">
      <c r="A86" t="s">
        <v>33</v>
      </c>
      <c r="B86" t="s">
        <v>398</v>
      </c>
      <c r="C86" t="s">
        <v>21</v>
      </c>
      <c r="D86" t="s">
        <v>399</v>
      </c>
      <c r="E86" t="s">
        <v>400</v>
      </c>
      <c r="F86" t="s">
        <v>401</v>
      </c>
      <c r="G86" t="s">
        <v>24</v>
      </c>
      <c r="H86" t="s">
        <v>402</v>
      </c>
      <c r="I86" t="s">
        <v>46</v>
      </c>
      <c r="N86" t="s">
        <v>181</v>
      </c>
      <c r="S86" t="s">
        <v>48</v>
      </c>
      <c r="V86" t="s">
        <v>5609</v>
      </c>
      <c r="W86" t="s">
        <v>181</v>
      </c>
      <c r="X86" s="2">
        <f>IFERROR(VLOOKUP(I86,'Rate Sheet'!$D:$F,3,FALSE),0)</f>
        <v>14.333333333333334</v>
      </c>
      <c r="Y86" s="2">
        <f>IFERROR(VLOOKUP(J86,'Rate Sheet'!$D:$F,3,FALSE),0)</f>
        <v>0</v>
      </c>
      <c r="Z86" s="2">
        <f>IFERROR(VLOOKUP(K86,'Rate Sheet'!$D:$F,3,FALSE),0)</f>
        <v>0</v>
      </c>
      <c r="AA86" s="2">
        <f t="shared" si="1"/>
        <v>14.333333333333334</v>
      </c>
      <c r="AB86">
        <v>1</v>
      </c>
    </row>
    <row r="87" spans="1:28" x14ac:dyDescent="0.25">
      <c r="A87" t="s">
        <v>33</v>
      </c>
      <c r="B87" t="s">
        <v>403</v>
      </c>
      <c r="C87" t="s">
        <v>21</v>
      </c>
      <c r="D87" t="s">
        <v>403</v>
      </c>
      <c r="E87" t="s">
        <v>404</v>
      </c>
      <c r="F87" t="s">
        <v>405</v>
      </c>
      <c r="G87" t="s">
        <v>24</v>
      </c>
      <c r="H87" t="s">
        <v>406</v>
      </c>
      <c r="I87" t="s">
        <v>46</v>
      </c>
      <c r="N87" t="s">
        <v>349</v>
      </c>
      <c r="S87" t="s">
        <v>48</v>
      </c>
      <c r="V87" t="s">
        <v>5630</v>
      </c>
      <c r="W87" t="s">
        <v>5631</v>
      </c>
      <c r="X87" s="2">
        <f>IFERROR(VLOOKUP(I87,'Rate Sheet'!$D:$F,3,FALSE),0)</f>
        <v>14.333333333333334</v>
      </c>
      <c r="Y87" s="2">
        <f>IFERROR(VLOOKUP(J87,'Rate Sheet'!$D:$F,3,FALSE),0)</f>
        <v>0</v>
      </c>
      <c r="Z87" s="2">
        <f>IFERROR(VLOOKUP(K87,'Rate Sheet'!$D:$F,3,FALSE),0)</f>
        <v>0</v>
      </c>
      <c r="AA87" s="2">
        <f t="shared" si="1"/>
        <v>14.333333333333334</v>
      </c>
      <c r="AB87">
        <v>1</v>
      </c>
    </row>
    <row r="88" spans="1:28" x14ac:dyDescent="0.25">
      <c r="A88" t="s">
        <v>33</v>
      </c>
      <c r="B88" t="s">
        <v>407</v>
      </c>
      <c r="C88" t="s">
        <v>21</v>
      </c>
      <c r="D88" t="s">
        <v>407</v>
      </c>
      <c r="E88" t="s">
        <v>408</v>
      </c>
      <c r="F88" t="s">
        <v>409</v>
      </c>
      <c r="G88" t="s">
        <v>24</v>
      </c>
      <c r="H88" t="s">
        <v>410</v>
      </c>
      <c r="I88" t="s">
        <v>46</v>
      </c>
      <c r="N88" t="s">
        <v>287</v>
      </c>
      <c r="S88" t="s">
        <v>48</v>
      </c>
      <c r="V88" t="s">
        <v>5623</v>
      </c>
      <c r="W88" t="s">
        <v>287</v>
      </c>
      <c r="X88" s="2">
        <f>IFERROR(VLOOKUP(I88,'Rate Sheet'!$D:$F,3,FALSE),0)</f>
        <v>14.333333333333334</v>
      </c>
      <c r="Y88" s="2">
        <f>IFERROR(VLOOKUP(J88,'Rate Sheet'!$D:$F,3,FALSE),0)</f>
        <v>0</v>
      </c>
      <c r="Z88" s="2">
        <f>IFERROR(VLOOKUP(K88,'Rate Sheet'!$D:$F,3,FALSE),0)</f>
        <v>0</v>
      </c>
      <c r="AA88" s="2">
        <f t="shared" si="1"/>
        <v>14.333333333333334</v>
      </c>
      <c r="AB88">
        <v>1</v>
      </c>
    </row>
    <row r="89" spans="1:28" x14ac:dyDescent="0.25">
      <c r="A89" t="s">
        <v>33</v>
      </c>
      <c r="B89" t="s">
        <v>411</v>
      </c>
      <c r="C89" t="s">
        <v>21</v>
      </c>
      <c r="D89" t="s">
        <v>411</v>
      </c>
      <c r="E89" t="s">
        <v>412</v>
      </c>
      <c r="F89" t="s">
        <v>413</v>
      </c>
      <c r="G89" t="s">
        <v>24</v>
      </c>
      <c r="H89" t="s">
        <v>414</v>
      </c>
      <c r="I89" t="s">
        <v>73</v>
      </c>
      <c r="N89" t="s">
        <v>415</v>
      </c>
      <c r="S89" t="s">
        <v>75</v>
      </c>
      <c r="V89" t="s">
        <v>5635</v>
      </c>
      <c r="W89" t="s">
        <v>415</v>
      </c>
      <c r="X89" s="2">
        <f>IFERROR(VLOOKUP(I89,'Rate Sheet'!$D:$F,3,FALSE),0)</f>
        <v>8.6983333333333324</v>
      </c>
      <c r="Y89" s="2">
        <f>IFERROR(VLOOKUP(J89,'Rate Sheet'!$D:$F,3,FALSE),0)</f>
        <v>0</v>
      </c>
      <c r="Z89" s="2">
        <f>IFERROR(VLOOKUP(K89,'Rate Sheet'!$D:$F,3,FALSE),0)</f>
        <v>0</v>
      </c>
      <c r="AA89" s="2">
        <f t="shared" si="1"/>
        <v>8.6983333333333324</v>
      </c>
      <c r="AB89">
        <v>1</v>
      </c>
    </row>
    <row r="90" spans="1:28" x14ac:dyDescent="0.25">
      <c r="A90" t="s">
        <v>33</v>
      </c>
      <c r="B90" t="s">
        <v>416</v>
      </c>
      <c r="C90" t="s">
        <v>21</v>
      </c>
      <c r="D90" t="s">
        <v>416</v>
      </c>
      <c r="E90" t="s">
        <v>187</v>
      </c>
      <c r="F90" t="s">
        <v>417</v>
      </c>
      <c r="G90" t="s">
        <v>24</v>
      </c>
      <c r="H90" t="s">
        <v>418</v>
      </c>
      <c r="N90" t="s">
        <v>309</v>
      </c>
      <c r="X90" s="2">
        <f>IFERROR(VLOOKUP(I90,'Rate Sheet'!$D:$F,3,FALSE),0)</f>
        <v>0</v>
      </c>
      <c r="Y90" s="2">
        <f>IFERROR(VLOOKUP(J90,'Rate Sheet'!$D:$F,3,FALSE),0)</f>
        <v>0</v>
      </c>
      <c r="Z90" s="2">
        <f>IFERROR(VLOOKUP(K90,'Rate Sheet'!$D:$F,3,FALSE),0)</f>
        <v>0</v>
      </c>
      <c r="AA90" s="2">
        <f t="shared" si="1"/>
        <v>0</v>
      </c>
    </row>
    <row r="91" spans="1:28" x14ac:dyDescent="0.25">
      <c r="A91" t="s">
        <v>33</v>
      </c>
      <c r="B91" t="s">
        <v>419</v>
      </c>
      <c r="C91" t="s">
        <v>21</v>
      </c>
      <c r="D91" t="s">
        <v>419</v>
      </c>
      <c r="E91" t="s">
        <v>420</v>
      </c>
      <c r="F91" t="s">
        <v>421</v>
      </c>
      <c r="G91" t="s">
        <v>24</v>
      </c>
      <c r="H91" t="s">
        <v>422</v>
      </c>
      <c r="I91" t="s">
        <v>46</v>
      </c>
      <c r="N91" t="s">
        <v>273</v>
      </c>
      <c r="S91" t="s">
        <v>48</v>
      </c>
      <c r="V91" t="s">
        <v>5621</v>
      </c>
      <c r="W91" t="s">
        <v>5622</v>
      </c>
      <c r="X91" s="2">
        <f>IFERROR(VLOOKUP(I91,'Rate Sheet'!$D:$F,3,FALSE),0)</f>
        <v>14.333333333333334</v>
      </c>
      <c r="Y91" s="2">
        <f>IFERROR(VLOOKUP(J91,'Rate Sheet'!$D:$F,3,FALSE),0)</f>
        <v>0</v>
      </c>
      <c r="Z91" s="2">
        <f>IFERROR(VLOOKUP(K91,'Rate Sheet'!$D:$F,3,FALSE),0)</f>
        <v>0</v>
      </c>
      <c r="AA91" s="2">
        <f t="shared" si="1"/>
        <v>14.333333333333334</v>
      </c>
      <c r="AB91">
        <v>1</v>
      </c>
    </row>
    <row r="92" spans="1:28" x14ac:dyDescent="0.25">
      <c r="A92" t="s">
        <v>33</v>
      </c>
      <c r="B92" t="s">
        <v>423</v>
      </c>
      <c r="C92" t="s">
        <v>21</v>
      </c>
      <c r="D92" t="s">
        <v>423</v>
      </c>
      <c r="E92" t="s">
        <v>424</v>
      </c>
      <c r="F92" t="s">
        <v>425</v>
      </c>
      <c r="G92" t="s">
        <v>24</v>
      </c>
      <c r="H92" t="s">
        <v>426</v>
      </c>
      <c r="I92" t="s">
        <v>46</v>
      </c>
      <c r="N92" t="s">
        <v>185</v>
      </c>
      <c r="S92" t="s">
        <v>48</v>
      </c>
      <c r="V92" t="s">
        <v>5610</v>
      </c>
      <c r="W92" t="s">
        <v>5611</v>
      </c>
      <c r="X92" s="2">
        <f>IFERROR(VLOOKUP(I92,'Rate Sheet'!$D:$F,3,FALSE),0)</f>
        <v>14.333333333333334</v>
      </c>
      <c r="Y92" s="2">
        <f>IFERROR(VLOOKUP(J92,'Rate Sheet'!$D:$F,3,FALSE),0)</f>
        <v>0</v>
      </c>
      <c r="Z92" s="2">
        <f>IFERROR(VLOOKUP(K92,'Rate Sheet'!$D:$F,3,FALSE),0)</f>
        <v>0</v>
      </c>
      <c r="AA92" s="2">
        <f t="shared" si="1"/>
        <v>14.333333333333334</v>
      </c>
      <c r="AB92">
        <v>1</v>
      </c>
    </row>
    <row r="93" spans="1:28" x14ac:dyDescent="0.25">
      <c r="A93" t="s">
        <v>33</v>
      </c>
      <c r="B93" t="s">
        <v>427</v>
      </c>
      <c r="C93" t="s">
        <v>21</v>
      </c>
      <c r="D93" t="s">
        <v>427</v>
      </c>
      <c r="E93" t="s">
        <v>428</v>
      </c>
      <c r="F93" t="s">
        <v>429</v>
      </c>
      <c r="G93" t="s">
        <v>24</v>
      </c>
      <c r="H93" t="s">
        <v>430</v>
      </c>
      <c r="I93" t="s">
        <v>46</v>
      </c>
      <c r="S93" t="s">
        <v>48</v>
      </c>
      <c r="V93" t="s">
        <v>5591</v>
      </c>
      <c r="W93" t="s">
        <v>90</v>
      </c>
      <c r="X93" s="2">
        <f>IFERROR(VLOOKUP(I93,'Rate Sheet'!$D:$F,3,FALSE),0)</f>
        <v>14.333333333333334</v>
      </c>
      <c r="Y93" s="2">
        <f>IFERROR(VLOOKUP(J93,'Rate Sheet'!$D:$F,3,FALSE),0)</f>
        <v>0</v>
      </c>
      <c r="Z93" s="2">
        <f>IFERROR(VLOOKUP(K93,'Rate Sheet'!$D:$F,3,FALSE),0)</f>
        <v>0</v>
      </c>
      <c r="AA93" s="2">
        <f t="shared" si="1"/>
        <v>14.333333333333334</v>
      </c>
      <c r="AB93">
        <v>1</v>
      </c>
    </row>
    <row r="94" spans="1:28" x14ac:dyDescent="0.25">
      <c r="A94" t="s">
        <v>33</v>
      </c>
      <c r="B94" t="s">
        <v>431</v>
      </c>
      <c r="C94" t="s">
        <v>21</v>
      </c>
      <c r="D94" t="s">
        <v>431</v>
      </c>
      <c r="E94" t="s">
        <v>338</v>
      </c>
      <c r="F94" t="s">
        <v>432</v>
      </c>
      <c r="G94" t="s">
        <v>24</v>
      </c>
      <c r="H94" t="s">
        <v>433</v>
      </c>
      <c r="I94" t="s">
        <v>46</v>
      </c>
      <c r="N94" t="s">
        <v>273</v>
      </c>
      <c r="S94" t="s">
        <v>48</v>
      </c>
      <c r="V94" t="s">
        <v>5621</v>
      </c>
      <c r="W94" t="s">
        <v>5622</v>
      </c>
      <c r="X94" s="2">
        <f>IFERROR(VLOOKUP(I94,'Rate Sheet'!$D:$F,3,FALSE),0)</f>
        <v>14.333333333333334</v>
      </c>
      <c r="Y94" s="2">
        <f>IFERROR(VLOOKUP(J94,'Rate Sheet'!$D:$F,3,FALSE),0)</f>
        <v>0</v>
      </c>
      <c r="Z94" s="2">
        <f>IFERROR(VLOOKUP(K94,'Rate Sheet'!$D:$F,3,FALSE),0)</f>
        <v>0</v>
      </c>
      <c r="AA94" s="2">
        <f t="shared" si="1"/>
        <v>14.333333333333334</v>
      </c>
      <c r="AB94">
        <v>1</v>
      </c>
    </row>
    <row r="95" spans="1:28" x14ac:dyDescent="0.25">
      <c r="A95" t="s">
        <v>33</v>
      </c>
      <c r="B95" t="s">
        <v>434</v>
      </c>
      <c r="C95" t="s">
        <v>21</v>
      </c>
      <c r="D95" t="s">
        <v>434</v>
      </c>
      <c r="E95" t="s">
        <v>435</v>
      </c>
      <c r="F95" t="s">
        <v>436</v>
      </c>
      <c r="G95" t="s">
        <v>24</v>
      </c>
      <c r="H95" t="s">
        <v>437</v>
      </c>
      <c r="N95" t="s">
        <v>292</v>
      </c>
      <c r="X95" s="2">
        <f>IFERROR(VLOOKUP(I95,'Rate Sheet'!$D:$F,3,FALSE),0)</f>
        <v>0</v>
      </c>
      <c r="Y95" s="2">
        <f>IFERROR(VLOOKUP(J95,'Rate Sheet'!$D:$F,3,FALSE),0)</f>
        <v>0</v>
      </c>
      <c r="Z95" s="2">
        <f>IFERROR(VLOOKUP(K95,'Rate Sheet'!$D:$F,3,FALSE),0)</f>
        <v>0</v>
      </c>
      <c r="AA95" s="2">
        <f t="shared" si="1"/>
        <v>0</v>
      </c>
    </row>
    <row r="96" spans="1:28" x14ac:dyDescent="0.25">
      <c r="A96" t="s">
        <v>33</v>
      </c>
      <c r="B96" t="s">
        <v>438</v>
      </c>
      <c r="C96" t="s">
        <v>21</v>
      </c>
      <c r="D96" t="s">
        <v>438</v>
      </c>
      <c r="E96" t="s">
        <v>424</v>
      </c>
      <c r="F96" t="s">
        <v>439</v>
      </c>
      <c r="G96" t="s">
        <v>24</v>
      </c>
      <c r="H96" t="s">
        <v>440</v>
      </c>
      <c r="I96" t="s">
        <v>46</v>
      </c>
      <c r="N96" t="s">
        <v>349</v>
      </c>
      <c r="S96" t="s">
        <v>48</v>
      </c>
      <c r="V96" s="10" t="s">
        <v>5630</v>
      </c>
      <c r="W96" s="10" t="s">
        <v>5631</v>
      </c>
      <c r="X96" s="2">
        <f>IFERROR(VLOOKUP(I96,'Rate Sheet'!$D:$F,3,FALSE),0)</f>
        <v>14.333333333333334</v>
      </c>
      <c r="Y96" s="2">
        <f>IFERROR(VLOOKUP(J96,'Rate Sheet'!$D:$F,3,FALSE),0)</f>
        <v>0</v>
      </c>
      <c r="Z96" s="2">
        <f>IFERROR(VLOOKUP(K96,'Rate Sheet'!$D:$F,3,FALSE),0)</f>
        <v>0</v>
      </c>
      <c r="AA96" s="2">
        <f t="shared" si="1"/>
        <v>14.333333333333334</v>
      </c>
      <c r="AB96">
        <v>1</v>
      </c>
    </row>
    <row r="97" spans="1:28" x14ac:dyDescent="0.25">
      <c r="A97" t="s">
        <v>33</v>
      </c>
      <c r="B97" t="s">
        <v>441</v>
      </c>
      <c r="C97" t="s">
        <v>21</v>
      </c>
      <c r="D97" t="s">
        <v>441</v>
      </c>
      <c r="E97" t="s">
        <v>200</v>
      </c>
      <c r="F97" t="s">
        <v>442</v>
      </c>
      <c r="G97" t="s">
        <v>24</v>
      </c>
      <c r="H97" t="s">
        <v>443</v>
      </c>
      <c r="I97" t="s">
        <v>46</v>
      </c>
      <c r="N97" t="s">
        <v>444</v>
      </c>
      <c r="S97" t="s">
        <v>48</v>
      </c>
      <c r="V97" t="s">
        <v>5636</v>
      </c>
      <c r="W97" t="s">
        <v>5637</v>
      </c>
      <c r="X97" s="2">
        <f>IFERROR(VLOOKUP(I97,'Rate Sheet'!$D:$F,3,FALSE),0)</f>
        <v>14.333333333333334</v>
      </c>
      <c r="Y97" s="2">
        <f>IFERROR(VLOOKUP(J97,'Rate Sheet'!$D:$F,3,FALSE),0)</f>
        <v>0</v>
      </c>
      <c r="Z97" s="2">
        <f>IFERROR(VLOOKUP(K97,'Rate Sheet'!$D:$F,3,FALSE),0)</f>
        <v>0</v>
      </c>
      <c r="AA97" s="2">
        <f t="shared" si="1"/>
        <v>14.333333333333334</v>
      </c>
      <c r="AB97">
        <v>1</v>
      </c>
    </row>
    <row r="98" spans="1:28" x14ac:dyDescent="0.25">
      <c r="A98" t="s">
        <v>33</v>
      </c>
      <c r="B98" t="s">
        <v>445</v>
      </c>
      <c r="C98" t="s">
        <v>21</v>
      </c>
      <c r="D98" t="s">
        <v>445</v>
      </c>
      <c r="E98" t="s">
        <v>351</v>
      </c>
      <c r="F98" t="s">
        <v>446</v>
      </c>
      <c r="G98" t="s">
        <v>24</v>
      </c>
      <c r="H98" t="s">
        <v>447</v>
      </c>
      <c r="I98" t="s">
        <v>46</v>
      </c>
      <c r="N98" t="s">
        <v>185</v>
      </c>
      <c r="S98" t="s">
        <v>48</v>
      </c>
      <c r="V98" t="s">
        <v>5610</v>
      </c>
      <c r="W98" t="s">
        <v>5611</v>
      </c>
      <c r="X98" s="2">
        <f>IFERROR(VLOOKUP(I98,'Rate Sheet'!$D:$F,3,FALSE),0)</f>
        <v>14.333333333333334</v>
      </c>
      <c r="Y98" s="2">
        <f>IFERROR(VLOOKUP(J98,'Rate Sheet'!$D:$F,3,FALSE),0)</f>
        <v>0</v>
      </c>
      <c r="Z98" s="2">
        <f>IFERROR(VLOOKUP(K98,'Rate Sheet'!$D:$F,3,FALSE),0)</f>
        <v>0</v>
      </c>
      <c r="AA98" s="2">
        <f t="shared" si="1"/>
        <v>14.333333333333334</v>
      </c>
      <c r="AB98">
        <v>1</v>
      </c>
    </row>
    <row r="99" spans="1:28" x14ac:dyDescent="0.25">
      <c r="A99" t="s">
        <v>33</v>
      </c>
      <c r="B99" t="s">
        <v>448</v>
      </c>
      <c r="C99" t="s">
        <v>21</v>
      </c>
      <c r="D99" t="s">
        <v>448</v>
      </c>
      <c r="E99" t="s">
        <v>449</v>
      </c>
      <c r="F99" t="s">
        <v>450</v>
      </c>
      <c r="G99" t="s">
        <v>24</v>
      </c>
      <c r="H99" t="s">
        <v>451</v>
      </c>
      <c r="I99" t="s">
        <v>46</v>
      </c>
      <c r="J99" t="s">
        <v>882</v>
      </c>
      <c r="K99" t="s">
        <v>5562</v>
      </c>
      <c r="N99" t="s">
        <v>453</v>
      </c>
      <c r="S99" t="s">
        <v>454</v>
      </c>
      <c r="V99" t="s">
        <v>5602</v>
      </c>
      <c r="W99" t="s">
        <v>5603</v>
      </c>
      <c r="X99" s="2">
        <f>IFERROR(VLOOKUP(I99,'Rate Sheet'!$D:$F,3,FALSE),0)</f>
        <v>14.333333333333334</v>
      </c>
      <c r="Y99" s="2">
        <f>IFERROR(VLOOKUP(J99,'Rate Sheet'!$D:$F,3,FALSE),0)</f>
        <v>35.979166666666664</v>
      </c>
      <c r="Z99" s="2">
        <f>IFERROR(VLOOKUP(K99,'Rate Sheet'!$D:$F,3,FALSE),0)</f>
        <v>34.873750000000001</v>
      </c>
      <c r="AA99" s="2">
        <f t="shared" si="1"/>
        <v>85.186250000000001</v>
      </c>
      <c r="AB99">
        <v>1</v>
      </c>
    </row>
    <row r="100" spans="1:28" x14ac:dyDescent="0.25">
      <c r="A100" t="s">
        <v>33</v>
      </c>
      <c r="B100" t="s">
        <v>455</v>
      </c>
      <c r="C100" t="s">
        <v>21</v>
      </c>
      <c r="D100" t="s">
        <v>455</v>
      </c>
      <c r="E100" t="s">
        <v>456</v>
      </c>
      <c r="F100" t="s">
        <v>457</v>
      </c>
      <c r="G100" t="s">
        <v>24</v>
      </c>
      <c r="H100" t="s">
        <v>458</v>
      </c>
      <c r="I100" t="s">
        <v>46</v>
      </c>
      <c r="N100" t="s">
        <v>273</v>
      </c>
      <c r="S100" t="s">
        <v>48</v>
      </c>
      <c r="V100" t="s">
        <v>5621</v>
      </c>
      <c r="W100" t="s">
        <v>5622</v>
      </c>
      <c r="X100" s="2">
        <f>IFERROR(VLOOKUP(I100,'Rate Sheet'!$D:$F,3,FALSE),0)</f>
        <v>14.333333333333334</v>
      </c>
      <c r="Y100" s="2">
        <f>IFERROR(VLOOKUP(J100,'Rate Sheet'!$D:$F,3,FALSE),0)</f>
        <v>0</v>
      </c>
      <c r="Z100" s="2">
        <f>IFERROR(VLOOKUP(K100,'Rate Sheet'!$D:$F,3,FALSE),0)</f>
        <v>0</v>
      </c>
      <c r="AA100" s="2">
        <f t="shared" si="1"/>
        <v>14.333333333333334</v>
      </c>
      <c r="AB100">
        <v>1</v>
      </c>
    </row>
    <row r="101" spans="1:28" x14ac:dyDescent="0.25">
      <c r="A101" t="s">
        <v>33</v>
      </c>
      <c r="B101" t="s">
        <v>459</v>
      </c>
      <c r="C101" t="s">
        <v>21</v>
      </c>
      <c r="D101" t="s">
        <v>459</v>
      </c>
      <c r="E101" t="s">
        <v>460</v>
      </c>
      <c r="F101" t="s">
        <v>461</v>
      </c>
      <c r="G101" t="s">
        <v>24</v>
      </c>
      <c r="H101" t="s">
        <v>462</v>
      </c>
      <c r="I101" t="s">
        <v>46</v>
      </c>
      <c r="N101" t="s">
        <v>309</v>
      </c>
      <c r="S101" t="s">
        <v>48</v>
      </c>
      <c r="V101" t="s">
        <v>5638</v>
      </c>
      <c r="W101" t="s">
        <v>5639</v>
      </c>
      <c r="X101" s="2">
        <f>IFERROR(VLOOKUP(I101,'Rate Sheet'!$D:$F,3,FALSE),0)</f>
        <v>14.333333333333334</v>
      </c>
      <c r="Y101" s="2">
        <f>IFERROR(VLOOKUP(J101,'Rate Sheet'!$D:$F,3,FALSE),0)</f>
        <v>0</v>
      </c>
      <c r="Z101" s="2">
        <f>IFERROR(VLOOKUP(K101,'Rate Sheet'!$D:$F,3,FALSE),0)</f>
        <v>0</v>
      </c>
      <c r="AA101" s="2">
        <f t="shared" si="1"/>
        <v>14.333333333333334</v>
      </c>
      <c r="AB101">
        <v>1</v>
      </c>
    </row>
    <row r="102" spans="1:28" x14ac:dyDescent="0.25">
      <c r="A102" t="s">
        <v>33</v>
      </c>
      <c r="B102" t="s">
        <v>463</v>
      </c>
      <c r="C102" t="s">
        <v>21</v>
      </c>
      <c r="D102" t="s">
        <v>463</v>
      </c>
      <c r="E102" t="s">
        <v>464</v>
      </c>
      <c r="F102" t="s">
        <v>465</v>
      </c>
      <c r="G102" t="s">
        <v>24</v>
      </c>
      <c r="H102" t="s">
        <v>466</v>
      </c>
      <c r="I102" t="s">
        <v>46</v>
      </c>
      <c r="N102" t="s">
        <v>467</v>
      </c>
      <c r="S102" t="s">
        <v>48</v>
      </c>
      <c r="V102" t="s">
        <v>5600</v>
      </c>
      <c r="W102" t="s">
        <v>5601</v>
      </c>
      <c r="X102" s="2">
        <f>IFERROR(VLOOKUP(I102,'Rate Sheet'!$D:$F,3,FALSE),0)</f>
        <v>14.333333333333334</v>
      </c>
      <c r="Y102" s="2">
        <f>IFERROR(VLOOKUP(J102,'Rate Sheet'!$D:$F,3,FALSE),0)</f>
        <v>0</v>
      </c>
      <c r="Z102" s="2">
        <f>IFERROR(VLOOKUP(K102,'Rate Sheet'!$D:$F,3,FALSE),0)</f>
        <v>0</v>
      </c>
      <c r="AA102" s="2">
        <f t="shared" si="1"/>
        <v>14.333333333333334</v>
      </c>
      <c r="AB102">
        <v>1</v>
      </c>
    </row>
    <row r="103" spans="1:28" x14ac:dyDescent="0.25">
      <c r="A103" t="s">
        <v>33</v>
      </c>
      <c r="B103" t="s">
        <v>468</v>
      </c>
      <c r="C103" t="s">
        <v>21</v>
      </c>
      <c r="D103" t="s">
        <v>468</v>
      </c>
      <c r="E103" t="s">
        <v>65</v>
      </c>
      <c r="F103" t="s">
        <v>469</v>
      </c>
      <c r="G103" t="s">
        <v>24</v>
      </c>
      <c r="H103" t="s">
        <v>470</v>
      </c>
      <c r="I103" t="s">
        <v>46</v>
      </c>
      <c r="N103" t="s">
        <v>53</v>
      </c>
      <c r="S103" t="s">
        <v>48</v>
      </c>
      <c r="V103" t="s">
        <v>5580</v>
      </c>
      <c r="W103" t="s">
        <v>5581</v>
      </c>
      <c r="X103" s="2">
        <f>IFERROR(VLOOKUP(I103,'Rate Sheet'!$D:$F,3,FALSE),0)</f>
        <v>14.333333333333334</v>
      </c>
      <c r="Y103" s="2">
        <f>IFERROR(VLOOKUP(J103,'Rate Sheet'!$D:$F,3,FALSE),0)</f>
        <v>0</v>
      </c>
      <c r="Z103" s="2">
        <f>IFERROR(VLOOKUP(K103,'Rate Sheet'!$D:$F,3,FALSE),0)</f>
        <v>0</v>
      </c>
      <c r="AA103" s="2">
        <f t="shared" si="1"/>
        <v>14.333333333333334</v>
      </c>
      <c r="AB103">
        <v>1</v>
      </c>
    </row>
    <row r="104" spans="1:28" x14ac:dyDescent="0.25">
      <c r="A104" t="s">
        <v>33</v>
      </c>
      <c r="B104" t="s">
        <v>471</v>
      </c>
      <c r="C104" t="s">
        <v>21</v>
      </c>
      <c r="D104" t="s">
        <v>471</v>
      </c>
      <c r="E104" t="s">
        <v>472</v>
      </c>
      <c r="F104" t="s">
        <v>473</v>
      </c>
      <c r="G104" t="s">
        <v>24</v>
      </c>
      <c r="H104" t="s">
        <v>474</v>
      </c>
      <c r="I104" t="s">
        <v>46</v>
      </c>
      <c r="N104" t="s">
        <v>80</v>
      </c>
      <c r="S104" t="s">
        <v>48</v>
      </c>
      <c r="V104" t="s">
        <v>5640</v>
      </c>
      <c r="W104" t="s">
        <v>5641</v>
      </c>
      <c r="X104" s="2">
        <f>IFERROR(VLOOKUP(I104,'Rate Sheet'!$D:$F,3,FALSE),0)</f>
        <v>14.333333333333334</v>
      </c>
      <c r="Y104" s="2">
        <f>IFERROR(VLOOKUP(J104,'Rate Sheet'!$D:$F,3,FALSE),0)</f>
        <v>0</v>
      </c>
      <c r="Z104" s="2">
        <f>IFERROR(VLOOKUP(K104,'Rate Sheet'!$D:$F,3,FALSE),0)</f>
        <v>0</v>
      </c>
      <c r="AA104" s="2">
        <f t="shared" si="1"/>
        <v>14.333333333333334</v>
      </c>
      <c r="AB104">
        <v>1</v>
      </c>
    </row>
    <row r="105" spans="1:28" x14ac:dyDescent="0.25">
      <c r="A105" t="s">
        <v>33</v>
      </c>
      <c r="B105" t="s">
        <v>475</v>
      </c>
      <c r="C105" t="s">
        <v>21</v>
      </c>
      <c r="D105" t="s">
        <v>475</v>
      </c>
      <c r="E105" t="s">
        <v>476</v>
      </c>
      <c r="F105" t="s">
        <v>477</v>
      </c>
      <c r="G105" t="s">
        <v>24</v>
      </c>
      <c r="H105" t="s">
        <v>478</v>
      </c>
      <c r="I105" t="s">
        <v>73</v>
      </c>
      <c r="N105" t="s">
        <v>479</v>
      </c>
      <c r="S105" t="s">
        <v>75</v>
      </c>
      <c r="V105" t="s">
        <v>5598</v>
      </c>
      <c r="W105" t="s">
        <v>119</v>
      </c>
      <c r="X105" s="2">
        <f>IFERROR(VLOOKUP(I105,'Rate Sheet'!$D:$F,3,FALSE),0)</f>
        <v>8.6983333333333324</v>
      </c>
      <c r="Y105" s="2">
        <f>IFERROR(VLOOKUP(J105,'Rate Sheet'!$D:$F,3,FALSE),0)</f>
        <v>0</v>
      </c>
      <c r="Z105" s="2">
        <f>IFERROR(VLOOKUP(K105,'Rate Sheet'!$D:$F,3,FALSE),0)</f>
        <v>0</v>
      </c>
      <c r="AA105" s="2">
        <f t="shared" si="1"/>
        <v>8.6983333333333324</v>
      </c>
      <c r="AB105">
        <v>1</v>
      </c>
    </row>
    <row r="106" spans="1:28" x14ac:dyDescent="0.25">
      <c r="A106" t="s">
        <v>33</v>
      </c>
      <c r="B106" t="s">
        <v>480</v>
      </c>
      <c r="C106" t="s">
        <v>21</v>
      </c>
      <c r="D106" t="s">
        <v>480</v>
      </c>
      <c r="E106" t="s">
        <v>481</v>
      </c>
      <c r="F106" t="s">
        <v>482</v>
      </c>
      <c r="G106" t="s">
        <v>24</v>
      </c>
      <c r="H106" t="s">
        <v>483</v>
      </c>
      <c r="I106" t="s">
        <v>46</v>
      </c>
      <c r="N106" t="s">
        <v>484</v>
      </c>
      <c r="S106" t="s">
        <v>48</v>
      </c>
      <c r="V106" t="s">
        <v>5642</v>
      </c>
      <c r="W106" t="s">
        <v>484</v>
      </c>
      <c r="X106" s="2">
        <f>IFERROR(VLOOKUP(I106,'Rate Sheet'!$D:$F,3,FALSE),0)</f>
        <v>14.333333333333334</v>
      </c>
      <c r="Y106" s="2">
        <f>IFERROR(VLOOKUP(J106,'Rate Sheet'!$D:$F,3,FALSE),0)</f>
        <v>0</v>
      </c>
      <c r="Z106" s="2">
        <f>IFERROR(VLOOKUP(K106,'Rate Sheet'!$D:$F,3,FALSE),0)</f>
        <v>0</v>
      </c>
      <c r="AA106" s="2">
        <f t="shared" si="1"/>
        <v>14.333333333333334</v>
      </c>
      <c r="AB106">
        <v>1</v>
      </c>
    </row>
    <row r="107" spans="1:28" x14ac:dyDescent="0.25">
      <c r="A107" t="s">
        <v>33</v>
      </c>
      <c r="B107" t="s">
        <v>485</v>
      </c>
      <c r="C107" t="s">
        <v>21</v>
      </c>
      <c r="D107" t="s">
        <v>485</v>
      </c>
      <c r="E107" t="s">
        <v>486</v>
      </c>
      <c r="F107" t="s">
        <v>487</v>
      </c>
      <c r="G107" t="s">
        <v>24</v>
      </c>
      <c r="H107" t="s">
        <v>488</v>
      </c>
      <c r="N107" t="s">
        <v>27</v>
      </c>
      <c r="X107" s="2">
        <f>IFERROR(VLOOKUP(I107,'Rate Sheet'!$D:$F,3,FALSE),0)</f>
        <v>0</v>
      </c>
      <c r="Y107" s="2">
        <f>IFERROR(VLOOKUP(J107,'Rate Sheet'!$D:$F,3,FALSE),0)</f>
        <v>0</v>
      </c>
      <c r="Z107" s="2">
        <f>IFERROR(VLOOKUP(K107,'Rate Sheet'!$D:$F,3,FALSE),0)</f>
        <v>0</v>
      </c>
      <c r="AA107" s="2">
        <f t="shared" si="1"/>
        <v>0</v>
      </c>
    </row>
    <row r="108" spans="1:28" x14ac:dyDescent="0.25">
      <c r="A108" t="s">
        <v>33</v>
      </c>
      <c r="B108" t="s">
        <v>489</v>
      </c>
      <c r="C108" t="s">
        <v>29</v>
      </c>
      <c r="D108" t="s">
        <v>489</v>
      </c>
      <c r="E108" t="s">
        <v>490</v>
      </c>
      <c r="F108" t="s">
        <v>491</v>
      </c>
      <c r="G108" t="s">
        <v>24</v>
      </c>
      <c r="H108" t="s">
        <v>492</v>
      </c>
      <c r="I108" t="s">
        <v>46</v>
      </c>
      <c r="N108" t="s">
        <v>397</v>
      </c>
      <c r="S108" t="s">
        <v>48</v>
      </c>
      <c r="V108" t="s">
        <v>5643</v>
      </c>
      <c r="W108" t="s">
        <v>5644</v>
      </c>
      <c r="X108" s="2">
        <f>IFERROR(VLOOKUP(I108,'Rate Sheet'!$D:$F,3,FALSE),0)</f>
        <v>14.333333333333334</v>
      </c>
      <c r="Y108" s="2">
        <f>IFERROR(VLOOKUP(J108,'Rate Sheet'!$D:$F,3,FALSE),0)</f>
        <v>0</v>
      </c>
      <c r="Z108" s="2">
        <f>IFERROR(VLOOKUP(K108,'Rate Sheet'!$D:$F,3,FALSE),0)</f>
        <v>0</v>
      </c>
      <c r="AA108" s="2">
        <f t="shared" si="1"/>
        <v>14.333333333333334</v>
      </c>
      <c r="AB108">
        <v>1</v>
      </c>
    </row>
    <row r="109" spans="1:28" x14ac:dyDescent="0.25">
      <c r="A109" t="s">
        <v>33</v>
      </c>
      <c r="B109" t="s">
        <v>493</v>
      </c>
      <c r="C109" t="s">
        <v>21</v>
      </c>
      <c r="D109" t="s">
        <v>493</v>
      </c>
      <c r="E109" t="s">
        <v>494</v>
      </c>
      <c r="F109" t="s">
        <v>495</v>
      </c>
      <c r="G109" t="s">
        <v>24</v>
      </c>
      <c r="H109" t="s">
        <v>496</v>
      </c>
      <c r="N109" t="s">
        <v>497</v>
      </c>
      <c r="X109" s="2">
        <f>IFERROR(VLOOKUP(I109,'Rate Sheet'!$D:$F,3,FALSE),0)</f>
        <v>0</v>
      </c>
      <c r="Y109" s="2">
        <f>IFERROR(VLOOKUP(J109,'Rate Sheet'!$D:$F,3,FALSE),0)</f>
        <v>0</v>
      </c>
      <c r="Z109" s="2">
        <f>IFERROR(VLOOKUP(K109,'Rate Sheet'!$D:$F,3,FALSE),0)</f>
        <v>0</v>
      </c>
      <c r="AA109" s="2">
        <f t="shared" si="1"/>
        <v>0</v>
      </c>
    </row>
    <row r="110" spans="1:28" x14ac:dyDescent="0.25">
      <c r="A110" t="s">
        <v>33</v>
      </c>
      <c r="B110" t="s">
        <v>498</v>
      </c>
      <c r="C110" t="s">
        <v>21</v>
      </c>
      <c r="D110" t="s">
        <v>498</v>
      </c>
      <c r="E110" t="s">
        <v>499</v>
      </c>
      <c r="F110" t="s">
        <v>500</v>
      </c>
      <c r="G110" t="s">
        <v>24</v>
      </c>
      <c r="H110" t="s">
        <v>501</v>
      </c>
      <c r="I110" t="s">
        <v>46</v>
      </c>
      <c r="N110" t="s">
        <v>502</v>
      </c>
      <c r="S110" t="s">
        <v>48</v>
      </c>
      <c r="V110" t="s">
        <v>5598</v>
      </c>
      <c r="W110" t="s">
        <v>119</v>
      </c>
      <c r="X110" s="2">
        <f>IFERROR(VLOOKUP(I110,'Rate Sheet'!$D:$F,3,FALSE),0)</f>
        <v>14.333333333333334</v>
      </c>
      <c r="Y110" s="2">
        <f>IFERROR(VLOOKUP(J110,'Rate Sheet'!$D:$F,3,FALSE),0)</f>
        <v>0</v>
      </c>
      <c r="Z110" s="2">
        <f>IFERROR(VLOOKUP(K110,'Rate Sheet'!$D:$F,3,FALSE),0)</f>
        <v>0</v>
      </c>
      <c r="AA110" s="2">
        <f t="shared" si="1"/>
        <v>14.333333333333334</v>
      </c>
      <c r="AB110">
        <v>1</v>
      </c>
    </row>
    <row r="111" spans="1:28" x14ac:dyDescent="0.25">
      <c r="A111" t="s">
        <v>33</v>
      </c>
      <c r="B111" t="s">
        <v>503</v>
      </c>
      <c r="C111" t="s">
        <v>21</v>
      </c>
      <c r="D111" t="s">
        <v>503</v>
      </c>
      <c r="E111" t="s">
        <v>504</v>
      </c>
      <c r="F111" t="s">
        <v>505</v>
      </c>
      <c r="G111" t="s">
        <v>24</v>
      </c>
      <c r="H111" t="s">
        <v>506</v>
      </c>
      <c r="N111" t="s">
        <v>507</v>
      </c>
      <c r="X111" s="2">
        <f>IFERROR(VLOOKUP(I111,'Rate Sheet'!$D:$F,3,FALSE),0)</f>
        <v>0</v>
      </c>
      <c r="Y111" s="2">
        <f>IFERROR(VLOOKUP(J111,'Rate Sheet'!$D:$F,3,FALSE),0)</f>
        <v>0</v>
      </c>
      <c r="Z111" s="2">
        <f>IFERROR(VLOOKUP(K111,'Rate Sheet'!$D:$F,3,FALSE),0)</f>
        <v>0</v>
      </c>
      <c r="AA111" s="2">
        <f t="shared" si="1"/>
        <v>0</v>
      </c>
    </row>
    <row r="112" spans="1:28" x14ac:dyDescent="0.25">
      <c r="A112" t="s">
        <v>33</v>
      </c>
      <c r="B112" t="s">
        <v>508</v>
      </c>
      <c r="C112" t="s">
        <v>29</v>
      </c>
      <c r="D112" t="s">
        <v>508</v>
      </c>
      <c r="E112" t="s">
        <v>509</v>
      </c>
      <c r="F112" t="s">
        <v>237</v>
      </c>
      <c r="G112" t="s">
        <v>24</v>
      </c>
      <c r="H112" t="s">
        <v>510</v>
      </c>
      <c r="I112" t="s">
        <v>46</v>
      </c>
      <c r="N112" t="s">
        <v>511</v>
      </c>
      <c r="S112" t="s">
        <v>48</v>
      </c>
      <c r="V112" t="s">
        <v>5617</v>
      </c>
      <c r="W112" t="s">
        <v>511</v>
      </c>
      <c r="X112" s="2">
        <f>IFERROR(VLOOKUP(I112,'Rate Sheet'!$D:$F,3,FALSE),0)</f>
        <v>14.333333333333334</v>
      </c>
      <c r="Y112" s="2">
        <f>IFERROR(VLOOKUP(J112,'Rate Sheet'!$D:$F,3,FALSE),0)</f>
        <v>0</v>
      </c>
      <c r="Z112" s="2">
        <f>IFERROR(VLOOKUP(K112,'Rate Sheet'!$D:$F,3,FALSE),0)</f>
        <v>0</v>
      </c>
      <c r="AA112" s="2">
        <f t="shared" si="1"/>
        <v>14.333333333333334</v>
      </c>
      <c r="AB112">
        <v>1</v>
      </c>
    </row>
    <row r="113" spans="1:28" x14ac:dyDescent="0.25">
      <c r="A113" t="s">
        <v>33</v>
      </c>
      <c r="B113" t="s">
        <v>512</v>
      </c>
      <c r="C113" t="s">
        <v>29</v>
      </c>
      <c r="D113" t="s">
        <v>513</v>
      </c>
      <c r="E113" t="s">
        <v>514</v>
      </c>
      <c r="F113" t="s">
        <v>515</v>
      </c>
      <c r="G113" t="s">
        <v>24</v>
      </c>
      <c r="H113" t="s">
        <v>516</v>
      </c>
      <c r="I113" t="s">
        <v>46</v>
      </c>
      <c r="N113" t="s">
        <v>517</v>
      </c>
      <c r="S113" t="s">
        <v>48</v>
      </c>
      <c r="V113" s="10" t="s">
        <v>5682</v>
      </c>
      <c r="W113" s="10" t="s">
        <v>517</v>
      </c>
      <c r="X113" s="2">
        <f>IFERROR(VLOOKUP(I113,'Rate Sheet'!$D:$F,3,FALSE),0)</f>
        <v>14.333333333333334</v>
      </c>
      <c r="Y113" s="2">
        <f>IFERROR(VLOOKUP(J113,'Rate Sheet'!$D:$F,3,FALSE),0)</f>
        <v>0</v>
      </c>
      <c r="Z113" s="2">
        <f>IFERROR(VLOOKUP(K113,'Rate Sheet'!$D:$F,3,FALSE),0)</f>
        <v>0</v>
      </c>
      <c r="AA113" s="2">
        <f t="shared" si="1"/>
        <v>14.333333333333334</v>
      </c>
      <c r="AB113">
        <v>1</v>
      </c>
    </row>
    <row r="114" spans="1:28" x14ac:dyDescent="0.25">
      <c r="A114" t="s">
        <v>33</v>
      </c>
      <c r="B114" t="s">
        <v>518</v>
      </c>
      <c r="C114" t="s">
        <v>21</v>
      </c>
      <c r="D114" t="s">
        <v>518</v>
      </c>
      <c r="E114" t="s">
        <v>519</v>
      </c>
      <c r="F114" t="s">
        <v>520</v>
      </c>
      <c r="G114" t="s">
        <v>24</v>
      </c>
      <c r="H114" t="s">
        <v>521</v>
      </c>
      <c r="I114" t="s">
        <v>73</v>
      </c>
      <c r="N114" t="s">
        <v>375</v>
      </c>
      <c r="S114" t="s">
        <v>75</v>
      </c>
      <c r="V114" t="s">
        <v>5689</v>
      </c>
      <c r="W114" t="s">
        <v>148</v>
      </c>
      <c r="X114" s="2">
        <f>IFERROR(VLOOKUP(I114,'Rate Sheet'!$D:$F,3,FALSE),0)</f>
        <v>8.6983333333333324</v>
      </c>
      <c r="Y114" s="2">
        <f>IFERROR(VLOOKUP(J114,'Rate Sheet'!$D:$F,3,FALSE),0)</f>
        <v>0</v>
      </c>
      <c r="Z114" s="2">
        <f>IFERROR(VLOOKUP(K114,'Rate Sheet'!$D:$F,3,FALSE),0)</f>
        <v>0</v>
      </c>
      <c r="AA114" s="2">
        <f t="shared" si="1"/>
        <v>8.6983333333333324</v>
      </c>
      <c r="AB114">
        <v>1</v>
      </c>
    </row>
    <row r="115" spans="1:28" x14ac:dyDescent="0.25">
      <c r="A115" t="s">
        <v>33</v>
      </c>
      <c r="B115" t="s">
        <v>522</v>
      </c>
      <c r="C115" t="s">
        <v>21</v>
      </c>
      <c r="D115" t="s">
        <v>522</v>
      </c>
      <c r="E115" t="s">
        <v>523</v>
      </c>
      <c r="F115" t="s">
        <v>524</v>
      </c>
      <c r="G115" t="s">
        <v>24</v>
      </c>
      <c r="H115" t="s">
        <v>525</v>
      </c>
      <c r="I115" t="s">
        <v>46</v>
      </c>
      <c r="N115" t="s">
        <v>507</v>
      </c>
      <c r="S115" t="s">
        <v>48</v>
      </c>
      <c r="V115" t="s">
        <v>5645</v>
      </c>
      <c r="W115" t="s">
        <v>507</v>
      </c>
      <c r="X115" s="2">
        <f>IFERROR(VLOOKUP(I115,'Rate Sheet'!$D:$F,3,FALSE),0)</f>
        <v>14.333333333333334</v>
      </c>
      <c r="Y115" s="2">
        <f>IFERROR(VLOOKUP(J115,'Rate Sheet'!$D:$F,3,FALSE),0)</f>
        <v>0</v>
      </c>
      <c r="Z115" s="2">
        <f>IFERROR(VLOOKUP(K115,'Rate Sheet'!$D:$F,3,FALSE),0)</f>
        <v>0</v>
      </c>
      <c r="AA115" s="2">
        <f t="shared" si="1"/>
        <v>14.333333333333334</v>
      </c>
      <c r="AB115">
        <v>1</v>
      </c>
    </row>
    <row r="116" spans="1:28" x14ac:dyDescent="0.25">
      <c r="A116" t="s">
        <v>33</v>
      </c>
      <c r="B116" t="s">
        <v>526</v>
      </c>
      <c r="C116" t="s">
        <v>21</v>
      </c>
      <c r="D116" t="s">
        <v>526</v>
      </c>
      <c r="E116" t="s">
        <v>527</v>
      </c>
      <c r="F116" t="s">
        <v>528</v>
      </c>
      <c r="G116" t="s">
        <v>24</v>
      </c>
      <c r="H116" t="s">
        <v>529</v>
      </c>
      <c r="I116" t="s">
        <v>46</v>
      </c>
      <c r="N116" t="s">
        <v>530</v>
      </c>
      <c r="S116" t="s">
        <v>48</v>
      </c>
      <c r="V116" t="s">
        <v>5598</v>
      </c>
      <c r="W116" t="s">
        <v>119</v>
      </c>
      <c r="X116" s="2">
        <f>IFERROR(VLOOKUP(I116,'Rate Sheet'!$D:$F,3,FALSE),0)</f>
        <v>14.333333333333334</v>
      </c>
      <c r="Y116" s="2">
        <f>IFERROR(VLOOKUP(J116,'Rate Sheet'!$D:$F,3,FALSE),0)</f>
        <v>0</v>
      </c>
      <c r="Z116" s="2">
        <f>IFERROR(VLOOKUP(K116,'Rate Sheet'!$D:$F,3,FALSE),0)</f>
        <v>0</v>
      </c>
      <c r="AA116" s="2">
        <f t="shared" si="1"/>
        <v>14.333333333333334</v>
      </c>
      <c r="AB116">
        <v>1</v>
      </c>
    </row>
    <row r="117" spans="1:28" x14ac:dyDescent="0.25">
      <c r="A117" t="s">
        <v>33</v>
      </c>
      <c r="B117" t="s">
        <v>531</v>
      </c>
      <c r="C117" t="s">
        <v>21</v>
      </c>
      <c r="D117" t="s">
        <v>531</v>
      </c>
      <c r="E117" t="s">
        <v>532</v>
      </c>
      <c r="F117" t="s">
        <v>533</v>
      </c>
      <c r="G117" t="s">
        <v>24</v>
      </c>
      <c r="H117" t="s">
        <v>534</v>
      </c>
      <c r="I117" t="s">
        <v>46</v>
      </c>
      <c r="N117" t="s">
        <v>535</v>
      </c>
      <c r="S117" t="s">
        <v>48</v>
      </c>
      <c r="V117" t="s">
        <v>5646</v>
      </c>
      <c r="W117" t="s">
        <v>5647</v>
      </c>
      <c r="X117" s="2">
        <f>IFERROR(VLOOKUP(I117,'Rate Sheet'!$D:$F,3,FALSE),0)</f>
        <v>14.333333333333334</v>
      </c>
      <c r="Y117" s="2">
        <f>IFERROR(VLOOKUP(J117,'Rate Sheet'!$D:$F,3,FALSE),0)</f>
        <v>0</v>
      </c>
      <c r="Z117" s="2">
        <f>IFERROR(VLOOKUP(K117,'Rate Sheet'!$D:$F,3,FALSE),0)</f>
        <v>0</v>
      </c>
      <c r="AA117" s="2">
        <f t="shared" si="1"/>
        <v>14.333333333333334</v>
      </c>
      <c r="AB117">
        <v>1</v>
      </c>
    </row>
    <row r="118" spans="1:28" x14ac:dyDescent="0.25">
      <c r="A118" t="s">
        <v>33</v>
      </c>
      <c r="B118" t="s">
        <v>536</v>
      </c>
      <c r="C118" t="s">
        <v>21</v>
      </c>
      <c r="D118" t="s">
        <v>536</v>
      </c>
      <c r="E118" t="s">
        <v>486</v>
      </c>
      <c r="F118" t="s">
        <v>537</v>
      </c>
      <c r="G118" t="s">
        <v>24</v>
      </c>
      <c r="H118" t="s">
        <v>538</v>
      </c>
      <c r="L118" t="s">
        <v>26</v>
      </c>
      <c r="N118" t="s">
        <v>27</v>
      </c>
      <c r="X118" s="2">
        <f>IFERROR(VLOOKUP(I118,'Rate Sheet'!$D:$F,3,FALSE),0)</f>
        <v>0</v>
      </c>
      <c r="Y118" s="2">
        <f>IFERROR(VLOOKUP(J118,'Rate Sheet'!$D:$F,3,FALSE),0)</f>
        <v>0</v>
      </c>
      <c r="Z118" s="2">
        <f>IFERROR(VLOOKUP(K118,'Rate Sheet'!$D:$F,3,FALSE),0)</f>
        <v>0</v>
      </c>
      <c r="AA118" s="2">
        <f t="shared" si="1"/>
        <v>0</v>
      </c>
    </row>
    <row r="119" spans="1:28" x14ac:dyDescent="0.25">
      <c r="A119" t="s">
        <v>33</v>
      </c>
      <c r="B119" t="s">
        <v>539</v>
      </c>
      <c r="C119" t="s">
        <v>21</v>
      </c>
      <c r="D119" t="s">
        <v>539</v>
      </c>
      <c r="E119" t="s">
        <v>540</v>
      </c>
      <c r="F119" t="s">
        <v>541</v>
      </c>
      <c r="G119" t="s">
        <v>24</v>
      </c>
      <c r="H119" t="s">
        <v>542</v>
      </c>
      <c r="I119" t="s">
        <v>46</v>
      </c>
      <c r="N119" t="s">
        <v>543</v>
      </c>
      <c r="S119" t="s">
        <v>48</v>
      </c>
      <c r="V119" t="s">
        <v>5648</v>
      </c>
      <c r="W119" t="s">
        <v>5649</v>
      </c>
      <c r="X119" s="2">
        <f>IFERROR(VLOOKUP(I119,'Rate Sheet'!$D:$F,3,FALSE),0)</f>
        <v>14.333333333333334</v>
      </c>
      <c r="Y119" s="2">
        <f>IFERROR(VLOOKUP(J119,'Rate Sheet'!$D:$F,3,FALSE),0)</f>
        <v>0</v>
      </c>
      <c r="Z119" s="2">
        <f>IFERROR(VLOOKUP(K119,'Rate Sheet'!$D:$F,3,FALSE),0)</f>
        <v>0</v>
      </c>
      <c r="AA119" s="2">
        <f t="shared" si="1"/>
        <v>14.333333333333334</v>
      </c>
      <c r="AB119">
        <v>1</v>
      </c>
    </row>
    <row r="120" spans="1:28" x14ac:dyDescent="0.25">
      <c r="A120" t="s">
        <v>33</v>
      </c>
      <c r="B120" t="s">
        <v>544</v>
      </c>
      <c r="C120" t="s">
        <v>21</v>
      </c>
      <c r="D120" t="s">
        <v>544</v>
      </c>
      <c r="E120" t="s">
        <v>545</v>
      </c>
      <c r="F120" t="s">
        <v>546</v>
      </c>
      <c r="G120" t="s">
        <v>24</v>
      </c>
      <c r="H120" t="s">
        <v>547</v>
      </c>
      <c r="I120" t="s">
        <v>73</v>
      </c>
      <c r="N120" t="s">
        <v>548</v>
      </c>
      <c r="S120" t="s">
        <v>75</v>
      </c>
      <c r="V120" t="s">
        <v>5650</v>
      </c>
      <c r="W120" t="s">
        <v>5651</v>
      </c>
      <c r="X120" s="2">
        <f>IFERROR(VLOOKUP(I120,'Rate Sheet'!$D:$F,3,FALSE),0)</f>
        <v>8.6983333333333324</v>
      </c>
      <c r="Y120" s="2">
        <f>IFERROR(VLOOKUP(J120,'Rate Sheet'!$D:$F,3,FALSE),0)</f>
        <v>0</v>
      </c>
      <c r="Z120" s="2">
        <f>IFERROR(VLOOKUP(K120,'Rate Sheet'!$D:$F,3,FALSE),0)</f>
        <v>0</v>
      </c>
      <c r="AA120" s="2">
        <f t="shared" si="1"/>
        <v>8.6983333333333324</v>
      </c>
      <c r="AB120">
        <v>1</v>
      </c>
    </row>
    <row r="121" spans="1:28" x14ac:dyDescent="0.25">
      <c r="A121" t="s">
        <v>33</v>
      </c>
      <c r="B121" t="s">
        <v>549</v>
      </c>
      <c r="C121" t="s">
        <v>21</v>
      </c>
      <c r="D121" t="s">
        <v>549</v>
      </c>
      <c r="E121" t="s">
        <v>100</v>
      </c>
      <c r="F121" t="s">
        <v>550</v>
      </c>
      <c r="G121" t="s">
        <v>24</v>
      </c>
      <c r="H121" t="s">
        <v>551</v>
      </c>
      <c r="N121" t="s">
        <v>166</v>
      </c>
      <c r="X121" s="2">
        <f>IFERROR(VLOOKUP(I121,'Rate Sheet'!$D:$F,3,FALSE),0)</f>
        <v>0</v>
      </c>
      <c r="Y121" s="2">
        <f>IFERROR(VLOOKUP(J121,'Rate Sheet'!$D:$F,3,FALSE),0)</f>
        <v>0</v>
      </c>
      <c r="Z121" s="2">
        <f>IFERROR(VLOOKUP(K121,'Rate Sheet'!$D:$F,3,FALSE),0)</f>
        <v>0</v>
      </c>
      <c r="AA121" s="2">
        <f t="shared" si="1"/>
        <v>0</v>
      </c>
    </row>
    <row r="122" spans="1:28" x14ac:dyDescent="0.25">
      <c r="A122" t="s">
        <v>33</v>
      </c>
      <c r="B122" t="s">
        <v>552</v>
      </c>
      <c r="C122" t="s">
        <v>21</v>
      </c>
      <c r="D122" t="s">
        <v>552</v>
      </c>
      <c r="E122" t="s">
        <v>178</v>
      </c>
      <c r="F122" t="s">
        <v>553</v>
      </c>
      <c r="G122" t="s">
        <v>24</v>
      </c>
      <c r="H122" t="s">
        <v>554</v>
      </c>
      <c r="I122" t="s">
        <v>46</v>
      </c>
      <c r="N122" t="s">
        <v>555</v>
      </c>
      <c r="S122" t="s">
        <v>48</v>
      </c>
      <c r="V122" t="s">
        <v>5652</v>
      </c>
      <c r="W122" t="s">
        <v>565</v>
      </c>
      <c r="X122" s="2">
        <f>IFERROR(VLOOKUP(I122,'Rate Sheet'!$D:$F,3,FALSE),0)</f>
        <v>14.333333333333334</v>
      </c>
      <c r="Y122" s="2">
        <f>IFERROR(VLOOKUP(J122,'Rate Sheet'!$D:$F,3,FALSE),0)</f>
        <v>0</v>
      </c>
      <c r="Z122" s="2">
        <f>IFERROR(VLOOKUP(K122,'Rate Sheet'!$D:$F,3,FALSE),0)</f>
        <v>0</v>
      </c>
      <c r="AA122" s="2">
        <f t="shared" si="1"/>
        <v>14.333333333333334</v>
      </c>
      <c r="AB122">
        <v>1</v>
      </c>
    </row>
    <row r="123" spans="1:28" x14ac:dyDescent="0.25">
      <c r="A123" t="s">
        <v>33</v>
      </c>
      <c r="B123" t="s">
        <v>556</v>
      </c>
      <c r="C123" t="s">
        <v>21</v>
      </c>
      <c r="D123" t="s">
        <v>556</v>
      </c>
      <c r="E123" t="s">
        <v>557</v>
      </c>
      <c r="F123" t="s">
        <v>558</v>
      </c>
      <c r="G123" t="s">
        <v>24</v>
      </c>
      <c r="H123" t="s">
        <v>559</v>
      </c>
      <c r="N123" t="s">
        <v>548</v>
      </c>
      <c r="X123" s="2">
        <f>IFERROR(VLOOKUP(I123,'Rate Sheet'!$D:$F,3,FALSE),0)</f>
        <v>0</v>
      </c>
      <c r="Y123" s="2">
        <f>IFERROR(VLOOKUP(J123,'Rate Sheet'!$D:$F,3,FALSE),0)</f>
        <v>0</v>
      </c>
      <c r="Z123" s="2">
        <f>IFERROR(VLOOKUP(K123,'Rate Sheet'!$D:$F,3,FALSE),0)</f>
        <v>0</v>
      </c>
      <c r="AA123" s="2">
        <f t="shared" si="1"/>
        <v>0</v>
      </c>
    </row>
    <row r="124" spans="1:28" x14ac:dyDescent="0.25">
      <c r="A124" t="s">
        <v>33</v>
      </c>
      <c r="B124" t="s">
        <v>560</v>
      </c>
      <c r="C124" t="s">
        <v>21</v>
      </c>
      <c r="D124" t="s">
        <v>560</v>
      </c>
      <c r="E124" t="s">
        <v>561</v>
      </c>
      <c r="F124" t="s">
        <v>562</v>
      </c>
      <c r="G124" t="s">
        <v>24</v>
      </c>
      <c r="H124" t="s">
        <v>563</v>
      </c>
      <c r="I124" t="s">
        <v>73</v>
      </c>
      <c r="J124" t="s">
        <v>5561</v>
      </c>
      <c r="N124" t="s">
        <v>565</v>
      </c>
      <c r="S124" t="s">
        <v>566</v>
      </c>
      <c r="V124" t="s">
        <v>5652</v>
      </c>
      <c r="W124" t="s">
        <v>565</v>
      </c>
      <c r="X124" s="2">
        <f>IFERROR(VLOOKUP(I124,'Rate Sheet'!$D:$F,3,FALSE),0)</f>
        <v>8.6983333333333324</v>
      </c>
      <c r="Y124" s="2">
        <f>IFERROR(VLOOKUP(J124,'Rate Sheet'!$D:$F,3,FALSE),0)</f>
        <v>27.895833333333332</v>
      </c>
      <c r="Z124" s="2">
        <f>IFERROR(VLOOKUP(K124,'Rate Sheet'!$D:$F,3,FALSE),0)</f>
        <v>0</v>
      </c>
      <c r="AA124" s="2">
        <f t="shared" si="1"/>
        <v>36.594166666666666</v>
      </c>
      <c r="AB124">
        <v>1</v>
      </c>
    </row>
    <row r="125" spans="1:28" x14ac:dyDescent="0.25">
      <c r="A125" t="s">
        <v>33</v>
      </c>
      <c r="B125" t="s">
        <v>567</v>
      </c>
      <c r="C125" t="s">
        <v>21</v>
      </c>
      <c r="D125" t="s">
        <v>567</v>
      </c>
      <c r="E125" t="s">
        <v>568</v>
      </c>
      <c r="F125" t="s">
        <v>569</v>
      </c>
      <c r="G125" t="s">
        <v>24</v>
      </c>
      <c r="H125" t="s">
        <v>570</v>
      </c>
      <c r="I125" t="s">
        <v>46</v>
      </c>
      <c r="N125" t="s">
        <v>571</v>
      </c>
      <c r="S125" t="s">
        <v>48</v>
      </c>
      <c r="V125" t="s">
        <v>5653</v>
      </c>
      <c r="W125" t="s">
        <v>5654</v>
      </c>
      <c r="X125" s="2">
        <f>IFERROR(VLOOKUP(I125,'Rate Sheet'!$D:$F,3,FALSE),0)</f>
        <v>14.333333333333334</v>
      </c>
      <c r="Y125" s="2">
        <f>IFERROR(VLOOKUP(J125,'Rate Sheet'!$D:$F,3,FALSE),0)</f>
        <v>0</v>
      </c>
      <c r="Z125" s="2">
        <f>IFERROR(VLOOKUP(K125,'Rate Sheet'!$D:$F,3,FALSE),0)</f>
        <v>0</v>
      </c>
      <c r="AA125" s="2">
        <f t="shared" si="1"/>
        <v>14.333333333333334</v>
      </c>
      <c r="AB125">
        <v>1</v>
      </c>
    </row>
    <row r="126" spans="1:28" x14ac:dyDescent="0.25">
      <c r="A126" t="s">
        <v>33</v>
      </c>
      <c r="B126" t="s">
        <v>572</v>
      </c>
      <c r="C126" t="s">
        <v>21</v>
      </c>
      <c r="D126" t="s">
        <v>572</v>
      </c>
      <c r="E126" t="s">
        <v>334</v>
      </c>
      <c r="F126" t="s">
        <v>573</v>
      </c>
      <c r="G126" t="s">
        <v>24</v>
      </c>
      <c r="H126" t="s">
        <v>574</v>
      </c>
      <c r="I126" t="s">
        <v>46</v>
      </c>
      <c r="N126" t="s">
        <v>575</v>
      </c>
      <c r="S126" t="s">
        <v>48</v>
      </c>
      <c r="V126" t="s">
        <v>5655</v>
      </c>
      <c r="W126" t="s">
        <v>575</v>
      </c>
      <c r="X126" s="2">
        <f>IFERROR(VLOOKUP(I126,'Rate Sheet'!$D:$F,3,FALSE),0)</f>
        <v>14.333333333333334</v>
      </c>
      <c r="Y126" s="2">
        <f>IFERROR(VLOOKUP(J126,'Rate Sheet'!$D:$F,3,FALSE),0)</f>
        <v>0</v>
      </c>
      <c r="Z126" s="2">
        <f>IFERROR(VLOOKUP(K126,'Rate Sheet'!$D:$F,3,FALSE),0)</f>
        <v>0</v>
      </c>
      <c r="AA126" s="2">
        <f t="shared" si="1"/>
        <v>14.333333333333334</v>
      </c>
      <c r="AB126">
        <v>1</v>
      </c>
    </row>
    <row r="127" spans="1:28" x14ac:dyDescent="0.25">
      <c r="A127" t="s">
        <v>33</v>
      </c>
      <c r="B127" t="s">
        <v>576</v>
      </c>
      <c r="C127" t="s">
        <v>21</v>
      </c>
      <c r="D127" t="s">
        <v>576</v>
      </c>
      <c r="E127" t="s">
        <v>372</v>
      </c>
      <c r="F127" t="s">
        <v>577</v>
      </c>
      <c r="G127" t="s">
        <v>24</v>
      </c>
      <c r="H127" t="s">
        <v>578</v>
      </c>
      <c r="N127" t="s">
        <v>273</v>
      </c>
      <c r="X127" s="2">
        <f>IFERROR(VLOOKUP(I127,'Rate Sheet'!$D:$F,3,FALSE),0)</f>
        <v>0</v>
      </c>
      <c r="Y127" s="2">
        <f>IFERROR(VLOOKUP(J127,'Rate Sheet'!$D:$F,3,FALSE),0)</f>
        <v>0</v>
      </c>
      <c r="Z127" s="2">
        <f>IFERROR(VLOOKUP(K127,'Rate Sheet'!$D:$F,3,FALSE),0)</f>
        <v>0</v>
      </c>
      <c r="AA127" s="2">
        <f t="shared" si="1"/>
        <v>0</v>
      </c>
    </row>
    <row r="128" spans="1:28" x14ac:dyDescent="0.25">
      <c r="A128" t="s">
        <v>33</v>
      </c>
      <c r="B128" t="s">
        <v>579</v>
      </c>
      <c r="C128" t="s">
        <v>29</v>
      </c>
      <c r="D128" t="s">
        <v>579</v>
      </c>
      <c r="E128" t="s">
        <v>372</v>
      </c>
      <c r="F128" t="s">
        <v>580</v>
      </c>
      <c r="G128" t="s">
        <v>24</v>
      </c>
      <c r="H128" t="s">
        <v>581</v>
      </c>
      <c r="I128" t="s">
        <v>73</v>
      </c>
      <c r="N128" t="s">
        <v>190</v>
      </c>
      <c r="S128" t="s">
        <v>75</v>
      </c>
      <c r="V128" t="s">
        <v>5612</v>
      </c>
      <c r="W128" t="s">
        <v>5613</v>
      </c>
      <c r="X128" s="2">
        <f>IFERROR(VLOOKUP(I128,'Rate Sheet'!$D:$F,3,FALSE),0)</f>
        <v>8.6983333333333324</v>
      </c>
      <c r="Y128" s="2">
        <f>IFERROR(VLOOKUP(J128,'Rate Sheet'!$D:$F,3,FALSE),0)</f>
        <v>0</v>
      </c>
      <c r="Z128" s="2">
        <f>IFERROR(VLOOKUP(K128,'Rate Sheet'!$D:$F,3,FALSE),0)</f>
        <v>0</v>
      </c>
      <c r="AA128" s="2">
        <f t="shared" si="1"/>
        <v>8.6983333333333324</v>
      </c>
      <c r="AB128">
        <v>1</v>
      </c>
    </row>
    <row r="129" spans="1:28" x14ac:dyDescent="0.25">
      <c r="A129" t="s">
        <v>33</v>
      </c>
      <c r="B129" t="s">
        <v>582</v>
      </c>
      <c r="C129" t="s">
        <v>21</v>
      </c>
      <c r="D129" t="s">
        <v>582</v>
      </c>
      <c r="E129" t="s">
        <v>583</v>
      </c>
      <c r="F129" t="s">
        <v>584</v>
      </c>
      <c r="G129" t="s">
        <v>24</v>
      </c>
      <c r="H129" t="s">
        <v>585</v>
      </c>
      <c r="N129" t="s">
        <v>207</v>
      </c>
      <c r="X129" s="2">
        <f>IFERROR(VLOOKUP(I129,'Rate Sheet'!$D:$F,3,FALSE),0)</f>
        <v>0</v>
      </c>
      <c r="Y129" s="2">
        <f>IFERROR(VLOOKUP(J129,'Rate Sheet'!$D:$F,3,FALSE),0)</f>
        <v>0</v>
      </c>
      <c r="Z129" s="2">
        <f>IFERROR(VLOOKUP(K129,'Rate Sheet'!$D:$F,3,FALSE),0)</f>
        <v>0</v>
      </c>
      <c r="AA129" s="2">
        <f t="shared" si="1"/>
        <v>0</v>
      </c>
    </row>
    <row r="130" spans="1:28" x14ac:dyDescent="0.25">
      <c r="A130" t="s">
        <v>33</v>
      </c>
      <c r="B130" t="s">
        <v>586</v>
      </c>
      <c r="C130" t="s">
        <v>21</v>
      </c>
      <c r="D130" t="s">
        <v>586</v>
      </c>
      <c r="E130" t="s">
        <v>587</v>
      </c>
      <c r="F130" t="s">
        <v>588</v>
      </c>
      <c r="G130" t="s">
        <v>24</v>
      </c>
      <c r="H130" t="s">
        <v>589</v>
      </c>
      <c r="I130" t="s">
        <v>46</v>
      </c>
      <c r="N130" t="s">
        <v>38</v>
      </c>
      <c r="S130" t="s">
        <v>48</v>
      </c>
      <c r="V130" t="s">
        <v>5582</v>
      </c>
      <c r="W130" t="s">
        <v>5583</v>
      </c>
      <c r="X130" s="2">
        <f>IFERROR(VLOOKUP(I130,'Rate Sheet'!$D:$F,3,FALSE),0)</f>
        <v>14.333333333333334</v>
      </c>
      <c r="Y130" s="2">
        <f>IFERROR(VLOOKUP(J130,'Rate Sheet'!$D:$F,3,FALSE),0)</f>
        <v>0</v>
      </c>
      <c r="Z130" s="2">
        <f>IFERROR(VLOOKUP(K130,'Rate Sheet'!$D:$F,3,FALSE),0)</f>
        <v>0</v>
      </c>
      <c r="AA130" s="2">
        <f t="shared" si="1"/>
        <v>14.333333333333334</v>
      </c>
      <c r="AB130">
        <v>1</v>
      </c>
    </row>
    <row r="131" spans="1:28" x14ac:dyDescent="0.25">
      <c r="A131" t="s">
        <v>33</v>
      </c>
      <c r="B131" t="s">
        <v>590</v>
      </c>
      <c r="C131" t="s">
        <v>21</v>
      </c>
      <c r="D131" t="s">
        <v>590</v>
      </c>
      <c r="E131" t="s">
        <v>523</v>
      </c>
      <c r="F131" t="s">
        <v>591</v>
      </c>
      <c r="G131" t="s">
        <v>24</v>
      </c>
      <c r="H131" s="1" t="s">
        <v>592</v>
      </c>
      <c r="I131" t="s">
        <v>46</v>
      </c>
      <c r="N131" t="s">
        <v>349</v>
      </c>
      <c r="S131" t="s">
        <v>48</v>
      </c>
      <c r="V131" t="s">
        <v>5578</v>
      </c>
      <c r="W131" t="s">
        <v>5579</v>
      </c>
      <c r="X131" s="2">
        <f>IFERROR(VLOOKUP(I131,'Rate Sheet'!$D:$F,3,FALSE),0)</f>
        <v>14.333333333333334</v>
      </c>
      <c r="Y131" s="2">
        <f>IFERROR(VLOOKUP(J131,'Rate Sheet'!$D:$F,3,FALSE),0)</f>
        <v>0</v>
      </c>
      <c r="Z131" s="2">
        <f>IFERROR(VLOOKUP(K131,'Rate Sheet'!$D:$F,3,FALSE),0)</f>
        <v>0</v>
      </c>
      <c r="AA131" s="2">
        <f t="shared" ref="AA131:AA194" si="2">SUM(X131:Z131)</f>
        <v>14.333333333333334</v>
      </c>
      <c r="AB131">
        <v>1</v>
      </c>
    </row>
    <row r="132" spans="1:28" x14ac:dyDescent="0.25">
      <c r="A132" t="s">
        <v>33</v>
      </c>
      <c r="B132" t="s">
        <v>593</v>
      </c>
      <c r="C132" t="s">
        <v>21</v>
      </c>
      <c r="D132" t="s">
        <v>593</v>
      </c>
      <c r="E132" t="s">
        <v>594</v>
      </c>
      <c r="F132" t="s">
        <v>595</v>
      </c>
      <c r="G132" t="s">
        <v>24</v>
      </c>
      <c r="H132" t="s">
        <v>596</v>
      </c>
      <c r="I132" t="s">
        <v>46</v>
      </c>
      <c r="N132" t="s">
        <v>108</v>
      </c>
      <c r="S132" t="s">
        <v>48</v>
      </c>
      <c r="V132" t="s">
        <v>5595</v>
      </c>
      <c r="W132" t="s">
        <v>108</v>
      </c>
      <c r="X132" s="2">
        <f>IFERROR(VLOOKUP(I132,'Rate Sheet'!$D:$F,3,FALSE),0)</f>
        <v>14.333333333333334</v>
      </c>
      <c r="Y132" s="2">
        <f>IFERROR(VLOOKUP(J132,'Rate Sheet'!$D:$F,3,FALSE),0)</f>
        <v>0</v>
      </c>
      <c r="Z132" s="2">
        <f>IFERROR(VLOOKUP(K132,'Rate Sheet'!$D:$F,3,FALSE),0)</f>
        <v>0</v>
      </c>
      <c r="AA132" s="2">
        <f t="shared" si="2"/>
        <v>14.333333333333334</v>
      </c>
      <c r="AB132">
        <v>1</v>
      </c>
    </row>
    <row r="133" spans="1:28" x14ac:dyDescent="0.25">
      <c r="A133" t="s">
        <v>33</v>
      </c>
      <c r="B133" t="s">
        <v>597</v>
      </c>
      <c r="C133" t="s">
        <v>29</v>
      </c>
      <c r="D133" t="s">
        <v>597</v>
      </c>
      <c r="E133" t="s">
        <v>598</v>
      </c>
      <c r="F133" t="s">
        <v>599</v>
      </c>
      <c r="G133" t="s">
        <v>24</v>
      </c>
      <c r="H133" t="s">
        <v>600</v>
      </c>
      <c r="I133" t="s">
        <v>46</v>
      </c>
      <c r="N133" t="s">
        <v>601</v>
      </c>
      <c r="S133" t="s">
        <v>48</v>
      </c>
      <c r="V133" t="s">
        <v>5656</v>
      </c>
      <c r="W133" t="s">
        <v>1331</v>
      </c>
      <c r="X133" s="2">
        <f>IFERROR(VLOOKUP(I133,'Rate Sheet'!$D:$F,3,FALSE),0)</f>
        <v>14.333333333333334</v>
      </c>
      <c r="Y133" s="2">
        <f>IFERROR(VLOOKUP(J133,'Rate Sheet'!$D:$F,3,FALSE),0)</f>
        <v>0</v>
      </c>
      <c r="Z133" s="2">
        <f>IFERROR(VLOOKUP(K133,'Rate Sheet'!$D:$F,3,FALSE),0)</f>
        <v>0</v>
      </c>
      <c r="AA133" s="2">
        <f t="shared" si="2"/>
        <v>14.333333333333334</v>
      </c>
      <c r="AB133">
        <v>1</v>
      </c>
    </row>
    <row r="134" spans="1:28" x14ac:dyDescent="0.25">
      <c r="A134" t="s">
        <v>33</v>
      </c>
      <c r="B134" t="s">
        <v>602</v>
      </c>
      <c r="C134" t="s">
        <v>21</v>
      </c>
      <c r="D134" t="s">
        <v>602</v>
      </c>
      <c r="E134" t="s">
        <v>204</v>
      </c>
      <c r="F134" t="s">
        <v>603</v>
      </c>
      <c r="G134" t="s">
        <v>24</v>
      </c>
      <c r="H134" t="s">
        <v>604</v>
      </c>
      <c r="I134" t="s">
        <v>46</v>
      </c>
      <c r="N134" t="s">
        <v>185</v>
      </c>
      <c r="S134" t="s">
        <v>48</v>
      </c>
      <c r="V134" t="s">
        <v>5610</v>
      </c>
      <c r="W134" t="s">
        <v>5611</v>
      </c>
      <c r="X134" s="2">
        <f>IFERROR(VLOOKUP(I134,'Rate Sheet'!$D:$F,3,FALSE),0)</f>
        <v>14.333333333333334</v>
      </c>
      <c r="Y134" s="2">
        <f>IFERROR(VLOOKUP(J134,'Rate Sheet'!$D:$F,3,FALSE),0)</f>
        <v>0</v>
      </c>
      <c r="Z134" s="2">
        <f>IFERROR(VLOOKUP(K134,'Rate Sheet'!$D:$F,3,FALSE),0)</f>
        <v>0</v>
      </c>
      <c r="AA134" s="2">
        <f t="shared" si="2"/>
        <v>14.333333333333334</v>
      </c>
      <c r="AB134">
        <v>1</v>
      </c>
    </row>
    <row r="135" spans="1:28" x14ac:dyDescent="0.25">
      <c r="A135" t="s">
        <v>33</v>
      </c>
      <c r="B135" t="s">
        <v>605</v>
      </c>
      <c r="C135" t="s">
        <v>21</v>
      </c>
      <c r="D135" t="s">
        <v>605</v>
      </c>
      <c r="E135" t="s">
        <v>606</v>
      </c>
      <c r="F135" t="s">
        <v>607</v>
      </c>
      <c r="G135" t="s">
        <v>24</v>
      </c>
      <c r="H135" t="s">
        <v>608</v>
      </c>
      <c r="I135" t="s">
        <v>46</v>
      </c>
      <c r="N135" t="s">
        <v>349</v>
      </c>
      <c r="S135" t="s">
        <v>48</v>
      </c>
      <c r="V135" t="s">
        <v>5630</v>
      </c>
      <c r="W135" t="s">
        <v>5631</v>
      </c>
      <c r="X135" s="2">
        <f>IFERROR(VLOOKUP(I135,'Rate Sheet'!$D:$F,3,FALSE),0)</f>
        <v>14.333333333333334</v>
      </c>
      <c r="Y135" s="2">
        <f>IFERROR(VLOOKUP(J135,'Rate Sheet'!$D:$F,3,FALSE),0)</f>
        <v>0</v>
      </c>
      <c r="Z135" s="2">
        <f>IFERROR(VLOOKUP(K135,'Rate Sheet'!$D:$F,3,FALSE),0)</f>
        <v>0</v>
      </c>
      <c r="AA135" s="2">
        <f t="shared" si="2"/>
        <v>14.333333333333334</v>
      </c>
      <c r="AB135">
        <v>1</v>
      </c>
    </row>
    <row r="136" spans="1:28" x14ac:dyDescent="0.25">
      <c r="A136" t="s">
        <v>33</v>
      </c>
      <c r="B136" t="s">
        <v>609</v>
      </c>
      <c r="C136" t="s">
        <v>21</v>
      </c>
      <c r="D136" t="s">
        <v>609</v>
      </c>
      <c r="E136" t="s">
        <v>610</v>
      </c>
      <c r="F136" t="s">
        <v>611</v>
      </c>
      <c r="G136" t="s">
        <v>24</v>
      </c>
      <c r="H136" t="s">
        <v>612</v>
      </c>
      <c r="I136" t="s">
        <v>46</v>
      </c>
      <c r="N136" t="s">
        <v>389</v>
      </c>
      <c r="S136" t="s">
        <v>48</v>
      </c>
      <c r="V136" t="s">
        <v>5657</v>
      </c>
      <c r="W136" t="s">
        <v>5658</v>
      </c>
      <c r="X136" s="2">
        <f>IFERROR(VLOOKUP(I136,'Rate Sheet'!$D:$F,3,FALSE),0)</f>
        <v>14.333333333333334</v>
      </c>
      <c r="Y136" s="2">
        <f>IFERROR(VLOOKUP(J136,'Rate Sheet'!$D:$F,3,FALSE),0)</f>
        <v>0</v>
      </c>
      <c r="Z136" s="2">
        <f>IFERROR(VLOOKUP(K136,'Rate Sheet'!$D:$F,3,FALSE),0)</f>
        <v>0</v>
      </c>
      <c r="AA136" s="2">
        <f t="shared" si="2"/>
        <v>14.333333333333334</v>
      </c>
      <c r="AB136">
        <v>1</v>
      </c>
    </row>
    <row r="137" spans="1:28" x14ac:dyDescent="0.25">
      <c r="A137" t="s">
        <v>33</v>
      </c>
      <c r="B137" t="s">
        <v>613</v>
      </c>
      <c r="C137" t="s">
        <v>21</v>
      </c>
      <c r="D137" t="s">
        <v>613</v>
      </c>
      <c r="E137" t="s">
        <v>614</v>
      </c>
      <c r="F137" t="s">
        <v>615</v>
      </c>
      <c r="G137" t="s">
        <v>24</v>
      </c>
      <c r="H137" t="s">
        <v>616</v>
      </c>
      <c r="I137" t="s">
        <v>46</v>
      </c>
      <c r="N137" t="s">
        <v>571</v>
      </c>
      <c r="S137" t="s">
        <v>48</v>
      </c>
      <c r="V137" t="s">
        <v>5653</v>
      </c>
      <c r="W137" t="s">
        <v>5654</v>
      </c>
      <c r="X137" s="2">
        <f>IFERROR(VLOOKUP(I137,'Rate Sheet'!$D:$F,3,FALSE),0)</f>
        <v>14.333333333333334</v>
      </c>
      <c r="Y137" s="2">
        <f>IFERROR(VLOOKUP(J137,'Rate Sheet'!$D:$F,3,FALSE),0)</f>
        <v>0</v>
      </c>
      <c r="Z137" s="2">
        <f>IFERROR(VLOOKUP(K137,'Rate Sheet'!$D:$F,3,FALSE),0)</f>
        <v>0</v>
      </c>
      <c r="AA137" s="2">
        <f t="shared" si="2"/>
        <v>14.333333333333334</v>
      </c>
      <c r="AB137">
        <v>1</v>
      </c>
    </row>
    <row r="138" spans="1:28" x14ac:dyDescent="0.25">
      <c r="A138" t="s">
        <v>33</v>
      </c>
      <c r="B138" t="s">
        <v>617</v>
      </c>
      <c r="C138" t="s">
        <v>21</v>
      </c>
      <c r="D138" t="s">
        <v>617</v>
      </c>
      <c r="E138" t="s">
        <v>351</v>
      </c>
      <c r="F138" t="s">
        <v>618</v>
      </c>
      <c r="G138" t="s">
        <v>24</v>
      </c>
      <c r="H138" t="s">
        <v>619</v>
      </c>
      <c r="I138" t="s">
        <v>46</v>
      </c>
      <c r="N138" t="s">
        <v>620</v>
      </c>
      <c r="S138" t="s">
        <v>48</v>
      </c>
      <c r="V138" t="s">
        <v>5659</v>
      </c>
      <c r="W138" t="s">
        <v>620</v>
      </c>
      <c r="X138" s="2">
        <f>IFERROR(VLOOKUP(I138,'Rate Sheet'!$D:$F,3,FALSE),0)</f>
        <v>14.333333333333334</v>
      </c>
      <c r="Y138" s="2">
        <f>IFERROR(VLOOKUP(J138,'Rate Sheet'!$D:$F,3,FALSE),0)</f>
        <v>0</v>
      </c>
      <c r="Z138" s="2">
        <f>IFERROR(VLOOKUP(K138,'Rate Sheet'!$D:$F,3,FALSE),0)</f>
        <v>0</v>
      </c>
      <c r="AA138" s="2">
        <f t="shared" si="2"/>
        <v>14.333333333333334</v>
      </c>
      <c r="AB138">
        <v>1</v>
      </c>
    </row>
    <row r="139" spans="1:28" x14ac:dyDescent="0.25">
      <c r="A139" t="s">
        <v>33</v>
      </c>
      <c r="B139" t="s">
        <v>621</v>
      </c>
      <c r="C139" t="s">
        <v>21</v>
      </c>
      <c r="D139" t="s">
        <v>621</v>
      </c>
      <c r="E139" t="s">
        <v>622</v>
      </c>
      <c r="F139" t="s">
        <v>623</v>
      </c>
      <c r="G139" t="s">
        <v>24</v>
      </c>
      <c r="H139" t="s">
        <v>624</v>
      </c>
      <c r="I139" t="s">
        <v>46</v>
      </c>
      <c r="N139" t="s">
        <v>620</v>
      </c>
      <c r="S139" t="s">
        <v>48</v>
      </c>
      <c r="V139" t="s">
        <v>5659</v>
      </c>
      <c r="W139" t="s">
        <v>620</v>
      </c>
      <c r="X139" s="2">
        <f>IFERROR(VLOOKUP(I139,'Rate Sheet'!$D:$F,3,FALSE),0)</f>
        <v>14.333333333333334</v>
      </c>
      <c r="Y139" s="2">
        <f>IFERROR(VLOOKUP(J139,'Rate Sheet'!$D:$F,3,FALSE),0)</f>
        <v>0</v>
      </c>
      <c r="Z139" s="2">
        <f>IFERROR(VLOOKUP(K139,'Rate Sheet'!$D:$F,3,FALSE),0)</f>
        <v>0</v>
      </c>
      <c r="AA139" s="2">
        <f t="shared" si="2"/>
        <v>14.333333333333334</v>
      </c>
      <c r="AB139">
        <v>1</v>
      </c>
    </row>
    <row r="140" spans="1:28" x14ac:dyDescent="0.25">
      <c r="A140" t="s">
        <v>33</v>
      </c>
      <c r="B140" t="s">
        <v>625</v>
      </c>
      <c r="C140" t="s">
        <v>29</v>
      </c>
      <c r="D140" t="s">
        <v>625</v>
      </c>
      <c r="E140" t="s">
        <v>626</v>
      </c>
      <c r="F140" t="s">
        <v>627</v>
      </c>
      <c r="G140" t="s">
        <v>24</v>
      </c>
      <c r="H140" t="s">
        <v>628</v>
      </c>
      <c r="I140" t="s">
        <v>46</v>
      </c>
      <c r="L140" t="s">
        <v>26</v>
      </c>
      <c r="N140" t="s">
        <v>629</v>
      </c>
      <c r="S140" t="s">
        <v>48</v>
      </c>
      <c r="V140" t="s">
        <v>5576</v>
      </c>
      <c r="W140" t="s">
        <v>5577</v>
      </c>
      <c r="X140" s="2">
        <f>IFERROR(VLOOKUP(I140,'Rate Sheet'!$D:$F,3,FALSE),0)</f>
        <v>14.333333333333334</v>
      </c>
      <c r="Y140" s="2">
        <f>IFERROR(VLOOKUP(J140,'Rate Sheet'!$D:$F,3,FALSE),0)</f>
        <v>0</v>
      </c>
      <c r="Z140" s="2">
        <f>IFERROR(VLOOKUP(K140,'Rate Sheet'!$D:$F,3,FALSE),0)</f>
        <v>0</v>
      </c>
      <c r="AA140" s="2">
        <f t="shared" si="2"/>
        <v>14.333333333333334</v>
      </c>
      <c r="AB140">
        <v>1</v>
      </c>
    </row>
    <row r="141" spans="1:28" x14ac:dyDescent="0.25">
      <c r="A141" t="s">
        <v>33</v>
      </c>
      <c r="B141" t="s">
        <v>630</v>
      </c>
      <c r="C141" t="s">
        <v>29</v>
      </c>
      <c r="D141" t="s">
        <v>630</v>
      </c>
      <c r="E141" t="s">
        <v>631</v>
      </c>
      <c r="F141" t="s">
        <v>632</v>
      </c>
      <c r="G141" t="s">
        <v>24</v>
      </c>
      <c r="H141" t="s">
        <v>633</v>
      </c>
      <c r="I141" t="s">
        <v>46</v>
      </c>
      <c r="N141" t="s">
        <v>511</v>
      </c>
      <c r="S141" t="s">
        <v>48</v>
      </c>
      <c r="V141" t="s">
        <v>5617</v>
      </c>
      <c r="W141" t="s">
        <v>511</v>
      </c>
      <c r="X141" s="2">
        <f>IFERROR(VLOOKUP(I141,'Rate Sheet'!$D:$F,3,FALSE),0)</f>
        <v>14.333333333333334</v>
      </c>
      <c r="Y141" s="2">
        <f>IFERROR(VLOOKUP(J141,'Rate Sheet'!$D:$F,3,FALSE),0)</f>
        <v>0</v>
      </c>
      <c r="Z141" s="2">
        <f>IFERROR(VLOOKUP(K141,'Rate Sheet'!$D:$F,3,FALSE),0)</f>
        <v>0</v>
      </c>
      <c r="AA141" s="2">
        <f t="shared" si="2"/>
        <v>14.333333333333334</v>
      </c>
      <c r="AB141">
        <v>1</v>
      </c>
    </row>
    <row r="142" spans="1:28" x14ac:dyDescent="0.25">
      <c r="A142" t="s">
        <v>33</v>
      </c>
      <c r="B142" t="s">
        <v>634</v>
      </c>
      <c r="C142" t="s">
        <v>29</v>
      </c>
      <c r="D142" t="s">
        <v>634</v>
      </c>
      <c r="E142" t="s">
        <v>635</v>
      </c>
      <c r="F142" t="s">
        <v>636</v>
      </c>
      <c r="G142" t="s">
        <v>24</v>
      </c>
      <c r="H142" t="s">
        <v>637</v>
      </c>
      <c r="I142" t="s">
        <v>46</v>
      </c>
      <c r="N142" t="s">
        <v>638</v>
      </c>
      <c r="S142" t="s">
        <v>48</v>
      </c>
      <c r="V142" t="s">
        <v>5660</v>
      </c>
      <c r="W142" t="s">
        <v>638</v>
      </c>
      <c r="X142" s="2">
        <f>IFERROR(VLOOKUP(I142,'Rate Sheet'!$D:$F,3,FALSE),0)</f>
        <v>14.333333333333334</v>
      </c>
      <c r="Y142" s="2">
        <f>IFERROR(VLOOKUP(J142,'Rate Sheet'!$D:$F,3,FALSE),0)</f>
        <v>0</v>
      </c>
      <c r="Z142" s="2">
        <f>IFERROR(VLOOKUP(K142,'Rate Sheet'!$D:$F,3,FALSE),0)</f>
        <v>0</v>
      </c>
      <c r="AA142" s="2">
        <f t="shared" si="2"/>
        <v>14.333333333333334</v>
      </c>
      <c r="AB142">
        <v>1</v>
      </c>
    </row>
    <row r="143" spans="1:28" x14ac:dyDescent="0.25">
      <c r="A143" t="s">
        <v>33</v>
      </c>
      <c r="B143" t="s">
        <v>639</v>
      </c>
      <c r="C143" t="s">
        <v>21</v>
      </c>
      <c r="D143" t="s">
        <v>639</v>
      </c>
      <c r="E143" t="s">
        <v>640</v>
      </c>
      <c r="F143" t="s">
        <v>641</v>
      </c>
      <c r="G143" t="s">
        <v>24</v>
      </c>
      <c r="H143" t="s">
        <v>642</v>
      </c>
      <c r="N143" t="s">
        <v>643</v>
      </c>
      <c r="X143" s="2">
        <f>IFERROR(VLOOKUP(I143,'Rate Sheet'!$D:$F,3,FALSE),0)</f>
        <v>0</v>
      </c>
      <c r="Y143" s="2">
        <f>IFERROR(VLOOKUP(J143,'Rate Sheet'!$D:$F,3,FALSE),0)</f>
        <v>0</v>
      </c>
      <c r="Z143" s="2">
        <f>IFERROR(VLOOKUP(K143,'Rate Sheet'!$D:$F,3,FALSE),0)</f>
        <v>0</v>
      </c>
      <c r="AA143" s="2">
        <f t="shared" si="2"/>
        <v>0</v>
      </c>
    </row>
    <row r="144" spans="1:28" x14ac:dyDescent="0.25">
      <c r="A144" t="s">
        <v>33</v>
      </c>
      <c r="B144" t="s">
        <v>644</v>
      </c>
      <c r="C144" t="s">
        <v>21</v>
      </c>
      <c r="D144" t="s">
        <v>644</v>
      </c>
      <c r="E144" t="s">
        <v>159</v>
      </c>
      <c r="F144" t="s">
        <v>645</v>
      </c>
      <c r="G144" t="s">
        <v>24</v>
      </c>
      <c r="H144" t="s">
        <v>646</v>
      </c>
      <c r="N144" t="s">
        <v>647</v>
      </c>
      <c r="X144" s="2">
        <f>IFERROR(VLOOKUP(I144,'Rate Sheet'!$D:$F,3,FALSE),0)</f>
        <v>0</v>
      </c>
      <c r="Y144" s="2">
        <f>IFERROR(VLOOKUP(J144,'Rate Sheet'!$D:$F,3,FALSE),0)</f>
        <v>0</v>
      </c>
      <c r="Z144" s="2">
        <f>IFERROR(VLOOKUP(K144,'Rate Sheet'!$D:$F,3,FALSE),0)</f>
        <v>0</v>
      </c>
      <c r="AA144" s="2">
        <f t="shared" si="2"/>
        <v>0</v>
      </c>
    </row>
    <row r="145" spans="1:28" x14ac:dyDescent="0.25">
      <c r="A145" t="s">
        <v>33</v>
      </c>
      <c r="B145" t="s">
        <v>648</v>
      </c>
      <c r="C145" t="s">
        <v>21</v>
      </c>
      <c r="D145" t="s">
        <v>648</v>
      </c>
      <c r="E145" t="s">
        <v>649</v>
      </c>
      <c r="F145" t="s">
        <v>650</v>
      </c>
      <c r="G145" t="s">
        <v>24</v>
      </c>
      <c r="H145" t="s">
        <v>651</v>
      </c>
      <c r="I145" t="s">
        <v>73</v>
      </c>
      <c r="N145" t="s">
        <v>53</v>
      </c>
      <c r="S145" t="s">
        <v>75</v>
      </c>
      <c r="V145" t="s">
        <v>5580</v>
      </c>
      <c r="W145" t="s">
        <v>5581</v>
      </c>
      <c r="X145" s="2">
        <f>IFERROR(VLOOKUP(I145,'Rate Sheet'!$D:$F,3,FALSE),0)</f>
        <v>8.6983333333333324</v>
      </c>
      <c r="Y145" s="2">
        <f>IFERROR(VLOOKUP(J145,'Rate Sheet'!$D:$F,3,FALSE),0)</f>
        <v>0</v>
      </c>
      <c r="Z145" s="2">
        <f>IFERROR(VLOOKUP(K145,'Rate Sheet'!$D:$F,3,FALSE),0)</f>
        <v>0</v>
      </c>
      <c r="AA145" s="2">
        <f t="shared" si="2"/>
        <v>8.6983333333333324</v>
      </c>
      <c r="AB145">
        <v>1</v>
      </c>
    </row>
    <row r="146" spans="1:28" x14ac:dyDescent="0.25">
      <c r="A146" t="s">
        <v>33</v>
      </c>
      <c r="B146" t="s">
        <v>652</v>
      </c>
      <c r="C146" t="s">
        <v>21</v>
      </c>
      <c r="D146" t="s">
        <v>652</v>
      </c>
      <c r="E146" t="s">
        <v>126</v>
      </c>
      <c r="F146" t="s">
        <v>653</v>
      </c>
      <c r="G146" t="s">
        <v>24</v>
      </c>
      <c r="H146" t="s">
        <v>654</v>
      </c>
      <c r="I146" t="s">
        <v>46</v>
      </c>
      <c r="N146" t="s">
        <v>185</v>
      </c>
      <c r="S146" t="s">
        <v>48</v>
      </c>
      <c r="V146" s="10" t="s">
        <v>5610</v>
      </c>
      <c r="W146" s="10" t="s">
        <v>5611</v>
      </c>
      <c r="X146" s="2">
        <f>IFERROR(VLOOKUP(I146,'Rate Sheet'!$D:$F,3,FALSE),0)</f>
        <v>14.333333333333334</v>
      </c>
      <c r="Y146" s="2">
        <f>IFERROR(VLOOKUP(J146,'Rate Sheet'!$D:$F,3,FALSE),0)</f>
        <v>0</v>
      </c>
      <c r="Z146" s="2">
        <f>IFERROR(VLOOKUP(K146,'Rate Sheet'!$D:$F,3,FALSE),0)</f>
        <v>0</v>
      </c>
      <c r="AA146" s="2">
        <f t="shared" si="2"/>
        <v>14.333333333333334</v>
      </c>
      <c r="AB146">
        <v>1</v>
      </c>
    </row>
    <row r="147" spans="1:28" x14ac:dyDescent="0.25">
      <c r="A147" t="s">
        <v>33</v>
      </c>
      <c r="B147" t="s">
        <v>655</v>
      </c>
      <c r="C147" t="s">
        <v>21</v>
      </c>
      <c r="D147" t="s">
        <v>655</v>
      </c>
      <c r="E147" t="s">
        <v>656</v>
      </c>
      <c r="F147" t="s">
        <v>657</v>
      </c>
      <c r="G147" t="s">
        <v>24</v>
      </c>
      <c r="H147" t="s">
        <v>658</v>
      </c>
      <c r="I147" t="s">
        <v>46</v>
      </c>
      <c r="N147" t="s">
        <v>38</v>
      </c>
      <c r="S147" t="s">
        <v>48</v>
      </c>
      <c r="V147" t="s">
        <v>5582</v>
      </c>
      <c r="W147" t="s">
        <v>5583</v>
      </c>
      <c r="X147" s="2">
        <f>IFERROR(VLOOKUP(I147,'Rate Sheet'!$D:$F,3,FALSE),0)</f>
        <v>14.333333333333334</v>
      </c>
      <c r="Y147" s="2">
        <f>IFERROR(VLOOKUP(J147,'Rate Sheet'!$D:$F,3,FALSE),0)</f>
        <v>0</v>
      </c>
      <c r="Z147" s="2">
        <f>IFERROR(VLOOKUP(K147,'Rate Sheet'!$D:$F,3,FALSE),0)</f>
        <v>0</v>
      </c>
      <c r="AA147" s="2">
        <f t="shared" si="2"/>
        <v>14.333333333333334</v>
      </c>
      <c r="AB147">
        <v>1</v>
      </c>
    </row>
    <row r="148" spans="1:28" x14ac:dyDescent="0.25">
      <c r="A148" t="s">
        <v>33</v>
      </c>
      <c r="B148" t="s">
        <v>659</v>
      </c>
      <c r="C148" t="s">
        <v>21</v>
      </c>
      <c r="D148" t="s">
        <v>659</v>
      </c>
      <c r="E148" t="s">
        <v>660</v>
      </c>
      <c r="F148" t="s">
        <v>661</v>
      </c>
      <c r="G148" t="s">
        <v>24</v>
      </c>
      <c r="H148" t="s">
        <v>662</v>
      </c>
      <c r="N148" t="s">
        <v>38</v>
      </c>
      <c r="X148" s="2">
        <f>IFERROR(VLOOKUP(I148,'Rate Sheet'!$D:$F,3,FALSE),0)</f>
        <v>0</v>
      </c>
      <c r="Y148" s="2">
        <f>IFERROR(VLOOKUP(J148,'Rate Sheet'!$D:$F,3,FALSE),0)</f>
        <v>0</v>
      </c>
      <c r="Z148" s="2">
        <f>IFERROR(VLOOKUP(K148,'Rate Sheet'!$D:$F,3,FALSE),0)</f>
        <v>0</v>
      </c>
      <c r="AA148" s="2">
        <f t="shared" si="2"/>
        <v>0</v>
      </c>
    </row>
    <row r="149" spans="1:28" x14ac:dyDescent="0.25">
      <c r="A149" t="s">
        <v>33</v>
      </c>
      <c r="B149" t="s">
        <v>663</v>
      </c>
      <c r="C149" t="s">
        <v>21</v>
      </c>
      <c r="D149" t="s">
        <v>663</v>
      </c>
      <c r="E149" t="s">
        <v>338</v>
      </c>
      <c r="F149" t="s">
        <v>664</v>
      </c>
      <c r="G149" t="s">
        <v>24</v>
      </c>
      <c r="H149" t="s">
        <v>665</v>
      </c>
      <c r="L149" t="s">
        <v>26</v>
      </c>
      <c r="N149" t="s">
        <v>27</v>
      </c>
      <c r="X149" s="2">
        <f>IFERROR(VLOOKUP(I149,'Rate Sheet'!$D:$F,3,FALSE),0)</f>
        <v>0</v>
      </c>
      <c r="Y149" s="2">
        <f>IFERROR(VLOOKUP(J149,'Rate Sheet'!$D:$F,3,FALSE),0)</f>
        <v>0</v>
      </c>
      <c r="Z149" s="2">
        <f>IFERROR(VLOOKUP(K149,'Rate Sheet'!$D:$F,3,FALSE),0)</f>
        <v>0</v>
      </c>
      <c r="AA149" s="2">
        <f t="shared" si="2"/>
        <v>0</v>
      </c>
    </row>
    <row r="150" spans="1:28" x14ac:dyDescent="0.25">
      <c r="A150" t="s">
        <v>33</v>
      </c>
      <c r="B150" t="s">
        <v>666</v>
      </c>
      <c r="C150" t="s">
        <v>21</v>
      </c>
      <c r="D150" t="s">
        <v>666</v>
      </c>
      <c r="E150" t="s">
        <v>667</v>
      </c>
      <c r="F150" t="s">
        <v>668</v>
      </c>
      <c r="G150" t="s">
        <v>24</v>
      </c>
      <c r="H150" t="s">
        <v>669</v>
      </c>
      <c r="N150" t="s">
        <v>670</v>
      </c>
      <c r="X150" s="2">
        <f>IFERROR(VLOOKUP(I150,'Rate Sheet'!$D:$F,3,FALSE),0)</f>
        <v>0</v>
      </c>
      <c r="Y150" s="2">
        <f>IFERROR(VLOOKUP(J150,'Rate Sheet'!$D:$F,3,FALSE),0)</f>
        <v>0</v>
      </c>
      <c r="Z150" s="2">
        <f>IFERROR(VLOOKUP(K150,'Rate Sheet'!$D:$F,3,FALSE),0)</f>
        <v>0</v>
      </c>
      <c r="AA150" s="2">
        <f t="shared" si="2"/>
        <v>0</v>
      </c>
    </row>
    <row r="151" spans="1:28" x14ac:dyDescent="0.25">
      <c r="A151" t="s">
        <v>33</v>
      </c>
      <c r="B151" t="s">
        <v>671</v>
      </c>
      <c r="C151" t="s">
        <v>29</v>
      </c>
      <c r="D151" t="s">
        <v>671</v>
      </c>
      <c r="E151" t="s">
        <v>178</v>
      </c>
      <c r="F151" t="s">
        <v>672</v>
      </c>
      <c r="G151" t="s">
        <v>24</v>
      </c>
      <c r="H151" t="s">
        <v>673</v>
      </c>
      <c r="I151" t="s">
        <v>46</v>
      </c>
      <c r="N151" t="s">
        <v>246</v>
      </c>
      <c r="S151" t="s">
        <v>48</v>
      </c>
      <c r="V151" t="s">
        <v>5661</v>
      </c>
      <c r="W151" t="s">
        <v>246</v>
      </c>
      <c r="X151" s="2">
        <f>IFERROR(VLOOKUP(I151,'Rate Sheet'!$D:$F,3,FALSE),0)</f>
        <v>14.333333333333334</v>
      </c>
      <c r="Y151" s="2">
        <f>IFERROR(VLOOKUP(J151,'Rate Sheet'!$D:$F,3,FALSE),0)</f>
        <v>0</v>
      </c>
      <c r="Z151" s="2">
        <f>IFERROR(VLOOKUP(K151,'Rate Sheet'!$D:$F,3,FALSE),0)</f>
        <v>0</v>
      </c>
      <c r="AA151" s="2">
        <f t="shared" si="2"/>
        <v>14.333333333333334</v>
      </c>
      <c r="AB151">
        <v>1</v>
      </c>
    </row>
    <row r="152" spans="1:28" x14ac:dyDescent="0.25">
      <c r="A152" t="s">
        <v>33</v>
      </c>
      <c r="B152" t="s">
        <v>674</v>
      </c>
      <c r="C152" t="s">
        <v>21</v>
      </c>
      <c r="D152" t="s">
        <v>674</v>
      </c>
      <c r="E152" t="s">
        <v>598</v>
      </c>
      <c r="F152" t="s">
        <v>675</v>
      </c>
      <c r="G152" t="s">
        <v>24</v>
      </c>
      <c r="H152" t="s">
        <v>676</v>
      </c>
      <c r="I152" t="s">
        <v>96</v>
      </c>
      <c r="N152" t="s">
        <v>453</v>
      </c>
      <c r="S152" t="s">
        <v>98</v>
      </c>
      <c r="V152" t="s">
        <v>5602</v>
      </c>
      <c r="W152" t="s">
        <v>5603</v>
      </c>
      <c r="X152" s="2">
        <f>IFERROR(VLOOKUP(I152,'Rate Sheet'!$D:$F,3,FALSE),0)</f>
        <v>82.24</v>
      </c>
      <c r="Y152" s="2">
        <f>IFERROR(VLOOKUP(J152,'Rate Sheet'!$D:$F,3,FALSE),0)</f>
        <v>0</v>
      </c>
      <c r="Z152" s="2">
        <f>IFERROR(VLOOKUP(K152,'Rate Sheet'!$D:$F,3,FALSE),0)</f>
        <v>0</v>
      </c>
      <c r="AA152" s="2">
        <f t="shared" si="2"/>
        <v>82.24</v>
      </c>
      <c r="AB152">
        <v>1</v>
      </c>
    </row>
    <row r="153" spans="1:28" x14ac:dyDescent="0.25">
      <c r="A153" t="s">
        <v>33</v>
      </c>
      <c r="B153" t="s">
        <v>677</v>
      </c>
      <c r="C153" t="s">
        <v>21</v>
      </c>
      <c r="D153" t="s">
        <v>677</v>
      </c>
      <c r="E153" t="s">
        <v>678</v>
      </c>
      <c r="F153" t="s">
        <v>146</v>
      </c>
      <c r="G153" t="s">
        <v>24</v>
      </c>
      <c r="H153" s="1" t="s">
        <v>679</v>
      </c>
      <c r="I153" t="s">
        <v>46</v>
      </c>
      <c r="N153" t="s">
        <v>53</v>
      </c>
      <c r="S153" t="s">
        <v>48</v>
      </c>
      <c r="V153" t="s">
        <v>5580</v>
      </c>
      <c r="W153" t="s">
        <v>5581</v>
      </c>
      <c r="X153" s="2">
        <f>IFERROR(VLOOKUP(I153,'Rate Sheet'!$D:$F,3,FALSE),0)</f>
        <v>14.333333333333334</v>
      </c>
      <c r="Y153" s="2">
        <f>IFERROR(VLOOKUP(J153,'Rate Sheet'!$D:$F,3,FALSE),0)</f>
        <v>0</v>
      </c>
      <c r="Z153" s="2">
        <f>IFERROR(VLOOKUP(K153,'Rate Sheet'!$D:$F,3,FALSE),0)</f>
        <v>0</v>
      </c>
      <c r="AA153" s="2">
        <f t="shared" si="2"/>
        <v>14.333333333333334</v>
      </c>
      <c r="AB153">
        <v>1</v>
      </c>
    </row>
    <row r="154" spans="1:28" x14ac:dyDescent="0.25">
      <c r="A154" t="s">
        <v>33</v>
      </c>
      <c r="B154" t="s">
        <v>680</v>
      </c>
      <c r="C154" t="s">
        <v>21</v>
      </c>
      <c r="D154" t="s">
        <v>680</v>
      </c>
      <c r="E154" t="s">
        <v>289</v>
      </c>
      <c r="F154" t="s">
        <v>681</v>
      </c>
      <c r="G154" t="s">
        <v>24</v>
      </c>
      <c r="H154" t="s">
        <v>682</v>
      </c>
      <c r="I154" t="s">
        <v>46</v>
      </c>
      <c r="N154" t="s">
        <v>683</v>
      </c>
      <c r="S154" t="s">
        <v>48</v>
      </c>
      <c r="V154" t="s">
        <v>5625</v>
      </c>
      <c r="W154" t="s">
        <v>317</v>
      </c>
      <c r="X154" s="2">
        <f>IFERROR(VLOOKUP(I154,'Rate Sheet'!$D:$F,3,FALSE),0)</f>
        <v>14.333333333333334</v>
      </c>
      <c r="Y154" s="2">
        <f>IFERROR(VLOOKUP(J154,'Rate Sheet'!$D:$F,3,FALSE),0)</f>
        <v>0</v>
      </c>
      <c r="Z154" s="2">
        <f>IFERROR(VLOOKUP(K154,'Rate Sheet'!$D:$F,3,FALSE),0)</f>
        <v>0</v>
      </c>
      <c r="AA154" s="2">
        <f t="shared" si="2"/>
        <v>14.333333333333334</v>
      </c>
      <c r="AB154">
        <v>1</v>
      </c>
    </row>
    <row r="155" spans="1:28" x14ac:dyDescent="0.25">
      <c r="A155" t="s">
        <v>33</v>
      </c>
      <c r="B155" t="s">
        <v>684</v>
      </c>
      <c r="C155" t="s">
        <v>21</v>
      </c>
      <c r="D155" t="s">
        <v>684</v>
      </c>
      <c r="E155" t="s">
        <v>685</v>
      </c>
      <c r="F155" t="s">
        <v>686</v>
      </c>
      <c r="G155" t="s">
        <v>24</v>
      </c>
      <c r="H155" t="s">
        <v>687</v>
      </c>
      <c r="I155" t="s">
        <v>73</v>
      </c>
      <c r="N155" t="s">
        <v>688</v>
      </c>
      <c r="S155" t="s">
        <v>75</v>
      </c>
      <c r="V155" t="s">
        <v>5662</v>
      </c>
      <c r="W155" t="s">
        <v>5663</v>
      </c>
      <c r="X155" s="2">
        <f>IFERROR(VLOOKUP(I155,'Rate Sheet'!$D:$F,3,FALSE),0)</f>
        <v>8.6983333333333324</v>
      </c>
      <c r="Y155" s="2">
        <f>IFERROR(VLOOKUP(J155,'Rate Sheet'!$D:$F,3,FALSE),0)</f>
        <v>0</v>
      </c>
      <c r="Z155" s="2">
        <f>IFERROR(VLOOKUP(K155,'Rate Sheet'!$D:$F,3,FALSE),0)</f>
        <v>0</v>
      </c>
      <c r="AA155" s="2">
        <f t="shared" si="2"/>
        <v>8.6983333333333324</v>
      </c>
      <c r="AB155">
        <v>1</v>
      </c>
    </row>
    <row r="156" spans="1:28" x14ac:dyDescent="0.25">
      <c r="A156" t="s">
        <v>33</v>
      </c>
      <c r="B156" t="s">
        <v>689</v>
      </c>
      <c r="C156" t="s">
        <v>21</v>
      </c>
      <c r="D156" t="s">
        <v>689</v>
      </c>
      <c r="E156" t="s">
        <v>187</v>
      </c>
      <c r="F156" t="s">
        <v>690</v>
      </c>
      <c r="G156" t="s">
        <v>24</v>
      </c>
      <c r="H156" t="s">
        <v>691</v>
      </c>
      <c r="I156" t="s">
        <v>46</v>
      </c>
      <c r="N156" t="s">
        <v>692</v>
      </c>
      <c r="S156" t="s">
        <v>48</v>
      </c>
      <c r="V156" t="s">
        <v>5628</v>
      </c>
      <c r="W156" t="s">
        <v>5629</v>
      </c>
      <c r="X156" s="2">
        <f>IFERROR(VLOOKUP(I156,'Rate Sheet'!$D:$F,3,FALSE),0)</f>
        <v>14.333333333333334</v>
      </c>
      <c r="Y156" s="2">
        <f>IFERROR(VLOOKUP(J156,'Rate Sheet'!$D:$F,3,FALSE),0)</f>
        <v>0</v>
      </c>
      <c r="Z156" s="2">
        <f>IFERROR(VLOOKUP(K156,'Rate Sheet'!$D:$F,3,FALSE),0)</f>
        <v>0</v>
      </c>
      <c r="AA156" s="2">
        <f t="shared" si="2"/>
        <v>14.333333333333334</v>
      </c>
      <c r="AB156">
        <v>1</v>
      </c>
    </row>
    <row r="157" spans="1:28" x14ac:dyDescent="0.25">
      <c r="A157" t="s">
        <v>33</v>
      </c>
      <c r="B157" t="s">
        <v>693</v>
      </c>
      <c r="C157" t="s">
        <v>21</v>
      </c>
      <c r="D157" t="s">
        <v>693</v>
      </c>
      <c r="E157" t="s">
        <v>694</v>
      </c>
      <c r="F157" t="s">
        <v>695</v>
      </c>
      <c r="G157" t="s">
        <v>24</v>
      </c>
      <c r="H157" t="s">
        <v>696</v>
      </c>
      <c r="N157" t="s">
        <v>697</v>
      </c>
      <c r="X157" s="2">
        <f>IFERROR(VLOOKUP(I157,'Rate Sheet'!$D:$F,3,FALSE),0)</f>
        <v>0</v>
      </c>
      <c r="Y157" s="2">
        <f>IFERROR(VLOOKUP(J157,'Rate Sheet'!$D:$F,3,FALSE),0)</f>
        <v>0</v>
      </c>
      <c r="Z157" s="2">
        <f>IFERROR(VLOOKUP(K157,'Rate Sheet'!$D:$F,3,FALSE),0)</f>
        <v>0</v>
      </c>
      <c r="AA157" s="2">
        <f t="shared" si="2"/>
        <v>0</v>
      </c>
    </row>
    <row r="158" spans="1:28" x14ac:dyDescent="0.25">
      <c r="A158" t="s">
        <v>33</v>
      </c>
      <c r="B158" t="s">
        <v>698</v>
      </c>
      <c r="C158" t="s">
        <v>92</v>
      </c>
      <c r="D158" t="s">
        <v>698</v>
      </c>
      <c r="E158" t="s">
        <v>699</v>
      </c>
      <c r="F158" t="s">
        <v>700</v>
      </c>
      <c r="G158" t="s">
        <v>24</v>
      </c>
      <c r="H158" t="s">
        <v>701</v>
      </c>
      <c r="I158" t="s">
        <v>46</v>
      </c>
      <c r="N158" t="s">
        <v>702</v>
      </c>
      <c r="S158" t="s">
        <v>48</v>
      </c>
      <c r="V158" t="s">
        <v>5592</v>
      </c>
      <c r="W158" t="s">
        <v>97</v>
      </c>
      <c r="X158" s="2">
        <f>IFERROR(VLOOKUP(I158,'Rate Sheet'!$D:$F,3,FALSE),0)</f>
        <v>14.333333333333334</v>
      </c>
      <c r="Y158" s="2">
        <f>IFERROR(VLOOKUP(J158,'Rate Sheet'!$D:$F,3,FALSE),0)</f>
        <v>0</v>
      </c>
      <c r="Z158" s="2">
        <f>IFERROR(VLOOKUP(K158,'Rate Sheet'!$D:$F,3,FALSE),0)</f>
        <v>0</v>
      </c>
      <c r="AA158" s="2">
        <f t="shared" si="2"/>
        <v>14.333333333333334</v>
      </c>
      <c r="AB158">
        <v>1</v>
      </c>
    </row>
    <row r="159" spans="1:28" x14ac:dyDescent="0.25">
      <c r="A159" t="s">
        <v>33</v>
      </c>
      <c r="B159" t="s">
        <v>703</v>
      </c>
      <c r="C159" t="s">
        <v>21</v>
      </c>
      <c r="D159" t="s">
        <v>703</v>
      </c>
      <c r="E159" t="s">
        <v>65</v>
      </c>
      <c r="F159" t="s">
        <v>432</v>
      </c>
      <c r="G159" t="s">
        <v>24</v>
      </c>
      <c r="H159" t="s">
        <v>704</v>
      </c>
      <c r="I159" t="s">
        <v>46</v>
      </c>
      <c r="N159" t="s">
        <v>185</v>
      </c>
      <c r="S159" t="s">
        <v>48</v>
      </c>
      <c r="V159" t="s">
        <v>5610</v>
      </c>
      <c r="W159" t="s">
        <v>5611</v>
      </c>
      <c r="X159" s="2">
        <f>IFERROR(VLOOKUP(I159,'Rate Sheet'!$D:$F,3,FALSE),0)</f>
        <v>14.333333333333334</v>
      </c>
      <c r="Y159" s="2">
        <f>IFERROR(VLOOKUP(J159,'Rate Sheet'!$D:$F,3,FALSE),0)</f>
        <v>0</v>
      </c>
      <c r="Z159" s="2">
        <f>IFERROR(VLOOKUP(K159,'Rate Sheet'!$D:$F,3,FALSE),0)</f>
        <v>0</v>
      </c>
      <c r="AA159" s="2">
        <f t="shared" si="2"/>
        <v>14.333333333333334</v>
      </c>
      <c r="AB159">
        <v>1</v>
      </c>
    </row>
    <row r="160" spans="1:28" x14ac:dyDescent="0.25">
      <c r="A160" t="s">
        <v>33</v>
      </c>
      <c r="B160" t="s">
        <v>705</v>
      </c>
      <c r="C160" t="s">
        <v>21</v>
      </c>
      <c r="D160" t="s">
        <v>705</v>
      </c>
      <c r="E160" t="s">
        <v>706</v>
      </c>
      <c r="F160" t="s">
        <v>707</v>
      </c>
      <c r="G160" t="s">
        <v>24</v>
      </c>
      <c r="H160" t="s">
        <v>708</v>
      </c>
      <c r="N160" t="s">
        <v>565</v>
      </c>
      <c r="X160" s="2">
        <f>IFERROR(VLOOKUP(I160,'Rate Sheet'!$D:$F,3,FALSE),0)</f>
        <v>0</v>
      </c>
      <c r="Y160" s="2">
        <f>IFERROR(VLOOKUP(J160,'Rate Sheet'!$D:$F,3,FALSE),0)</f>
        <v>0</v>
      </c>
      <c r="Z160" s="2">
        <f>IFERROR(VLOOKUP(K160,'Rate Sheet'!$D:$F,3,FALSE),0)</f>
        <v>0</v>
      </c>
      <c r="AA160" s="2">
        <f t="shared" si="2"/>
        <v>0</v>
      </c>
    </row>
    <row r="161" spans="1:28" x14ac:dyDescent="0.25">
      <c r="A161" t="s">
        <v>33</v>
      </c>
      <c r="B161" t="s">
        <v>709</v>
      </c>
      <c r="C161" t="s">
        <v>21</v>
      </c>
      <c r="D161" t="s">
        <v>709</v>
      </c>
      <c r="E161" t="s">
        <v>710</v>
      </c>
      <c r="F161" t="s">
        <v>711</v>
      </c>
      <c r="G161" t="s">
        <v>24</v>
      </c>
      <c r="H161" t="s">
        <v>712</v>
      </c>
      <c r="L161" t="s">
        <v>26</v>
      </c>
      <c r="N161" t="s">
        <v>27</v>
      </c>
      <c r="X161" s="2">
        <f>IFERROR(VLOOKUP(I161,'Rate Sheet'!$D:$F,3,FALSE),0)</f>
        <v>0</v>
      </c>
      <c r="Y161" s="2">
        <f>IFERROR(VLOOKUP(J161,'Rate Sheet'!$D:$F,3,FALSE),0)</f>
        <v>0</v>
      </c>
      <c r="Z161" s="2">
        <f>IFERROR(VLOOKUP(K161,'Rate Sheet'!$D:$F,3,FALSE),0)</f>
        <v>0</v>
      </c>
      <c r="AA161" s="2">
        <f t="shared" si="2"/>
        <v>0</v>
      </c>
    </row>
    <row r="162" spans="1:28" x14ac:dyDescent="0.25">
      <c r="A162" t="s">
        <v>33</v>
      </c>
      <c r="B162" t="s">
        <v>713</v>
      </c>
      <c r="C162" t="s">
        <v>29</v>
      </c>
      <c r="D162" t="s">
        <v>713</v>
      </c>
      <c r="E162" t="s">
        <v>428</v>
      </c>
      <c r="F162" t="s">
        <v>714</v>
      </c>
      <c r="G162" t="s">
        <v>24</v>
      </c>
      <c r="H162" s="1" t="s">
        <v>715</v>
      </c>
      <c r="I162" t="s">
        <v>46</v>
      </c>
      <c r="N162" t="s">
        <v>638</v>
      </c>
      <c r="S162" t="s">
        <v>48</v>
      </c>
      <c r="V162" t="s">
        <v>5660</v>
      </c>
      <c r="W162" t="s">
        <v>638</v>
      </c>
      <c r="X162" s="2">
        <f>IFERROR(VLOOKUP(I162,'Rate Sheet'!$D:$F,3,FALSE),0)</f>
        <v>14.333333333333334</v>
      </c>
      <c r="Y162" s="2">
        <f>IFERROR(VLOOKUP(J162,'Rate Sheet'!$D:$F,3,FALSE),0)</f>
        <v>0</v>
      </c>
      <c r="Z162" s="2">
        <f>IFERROR(VLOOKUP(K162,'Rate Sheet'!$D:$F,3,FALSE),0)</f>
        <v>0</v>
      </c>
      <c r="AA162" s="2">
        <f t="shared" si="2"/>
        <v>14.333333333333334</v>
      </c>
      <c r="AB162">
        <v>1</v>
      </c>
    </row>
    <row r="163" spans="1:28" x14ac:dyDescent="0.25">
      <c r="A163" t="s">
        <v>33</v>
      </c>
      <c r="B163" t="s">
        <v>716</v>
      </c>
      <c r="C163" t="s">
        <v>21</v>
      </c>
      <c r="D163" t="s">
        <v>716</v>
      </c>
      <c r="E163" t="s">
        <v>424</v>
      </c>
      <c r="F163" t="s">
        <v>717</v>
      </c>
      <c r="G163" t="s">
        <v>24</v>
      </c>
      <c r="H163" t="s">
        <v>718</v>
      </c>
      <c r="I163" t="s">
        <v>46</v>
      </c>
      <c r="N163" t="s">
        <v>119</v>
      </c>
      <c r="S163" t="s">
        <v>48</v>
      </c>
      <c r="V163" t="s">
        <v>5598</v>
      </c>
      <c r="W163" t="s">
        <v>119</v>
      </c>
      <c r="X163" s="2">
        <f>IFERROR(VLOOKUP(I163,'Rate Sheet'!$D:$F,3,FALSE),0)</f>
        <v>14.333333333333334</v>
      </c>
      <c r="Y163" s="2">
        <f>IFERROR(VLOOKUP(J163,'Rate Sheet'!$D:$F,3,FALSE),0)</f>
        <v>0</v>
      </c>
      <c r="Z163" s="2">
        <f>IFERROR(VLOOKUP(K163,'Rate Sheet'!$D:$F,3,FALSE),0)</f>
        <v>0</v>
      </c>
      <c r="AA163" s="2">
        <f t="shared" si="2"/>
        <v>14.333333333333334</v>
      </c>
      <c r="AB163">
        <v>1</v>
      </c>
    </row>
    <row r="164" spans="1:28" x14ac:dyDescent="0.25">
      <c r="A164" t="s">
        <v>33</v>
      </c>
      <c r="B164" t="s">
        <v>719</v>
      </c>
      <c r="C164" t="s">
        <v>21</v>
      </c>
      <c r="D164" t="s">
        <v>719</v>
      </c>
      <c r="E164" t="s">
        <v>428</v>
      </c>
      <c r="F164" t="s">
        <v>720</v>
      </c>
      <c r="G164" t="s">
        <v>24</v>
      </c>
      <c r="H164" t="s">
        <v>721</v>
      </c>
      <c r="I164" t="s">
        <v>46</v>
      </c>
      <c r="N164" t="s">
        <v>185</v>
      </c>
      <c r="S164" t="s">
        <v>48</v>
      </c>
      <c r="V164" t="s">
        <v>5610</v>
      </c>
      <c r="W164" t="s">
        <v>5611</v>
      </c>
      <c r="X164" s="2">
        <f>IFERROR(VLOOKUP(I164,'Rate Sheet'!$D:$F,3,FALSE),0)</f>
        <v>14.333333333333334</v>
      </c>
      <c r="Y164" s="2">
        <f>IFERROR(VLOOKUP(J164,'Rate Sheet'!$D:$F,3,FALSE),0)</f>
        <v>0</v>
      </c>
      <c r="Z164" s="2">
        <f>IFERROR(VLOOKUP(K164,'Rate Sheet'!$D:$F,3,FALSE),0)</f>
        <v>0</v>
      </c>
      <c r="AA164" s="2">
        <f t="shared" si="2"/>
        <v>14.333333333333334</v>
      </c>
      <c r="AB164">
        <v>1</v>
      </c>
    </row>
    <row r="165" spans="1:28" x14ac:dyDescent="0.25">
      <c r="A165" t="s">
        <v>33</v>
      </c>
      <c r="B165" t="s">
        <v>722</v>
      </c>
      <c r="C165" t="s">
        <v>21</v>
      </c>
      <c r="D165" t="s">
        <v>722</v>
      </c>
      <c r="E165" t="s">
        <v>723</v>
      </c>
      <c r="F165" t="s">
        <v>724</v>
      </c>
      <c r="G165" t="s">
        <v>24</v>
      </c>
      <c r="H165" t="s">
        <v>725</v>
      </c>
      <c r="I165" t="s">
        <v>46</v>
      </c>
      <c r="N165" t="s">
        <v>68</v>
      </c>
      <c r="S165" t="s">
        <v>48</v>
      </c>
      <c r="V165" t="s">
        <v>5595</v>
      </c>
      <c r="W165" t="s">
        <v>108</v>
      </c>
      <c r="X165" s="2">
        <f>IFERROR(VLOOKUP(I165,'Rate Sheet'!$D:$F,3,FALSE),0)</f>
        <v>14.333333333333334</v>
      </c>
      <c r="Y165" s="2">
        <f>IFERROR(VLOOKUP(J165,'Rate Sheet'!$D:$F,3,FALSE),0)</f>
        <v>0</v>
      </c>
      <c r="Z165" s="2">
        <f>IFERROR(VLOOKUP(K165,'Rate Sheet'!$D:$F,3,FALSE),0)</f>
        <v>0</v>
      </c>
      <c r="AA165" s="2">
        <f t="shared" si="2"/>
        <v>14.333333333333334</v>
      </c>
      <c r="AB165">
        <v>1</v>
      </c>
    </row>
    <row r="166" spans="1:28" x14ac:dyDescent="0.25">
      <c r="A166" t="s">
        <v>33</v>
      </c>
      <c r="B166" t="s">
        <v>726</v>
      </c>
      <c r="C166" t="s">
        <v>21</v>
      </c>
      <c r="D166" t="s">
        <v>726</v>
      </c>
      <c r="E166" t="s">
        <v>727</v>
      </c>
      <c r="F166" t="s">
        <v>728</v>
      </c>
      <c r="G166" t="s">
        <v>24</v>
      </c>
      <c r="H166" t="s">
        <v>729</v>
      </c>
      <c r="I166" t="s">
        <v>73</v>
      </c>
      <c r="N166" t="s">
        <v>38</v>
      </c>
      <c r="S166" t="s">
        <v>75</v>
      </c>
      <c r="V166" t="s">
        <v>5582</v>
      </c>
      <c r="W166" t="s">
        <v>5583</v>
      </c>
      <c r="X166" s="2">
        <f>IFERROR(VLOOKUP(I166,'Rate Sheet'!$D:$F,3,FALSE),0)</f>
        <v>8.6983333333333324</v>
      </c>
      <c r="Y166" s="2">
        <f>IFERROR(VLOOKUP(J166,'Rate Sheet'!$D:$F,3,FALSE),0)</f>
        <v>0</v>
      </c>
      <c r="Z166" s="2">
        <f>IFERROR(VLOOKUP(K166,'Rate Sheet'!$D:$F,3,FALSE),0)</f>
        <v>0</v>
      </c>
      <c r="AA166" s="2">
        <f t="shared" si="2"/>
        <v>8.6983333333333324</v>
      </c>
      <c r="AB166">
        <v>1</v>
      </c>
    </row>
    <row r="167" spans="1:28" x14ac:dyDescent="0.25">
      <c r="A167" t="s">
        <v>33</v>
      </c>
      <c r="B167" t="s">
        <v>730</v>
      </c>
      <c r="C167" t="s">
        <v>21</v>
      </c>
      <c r="D167" t="s">
        <v>730</v>
      </c>
      <c r="E167" t="s">
        <v>731</v>
      </c>
      <c r="F167" t="s">
        <v>732</v>
      </c>
      <c r="G167" t="s">
        <v>24</v>
      </c>
      <c r="H167" t="s">
        <v>733</v>
      </c>
      <c r="N167" t="s">
        <v>620</v>
      </c>
      <c r="X167" s="2">
        <f>IFERROR(VLOOKUP(I167,'Rate Sheet'!$D:$F,3,FALSE),0)</f>
        <v>0</v>
      </c>
      <c r="Y167" s="2">
        <f>IFERROR(VLOOKUP(J167,'Rate Sheet'!$D:$F,3,FALSE),0)</f>
        <v>0</v>
      </c>
      <c r="Z167" s="2">
        <f>IFERROR(VLOOKUP(K167,'Rate Sheet'!$D:$F,3,FALSE),0)</f>
        <v>0</v>
      </c>
      <c r="AA167" s="2">
        <f t="shared" si="2"/>
        <v>0</v>
      </c>
    </row>
    <row r="168" spans="1:28" x14ac:dyDescent="0.25">
      <c r="A168" t="s">
        <v>33</v>
      </c>
      <c r="B168" t="s">
        <v>734</v>
      </c>
      <c r="C168" t="s">
        <v>21</v>
      </c>
      <c r="D168" t="s">
        <v>734</v>
      </c>
      <c r="E168" t="s">
        <v>735</v>
      </c>
      <c r="F168" t="s">
        <v>736</v>
      </c>
      <c r="G168" t="s">
        <v>24</v>
      </c>
      <c r="H168" t="s">
        <v>737</v>
      </c>
      <c r="N168" t="s">
        <v>738</v>
      </c>
      <c r="X168" s="2">
        <f>IFERROR(VLOOKUP(I168,'Rate Sheet'!$D:$F,3,FALSE),0)</f>
        <v>0</v>
      </c>
      <c r="Y168" s="2">
        <f>IFERROR(VLOOKUP(J168,'Rate Sheet'!$D:$F,3,FALSE),0)</f>
        <v>0</v>
      </c>
      <c r="Z168" s="2">
        <f>IFERROR(VLOOKUP(K168,'Rate Sheet'!$D:$F,3,FALSE),0)</f>
        <v>0</v>
      </c>
      <c r="AA168" s="2">
        <f t="shared" si="2"/>
        <v>0</v>
      </c>
    </row>
    <row r="169" spans="1:28" x14ac:dyDescent="0.25">
      <c r="A169" t="s">
        <v>33</v>
      </c>
      <c r="B169" t="s">
        <v>739</v>
      </c>
      <c r="C169" t="s">
        <v>92</v>
      </c>
      <c r="D169" t="s">
        <v>739</v>
      </c>
      <c r="E169" t="s">
        <v>740</v>
      </c>
      <c r="F169" t="s">
        <v>741</v>
      </c>
      <c r="G169" t="s">
        <v>24</v>
      </c>
      <c r="H169" t="s">
        <v>742</v>
      </c>
      <c r="I169" t="s">
        <v>46</v>
      </c>
      <c r="N169" t="s">
        <v>743</v>
      </c>
      <c r="S169" t="s">
        <v>48</v>
      </c>
      <c r="V169" t="s">
        <v>5592</v>
      </c>
      <c r="W169" t="s">
        <v>97</v>
      </c>
      <c r="X169" s="2">
        <f>IFERROR(VLOOKUP(I169,'Rate Sheet'!$D:$F,3,FALSE),0)</f>
        <v>14.333333333333334</v>
      </c>
      <c r="Y169" s="2">
        <f>IFERROR(VLOOKUP(J169,'Rate Sheet'!$D:$F,3,FALSE),0)</f>
        <v>0</v>
      </c>
      <c r="Z169" s="2">
        <f>IFERROR(VLOOKUP(K169,'Rate Sheet'!$D:$F,3,FALSE),0)</f>
        <v>0</v>
      </c>
      <c r="AA169" s="2">
        <f t="shared" si="2"/>
        <v>14.333333333333334</v>
      </c>
      <c r="AB169">
        <v>1</v>
      </c>
    </row>
    <row r="170" spans="1:28" x14ac:dyDescent="0.25">
      <c r="A170" t="s">
        <v>33</v>
      </c>
      <c r="B170" t="s">
        <v>744</v>
      </c>
      <c r="C170" t="s">
        <v>21</v>
      </c>
      <c r="D170" t="s">
        <v>744</v>
      </c>
      <c r="E170" t="s">
        <v>135</v>
      </c>
      <c r="F170" t="s">
        <v>745</v>
      </c>
      <c r="G170" t="s">
        <v>24</v>
      </c>
      <c r="H170" t="s">
        <v>746</v>
      </c>
      <c r="I170" t="s">
        <v>73</v>
      </c>
      <c r="N170" t="s">
        <v>747</v>
      </c>
      <c r="S170" t="s">
        <v>75</v>
      </c>
      <c r="V170" t="s">
        <v>5664</v>
      </c>
      <c r="W170" t="s">
        <v>747</v>
      </c>
      <c r="X170" s="2">
        <f>IFERROR(VLOOKUP(I170,'Rate Sheet'!$D:$F,3,FALSE),0)</f>
        <v>8.6983333333333324</v>
      </c>
      <c r="Y170" s="2">
        <f>IFERROR(VLOOKUP(J170,'Rate Sheet'!$D:$F,3,FALSE),0)</f>
        <v>0</v>
      </c>
      <c r="Z170" s="2">
        <f>IFERROR(VLOOKUP(K170,'Rate Sheet'!$D:$F,3,FALSE),0)</f>
        <v>0</v>
      </c>
      <c r="AA170" s="2">
        <f t="shared" si="2"/>
        <v>8.6983333333333324</v>
      </c>
      <c r="AB170">
        <v>1</v>
      </c>
    </row>
    <row r="171" spans="1:28" x14ac:dyDescent="0.25">
      <c r="A171" t="s">
        <v>33</v>
      </c>
      <c r="B171" t="s">
        <v>748</v>
      </c>
      <c r="C171" t="s">
        <v>21</v>
      </c>
      <c r="D171" t="s">
        <v>748</v>
      </c>
      <c r="E171" t="s">
        <v>284</v>
      </c>
      <c r="F171" t="s">
        <v>749</v>
      </c>
      <c r="G171" t="s">
        <v>24</v>
      </c>
      <c r="H171" t="s">
        <v>750</v>
      </c>
      <c r="I171" t="s">
        <v>46</v>
      </c>
      <c r="N171" t="s">
        <v>68</v>
      </c>
      <c r="S171" t="s">
        <v>48</v>
      </c>
      <c r="V171" t="s">
        <v>5595</v>
      </c>
      <c r="W171" t="s">
        <v>108</v>
      </c>
      <c r="X171" s="2">
        <f>IFERROR(VLOOKUP(I171,'Rate Sheet'!$D:$F,3,FALSE),0)</f>
        <v>14.333333333333334</v>
      </c>
      <c r="Y171" s="2">
        <f>IFERROR(VLOOKUP(J171,'Rate Sheet'!$D:$F,3,FALSE),0)</f>
        <v>0</v>
      </c>
      <c r="Z171" s="2">
        <f>IFERROR(VLOOKUP(K171,'Rate Sheet'!$D:$F,3,FALSE),0)</f>
        <v>0</v>
      </c>
      <c r="AA171" s="2">
        <f t="shared" si="2"/>
        <v>14.333333333333334</v>
      </c>
      <c r="AB171">
        <v>1</v>
      </c>
    </row>
    <row r="172" spans="1:28" x14ac:dyDescent="0.25">
      <c r="A172" t="s">
        <v>33</v>
      </c>
      <c r="B172" t="s">
        <v>751</v>
      </c>
      <c r="C172" t="s">
        <v>21</v>
      </c>
      <c r="D172" t="s">
        <v>751</v>
      </c>
      <c r="E172" t="s">
        <v>752</v>
      </c>
      <c r="F172" t="s">
        <v>753</v>
      </c>
      <c r="G172" t="s">
        <v>24</v>
      </c>
      <c r="H172" t="s">
        <v>754</v>
      </c>
      <c r="I172" t="s">
        <v>46</v>
      </c>
      <c r="N172" t="s">
        <v>755</v>
      </c>
      <c r="S172" t="s">
        <v>48</v>
      </c>
      <c r="V172" t="s">
        <v>5665</v>
      </c>
      <c r="W172" t="s">
        <v>803</v>
      </c>
      <c r="X172" s="2">
        <f>IFERROR(VLOOKUP(I172,'Rate Sheet'!$D:$F,3,FALSE),0)</f>
        <v>14.333333333333334</v>
      </c>
      <c r="Y172" s="2">
        <f>IFERROR(VLOOKUP(J172,'Rate Sheet'!$D:$F,3,FALSE),0)</f>
        <v>0</v>
      </c>
      <c r="Z172" s="2">
        <f>IFERROR(VLOOKUP(K172,'Rate Sheet'!$D:$F,3,FALSE),0)</f>
        <v>0</v>
      </c>
      <c r="AA172" s="2">
        <f t="shared" si="2"/>
        <v>14.333333333333334</v>
      </c>
      <c r="AB172">
        <v>1</v>
      </c>
    </row>
    <row r="173" spans="1:28" x14ac:dyDescent="0.25">
      <c r="A173" t="s">
        <v>33</v>
      </c>
      <c r="B173" t="s">
        <v>756</v>
      </c>
      <c r="C173" t="s">
        <v>21</v>
      </c>
      <c r="D173" t="s">
        <v>756</v>
      </c>
      <c r="E173" t="s">
        <v>757</v>
      </c>
      <c r="F173" t="s">
        <v>758</v>
      </c>
      <c r="G173" t="s">
        <v>24</v>
      </c>
      <c r="H173" t="s">
        <v>759</v>
      </c>
      <c r="I173" t="s">
        <v>46</v>
      </c>
      <c r="L173" t="s">
        <v>26</v>
      </c>
      <c r="N173" t="s">
        <v>27</v>
      </c>
      <c r="S173" t="s">
        <v>48</v>
      </c>
      <c r="V173" t="s">
        <v>5576</v>
      </c>
      <c r="W173" t="s">
        <v>5577</v>
      </c>
      <c r="X173" s="2">
        <f>IFERROR(VLOOKUP(I173,'Rate Sheet'!$D:$F,3,FALSE),0)</f>
        <v>14.333333333333334</v>
      </c>
      <c r="Y173" s="2">
        <f>IFERROR(VLOOKUP(J173,'Rate Sheet'!$D:$F,3,FALSE),0)</f>
        <v>0</v>
      </c>
      <c r="Z173" s="2">
        <f>IFERROR(VLOOKUP(K173,'Rate Sheet'!$D:$F,3,FALSE),0)</f>
        <v>0</v>
      </c>
      <c r="AA173" s="2">
        <f t="shared" si="2"/>
        <v>14.333333333333334</v>
      </c>
      <c r="AB173">
        <v>1</v>
      </c>
    </row>
    <row r="174" spans="1:28" x14ac:dyDescent="0.25">
      <c r="A174" t="s">
        <v>33</v>
      </c>
      <c r="B174" t="s">
        <v>760</v>
      </c>
      <c r="C174" t="s">
        <v>21</v>
      </c>
      <c r="D174" t="s">
        <v>760</v>
      </c>
      <c r="E174" t="s">
        <v>761</v>
      </c>
      <c r="F174" t="s">
        <v>762</v>
      </c>
      <c r="G174" t="s">
        <v>24</v>
      </c>
      <c r="H174" t="s">
        <v>763</v>
      </c>
      <c r="N174" t="s">
        <v>287</v>
      </c>
      <c r="X174" s="2">
        <f>IFERROR(VLOOKUP(I174,'Rate Sheet'!$D:$F,3,FALSE),0)</f>
        <v>0</v>
      </c>
      <c r="Y174" s="2">
        <f>IFERROR(VLOOKUP(J174,'Rate Sheet'!$D:$F,3,FALSE),0)</f>
        <v>0</v>
      </c>
      <c r="Z174" s="2">
        <f>IFERROR(VLOOKUP(K174,'Rate Sheet'!$D:$F,3,FALSE),0)</f>
        <v>0</v>
      </c>
      <c r="AA174" s="2">
        <f t="shared" si="2"/>
        <v>0</v>
      </c>
    </row>
    <row r="175" spans="1:28" x14ac:dyDescent="0.25">
      <c r="A175" t="s">
        <v>33</v>
      </c>
      <c r="B175" t="s">
        <v>764</v>
      </c>
      <c r="C175" t="s">
        <v>21</v>
      </c>
      <c r="D175" t="s">
        <v>764</v>
      </c>
      <c r="E175" t="s">
        <v>178</v>
      </c>
      <c r="F175" t="s">
        <v>765</v>
      </c>
      <c r="G175" t="s">
        <v>24</v>
      </c>
      <c r="H175" t="s">
        <v>766</v>
      </c>
      <c r="I175" t="s">
        <v>46</v>
      </c>
      <c r="N175" t="s">
        <v>389</v>
      </c>
      <c r="S175" t="s">
        <v>48</v>
      </c>
      <c r="V175" t="s">
        <v>5640</v>
      </c>
      <c r="W175" t="s">
        <v>5641</v>
      </c>
      <c r="X175" s="2">
        <f>IFERROR(VLOOKUP(I175,'Rate Sheet'!$D:$F,3,FALSE),0)</f>
        <v>14.333333333333334</v>
      </c>
      <c r="Y175" s="2">
        <f>IFERROR(VLOOKUP(J175,'Rate Sheet'!$D:$F,3,FALSE),0)</f>
        <v>0</v>
      </c>
      <c r="Z175" s="2">
        <f>IFERROR(VLOOKUP(K175,'Rate Sheet'!$D:$F,3,FALSE),0)</f>
        <v>0</v>
      </c>
      <c r="AA175" s="2">
        <f t="shared" si="2"/>
        <v>14.333333333333334</v>
      </c>
      <c r="AB175">
        <v>1</v>
      </c>
    </row>
    <row r="176" spans="1:28" x14ac:dyDescent="0.25">
      <c r="A176" t="s">
        <v>33</v>
      </c>
      <c r="B176" t="s">
        <v>767</v>
      </c>
      <c r="C176" t="s">
        <v>21</v>
      </c>
      <c r="D176" t="s">
        <v>768</v>
      </c>
      <c r="E176" t="s">
        <v>126</v>
      </c>
      <c r="F176" t="s">
        <v>769</v>
      </c>
      <c r="G176" t="s">
        <v>24</v>
      </c>
      <c r="H176" t="s">
        <v>770</v>
      </c>
      <c r="N176" t="s">
        <v>327</v>
      </c>
      <c r="X176" s="2">
        <f>IFERROR(VLOOKUP(I176,'Rate Sheet'!$D:$F,3,FALSE),0)</f>
        <v>0</v>
      </c>
      <c r="Y176" s="2">
        <f>IFERROR(VLOOKUP(J176,'Rate Sheet'!$D:$F,3,FALSE),0)</f>
        <v>0</v>
      </c>
      <c r="Z176" s="2">
        <f>IFERROR(VLOOKUP(K176,'Rate Sheet'!$D:$F,3,FALSE),0)</f>
        <v>0</v>
      </c>
      <c r="AA176" s="2">
        <f t="shared" si="2"/>
        <v>0</v>
      </c>
    </row>
    <row r="177" spans="1:28" x14ac:dyDescent="0.25">
      <c r="A177" t="s">
        <v>33</v>
      </c>
      <c r="B177" t="s">
        <v>771</v>
      </c>
      <c r="C177" t="s">
        <v>21</v>
      </c>
      <c r="D177" t="s">
        <v>771</v>
      </c>
      <c r="E177" t="s">
        <v>302</v>
      </c>
      <c r="F177" t="s">
        <v>772</v>
      </c>
      <c r="G177" t="s">
        <v>24</v>
      </c>
      <c r="H177" t="s">
        <v>773</v>
      </c>
      <c r="I177" t="s">
        <v>46</v>
      </c>
      <c r="N177" t="s">
        <v>38</v>
      </c>
      <c r="S177" t="s">
        <v>48</v>
      </c>
      <c r="V177" t="s">
        <v>5582</v>
      </c>
      <c r="W177" t="s">
        <v>5583</v>
      </c>
      <c r="X177" s="2">
        <f>IFERROR(VLOOKUP(I177,'Rate Sheet'!$D:$F,3,FALSE),0)</f>
        <v>14.333333333333334</v>
      </c>
      <c r="Y177" s="2">
        <f>IFERROR(VLOOKUP(J177,'Rate Sheet'!$D:$F,3,FALSE),0)</f>
        <v>0</v>
      </c>
      <c r="Z177" s="2">
        <f>IFERROR(VLOOKUP(K177,'Rate Sheet'!$D:$F,3,FALSE),0)</f>
        <v>0</v>
      </c>
      <c r="AA177" s="2">
        <f t="shared" si="2"/>
        <v>14.333333333333334</v>
      </c>
      <c r="AB177">
        <v>1</v>
      </c>
    </row>
    <row r="178" spans="1:28" x14ac:dyDescent="0.25">
      <c r="A178" t="s">
        <v>33</v>
      </c>
      <c r="B178" t="s">
        <v>774</v>
      </c>
      <c r="C178" t="s">
        <v>21</v>
      </c>
      <c r="D178" t="s">
        <v>774</v>
      </c>
      <c r="E178" t="s">
        <v>775</v>
      </c>
      <c r="F178" t="s">
        <v>384</v>
      </c>
      <c r="G178" t="s">
        <v>24</v>
      </c>
      <c r="H178" t="s">
        <v>776</v>
      </c>
      <c r="N178" t="s">
        <v>327</v>
      </c>
      <c r="X178" s="2">
        <f>IFERROR(VLOOKUP(I178,'Rate Sheet'!$D:$F,3,FALSE),0)</f>
        <v>0</v>
      </c>
      <c r="Y178" s="2">
        <f>IFERROR(VLOOKUP(J178,'Rate Sheet'!$D:$F,3,FALSE),0)</f>
        <v>0</v>
      </c>
      <c r="Z178" s="2">
        <f>IFERROR(VLOOKUP(K178,'Rate Sheet'!$D:$F,3,FALSE),0)</f>
        <v>0</v>
      </c>
      <c r="AA178" s="2">
        <f t="shared" si="2"/>
        <v>0</v>
      </c>
    </row>
    <row r="179" spans="1:28" x14ac:dyDescent="0.25">
      <c r="A179" t="s">
        <v>33</v>
      </c>
      <c r="B179" t="s">
        <v>777</v>
      </c>
      <c r="C179" t="s">
        <v>21</v>
      </c>
      <c r="D179" t="s">
        <v>777</v>
      </c>
      <c r="E179" t="s">
        <v>778</v>
      </c>
      <c r="F179" t="s">
        <v>779</v>
      </c>
      <c r="G179" t="s">
        <v>24</v>
      </c>
      <c r="H179" t="s">
        <v>780</v>
      </c>
      <c r="N179" t="s">
        <v>327</v>
      </c>
      <c r="X179" s="2">
        <f>IFERROR(VLOOKUP(I179,'Rate Sheet'!$D:$F,3,FALSE),0)</f>
        <v>0</v>
      </c>
      <c r="Y179" s="2">
        <f>IFERROR(VLOOKUP(J179,'Rate Sheet'!$D:$F,3,FALSE),0)</f>
        <v>0</v>
      </c>
      <c r="Z179" s="2">
        <f>IFERROR(VLOOKUP(K179,'Rate Sheet'!$D:$F,3,FALSE),0)</f>
        <v>0</v>
      </c>
      <c r="AA179" s="2">
        <f t="shared" si="2"/>
        <v>0</v>
      </c>
    </row>
    <row r="180" spans="1:28" x14ac:dyDescent="0.25">
      <c r="A180" t="s">
        <v>33</v>
      </c>
      <c r="B180" t="s">
        <v>781</v>
      </c>
      <c r="C180" t="s">
        <v>21</v>
      </c>
      <c r="D180" t="s">
        <v>781</v>
      </c>
      <c r="E180" t="s">
        <v>424</v>
      </c>
      <c r="F180" t="s">
        <v>782</v>
      </c>
      <c r="G180" t="s">
        <v>24</v>
      </c>
      <c r="H180" t="s">
        <v>783</v>
      </c>
      <c r="N180" t="s">
        <v>327</v>
      </c>
      <c r="X180" s="2">
        <f>IFERROR(VLOOKUP(I180,'Rate Sheet'!$D:$F,3,FALSE),0)</f>
        <v>0</v>
      </c>
      <c r="Y180" s="2">
        <f>IFERROR(VLOOKUP(J180,'Rate Sheet'!$D:$F,3,FALSE),0)</f>
        <v>0</v>
      </c>
      <c r="Z180" s="2">
        <f>IFERROR(VLOOKUP(K180,'Rate Sheet'!$D:$F,3,FALSE),0)</f>
        <v>0</v>
      </c>
      <c r="AA180" s="2">
        <f t="shared" si="2"/>
        <v>0</v>
      </c>
    </row>
    <row r="181" spans="1:28" x14ac:dyDescent="0.25">
      <c r="A181" t="s">
        <v>33</v>
      </c>
      <c r="B181" t="s">
        <v>784</v>
      </c>
      <c r="C181" t="s">
        <v>21</v>
      </c>
      <c r="D181" t="s">
        <v>784</v>
      </c>
      <c r="E181" t="s">
        <v>476</v>
      </c>
      <c r="F181" t="s">
        <v>785</v>
      </c>
      <c r="G181" t="s">
        <v>24</v>
      </c>
      <c r="H181" t="s">
        <v>786</v>
      </c>
      <c r="N181" t="s">
        <v>327</v>
      </c>
      <c r="X181" s="2">
        <f>IFERROR(VLOOKUP(I181,'Rate Sheet'!$D:$F,3,FALSE),0)</f>
        <v>0</v>
      </c>
      <c r="Y181" s="2">
        <f>IFERROR(VLOOKUP(J181,'Rate Sheet'!$D:$F,3,FALSE),0)</f>
        <v>0</v>
      </c>
      <c r="Z181" s="2">
        <f>IFERROR(VLOOKUP(K181,'Rate Sheet'!$D:$F,3,FALSE),0)</f>
        <v>0</v>
      </c>
      <c r="AA181" s="2">
        <f t="shared" si="2"/>
        <v>0</v>
      </c>
    </row>
    <row r="182" spans="1:28" x14ac:dyDescent="0.25">
      <c r="A182" t="s">
        <v>19</v>
      </c>
      <c r="B182" t="s">
        <v>787</v>
      </c>
      <c r="C182" t="s">
        <v>788</v>
      </c>
      <c r="D182" t="s">
        <v>787</v>
      </c>
      <c r="E182" t="s">
        <v>342</v>
      </c>
      <c r="F182" t="s">
        <v>343</v>
      </c>
      <c r="G182" t="s">
        <v>24</v>
      </c>
      <c r="H182" t="s">
        <v>789</v>
      </c>
      <c r="N182" t="s">
        <v>138</v>
      </c>
      <c r="X182" s="2">
        <f>IFERROR(VLOOKUP(I182,'Rate Sheet'!$D:$F,3,FALSE),0)</f>
        <v>0</v>
      </c>
      <c r="Y182" s="2">
        <f>IFERROR(VLOOKUP(J182,'Rate Sheet'!$D:$F,3,FALSE),0)</f>
        <v>0</v>
      </c>
      <c r="Z182" s="2">
        <f>IFERROR(VLOOKUP(K182,'Rate Sheet'!$D:$F,3,FALSE),0)</f>
        <v>0</v>
      </c>
      <c r="AA182" s="2">
        <f t="shared" si="2"/>
        <v>0</v>
      </c>
    </row>
    <row r="183" spans="1:28" x14ac:dyDescent="0.25">
      <c r="A183" t="s">
        <v>33</v>
      </c>
      <c r="B183" t="s">
        <v>790</v>
      </c>
      <c r="C183" t="s">
        <v>21</v>
      </c>
      <c r="D183" t="s">
        <v>790</v>
      </c>
      <c r="E183" t="s">
        <v>791</v>
      </c>
      <c r="F183" t="s">
        <v>792</v>
      </c>
      <c r="G183" t="s">
        <v>24</v>
      </c>
      <c r="H183" t="s">
        <v>793</v>
      </c>
      <c r="I183" t="s">
        <v>46</v>
      </c>
      <c r="N183" t="s">
        <v>794</v>
      </c>
      <c r="S183" t="s">
        <v>48</v>
      </c>
      <c r="V183" t="s">
        <v>5666</v>
      </c>
      <c r="W183" t="s">
        <v>1923</v>
      </c>
      <c r="X183" s="2">
        <f>IFERROR(VLOOKUP(I183,'Rate Sheet'!$D:$F,3,FALSE),0)</f>
        <v>14.333333333333334</v>
      </c>
      <c r="Y183" s="2">
        <f>IFERROR(VLOOKUP(J183,'Rate Sheet'!$D:$F,3,FALSE),0)</f>
        <v>0</v>
      </c>
      <c r="Z183" s="2">
        <f>IFERROR(VLOOKUP(K183,'Rate Sheet'!$D:$F,3,FALSE),0)</f>
        <v>0</v>
      </c>
      <c r="AA183" s="2">
        <f t="shared" si="2"/>
        <v>14.333333333333334</v>
      </c>
      <c r="AB183">
        <v>1</v>
      </c>
    </row>
    <row r="184" spans="1:28" x14ac:dyDescent="0.25">
      <c r="A184" t="s">
        <v>33</v>
      </c>
      <c r="B184" t="s">
        <v>795</v>
      </c>
      <c r="C184" t="s">
        <v>29</v>
      </c>
      <c r="D184" t="s">
        <v>795</v>
      </c>
      <c r="E184" t="s">
        <v>796</v>
      </c>
      <c r="F184" t="s">
        <v>797</v>
      </c>
      <c r="G184" t="s">
        <v>24</v>
      </c>
      <c r="H184" t="s">
        <v>798</v>
      </c>
      <c r="I184" t="s">
        <v>46</v>
      </c>
      <c r="N184" t="s">
        <v>190</v>
      </c>
      <c r="S184" t="s">
        <v>48</v>
      </c>
      <c r="V184" t="s">
        <v>5612</v>
      </c>
      <c r="W184" t="s">
        <v>5613</v>
      </c>
      <c r="X184" s="2">
        <f>IFERROR(VLOOKUP(I184,'Rate Sheet'!$D:$F,3,FALSE),0)</f>
        <v>14.333333333333334</v>
      </c>
      <c r="Y184" s="2">
        <f>IFERROR(VLOOKUP(J184,'Rate Sheet'!$D:$F,3,FALSE),0)</f>
        <v>0</v>
      </c>
      <c r="Z184" s="2">
        <f>IFERROR(VLOOKUP(K184,'Rate Sheet'!$D:$F,3,FALSE),0)</f>
        <v>0</v>
      </c>
      <c r="AA184" s="2">
        <f t="shared" si="2"/>
        <v>14.333333333333334</v>
      </c>
      <c r="AB184">
        <v>1</v>
      </c>
    </row>
    <row r="185" spans="1:28" x14ac:dyDescent="0.25">
      <c r="A185" t="s">
        <v>33</v>
      </c>
      <c r="B185" t="s">
        <v>799</v>
      </c>
      <c r="C185" t="s">
        <v>21</v>
      </c>
      <c r="D185" t="s">
        <v>799</v>
      </c>
      <c r="E185" t="s">
        <v>800</v>
      </c>
      <c r="F185" t="s">
        <v>801</v>
      </c>
      <c r="G185" t="s">
        <v>24</v>
      </c>
      <c r="H185" t="s">
        <v>802</v>
      </c>
      <c r="I185" t="s">
        <v>46</v>
      </c>
      <c r="N185" t="s">
        <v>803</v>
      </c>
      <c r="S185" t="s">
        <v>48</v>
      </c>
      <c r="V185" t="s">
        <v>5642</v>
      </c>
      <c r="W185" t="s">
        <v>484</v>
      </c>
      <c r="X185" s="2">
        <f>IFERROR(VLOOKUP(I185,'Rate Sheet'!$D:$F,3,FALSE),0)</f>
        <v>14.333333333333334</v>
      </c>
      <c r="Y185" s="2">
        <f>IFERROR(VLOOKUP(J185,'Rate Sheet'!$D:$F,3,FALSE),0)</f>
        <v>0</v>
      </c>
      <c r="Z185" s="2">
        <f>IFERROR(VLOOKUP(K185,'Rate Sheet'!$D:$F,3,FALSE),0)</f>
        <v>0</v>
      </c>
      <c r="AA185" s="2">
        <f t="shared" si="2"/>
        <v>14.333333333333334</v>
      </c>
      <c r="AB185">
        <v>1</v>
      </c>
    </row>
    <row r="186" spans="1:28" x14ac:dyDescent="0.25">
      <c r="A186" t="s">
        <v>33</v>
      </c>
      <c r="B186" t="s">
        <v>804</v>
      </c>
      <c r="C186" t="s">
        <v>21</v>
      </c>
      <c r="D186" t="s">
        <v>804</v>
      </c>
      <c r="E186" t="s">
        <v>805</v>
      </c>
      <c r="F186" t="s">
        <v>806</v>
      </c>
      <c r="G186" t="s">
        <v>24</v>
      </c>
      <c r="H186" t="s">
        <v>807</v>
      </c>
      <c r="I186" t="s">
        <v>46</v>
      </c>
      <c r="N186" t="s">
        <v>808</v>
      </c>
      <c r="S186" t="s">
        <v>48</v>
      </c>
      <c r="V186" t="s">
        <v>5667</v>
      </c>
      <c r="W186" t="s">
        <v>808</v>
      </c>
      <c r="X186" s="2">
        <f>IFERROR(VLOOKUP(I186,'Rate Sheet'!$D:$F,3,FALSE),0)</f>
        <v>14.333333333333334</v>
      </c>
      <c r="Y186" s="2">
        <f>IFERROR(VLOOKUP(J186,'Rate Sheet'!$D:$F,3,FALSE),0)</f>
        <v>0</v>
      </c>
      <c r="Z186" s="2">
        <f>IFERROR(VLOOKUP(K186,'Rate Sheet'!$D:$F,3,FALSE),0)</f>
        <v>0</v>
      </c>
      <c r="AA186" s="2">
        <f t="shared" si="2"/>
        <v>14.333333333333334</v>
      </c>
      <c r="AB186">
        <v>1</v>
      </c>
    </row>
    <row r="187" spans="1:28" x14ac:dyDescent="0.25">
      <c r="A187" t="s">
        <v>33</v>
      </c>
      <c r="B187" t="s">
        <v>809</v>
      </c>
      <c r="C187" t="s">
        <v>21</v>
      </c>
      <c r="D187" t="s">
        <v>809</v>
      </c>
      <c r="E187" t="s">
        <v>412</v>
      </c>
      <c r="F187" t="s">
        <v>810</v>
      </c>
      <c r="G187" t="s">
        <v>24</v>
      </c>
      <c r="H187" t="s">
        <v>811</v>
      </c>
      <c r="N187" t="s">
        <v>317</v>
      </c>
      <c r="X187" s="2">
        <f>IFERROR(VLOOKUP(I187,'Rate Sheet'!$D:$F,3,FALSE),0)</f>
        <v>0</v>
      </c>
      <c r="Y187" s="2">
        <f>IFERROR(VLOOKUP(J187,'Rate Sheet'!$D:$F,3,FALSE),0)</f>
        <v>0</v>
      </c>
      <c r="Z187" s="2">
        <f>IFERROR(VLOOKUP(K187,'Rate Sheet'!$D:$F,3,FALSE),0)</f>
        <v>0</v>
      </c>
      <c r="AA187" s="2">
        <f t="shared" si="2"/>
        <v>0</v>
      </c>
    </row>
    <row r="188" spans="1:28" x14ac:dyDescent="0.25">
      <c r="A188" t="s">
        <v>33</v>
      </c>
      <c r="B188" t="s">
        <v>812</v>
      </c>
      <c r="C188" t="s">
        <v>21</v>
      </c>
      <c r="D188" t="s">
        <v>812</v>
      </c>
      <c r="E188" t="s">
        <v>240</v>
      </c>
      <c r="F188" t="s">
        <v>813</v>
      </c>
      <c r="G188" t="s">
        <v>24</v>
      </c>
      <c r="H188" t="s">
        <v>814</v>
      </c>
      <c r="I188" t="s">
        <v>46</v>
      </c>
      <c r="N188" t="s">
        <v>181</v>
      </c>
      <c r="S188" t="s">
        <v>48</v>
      </c>
      <c r="V188" t="s">
        <v>5609</v>
      </c>
      <c r="W188" t="s">
        <v>181</v>
      </c>
      <c r="X188" s="2">
        <f>IFERROR(VLOOKUP(I188,'Rate Sheet'!$D:$F,3,FALSE),0)</f>
        <v>14.333333333333334</v>
      </c>
      <c r="Y188" s="2">
        <f>IFERROR(VLOOKUP(J188,'Rate Sheet'!$D:$F,3,FALSE),0)</f>
        <v>0</v>
      </c>
      <c r="Z188" s="2">
        <f>IFERROR(VLOOKUP(K188,'Rate Sheet'!$D:$F,3,FALSE),0)</f>
        <v>0</v>
      </c>
      <c r="AA188" s="2">
        <f t="shared" si="2"/>
        <v>14.333333333333334</v>
      </c>
      <c r="AB188">
        <v>1</v>
      </c>
    </row>
    <row r="189" spans="1:28" x14ac:dyDescent="0.25">
      <c r="A189" t="s">
        <v>33</v>
      </c>
      <c r="B189" t="s">
        <v>815</v>
      </c>
      <c r="C189" t="s">
        <v>21</v>
      </c>
      <c r="D189" t="s">
        <v>815</v>
      </c>
      <c r="E189" t="s">
        <v>816</v>
      </c>
      <c r="F189" t="s">
        <v>817</v>
      </c>
      <c r="G189" t="s">
        <v>24</v>
      </c>
      <c r="H189" t="s">
        <v>818</v>
      </c>
      <c r="I189" t="s">
        <v>46</v>
      </c>
      <c r="N189" t="s">
        <v>819</v>
      </c>
      <c r="S189" t="s">
        <v>48</v>
      </c>
      <c r="V189" t="s">
        <v>5668</v>
      </c>
      <c r="W189" t="s">
        <v>5669</v>
      </c>
      <c r="X189" s="2">
        <f>IFERROR(VLOOKUP(I189,'Rate Sheet'!$D:$F,3,FALSE),0)</f>
        <v>14.333333333333334</v>
      </c>
      <c r="Y189" s="2">
        <f>IFERROR(VLOOKUP(J189,'Rate Sheet'!$D:$F,3,FALSE),0)</f>
        <v>0</v>
      </c>
      <c r="Z189" s="2">
        <f>IFERROR(VLOOKUP(K189,'Rate Sheet'!$D:$F,3,FALSE),0)</f>
        <v>0</v>
      </c>
      <c r="AA189" s="2">
        <f t="shared" si="2"/>
        <v>14.333333333333334</v>
      </c>
      <c r="AB189">
        <v>1</v>
      </c>
    </row>
    <row r="190" spans="1:28" x14ac:dyDescent="0.25">
      <c r="A190" t="s">
        <v>33</v>
      </c>
      <c r="B190" t="s">
        <v>820</v>
      </c>
      <c r="C190" t="s">
        <v>21</v>
      </c>
      <c r="D190" t="s">
        <v>820</v>
      </c>
      <c r="E190" t="s">
        <v>821</v>
      </c>
      <c r="F190" t="s">
        <v>822</v>
      </c>
      <c r="G190" t="s">
        <v>24</v>
      </c>
      <c r="H190" t="s">
        <v>823</v>
      </c>
      <c r="I190" t="s">
        <v>73</v>
      </c>
      <c r="N190" t="s">
        <v>824</v>
      </c>
      <c r="S190" t="s">
        <v>75</v>
      </c>
      <c r="V190" t="s">
        <v>5670</v>
      </c>
      <c r="W190" t="s">
        <v>5671</v>
      </c>
      <c r="X190" s="2">
        <f>IFERROR(VLOOKUP(I190,'Rate Sheet'!$D:$F,3,FALSE),0)</f>
        <v>8.6983333333333324</v>
      </c>
      <c r="Y190" s="2">
        <f>IFERROR(VLOOKUP(J190,'Rate Sheet'!$D:$F,3,FALSE),0)</f>
        <v>0</v>
      </c>
      <c r="Z190" s="2">
        <f>IFERROR(VLOOKUP(K190,'Rate Sheet'!$D:$F,3,FALSE),0)</f>
        <v>0</v>
      </c>
      <c r="AA190" s="2">
        <f t="shared" si="2"/>
        <v>8.6983333333333324</v>
      </c>
      <c r="AB190">
        <v>1</v>
      </c>
    </row>
    <row r="191" spans="1:28" x14ac:dyDescent="0.25">
      <c r="A191" t="s">
        <v>33</v>
      </c>
      <c r="B191" t="s">
        <v>825</v>
      </c>
      <c r="C191" t="s">
        <v>21</v>
      </c>
      <c r="D191" t="s">
        <v>825</v>
      </c>
      <c r="E191" t="s">
        <v>610</v>
      </c>
      <c r="F191" t="s">
        <v>826</v>
      </c>
      <c r="G191" t="s">
        <v>24</v>
      </c>
      <c r="H191" t="s">
        <v>827</v>
      </c>
      <c r="N191" t="s">
        <v>185</v>
      </c>
      <c r="X191" s="2">
        <f>IFERROR(VLOOKUP(I191,'Rate Sheet'!$D:$F,3,FALSE),0)</f>
        <v>0</v>
      </c>
      <c r="Y191" s="2">
        <f>IFERROR(VLOOKUP(J191,'Rate Sheet'!$D:$F,3,FALSE),0)</f>
        <v>0</v>
      </c>
      <c r="Z191" s="2">
        <f>IFERROR(VLOOKUP(K191,'Rate Sheet'!$D:$F,3,FALSE),0)</f>
        <v>0</v>
      </c>
      <c r="AA191" s="2">
        <f t="shared" si="2"/>
        <v>0</v>
      </c>
    </row>
    <row r="192" spans="1:28" x14ac:dyDescent="0.25">
      <c r="A192" t="s">
        <v>33</v>
      </c>
      <c r="B192" t="s">
        <v>828</v>
      </c>
      <c r="C192" t="s">
        <v>29</v>
      </c>
      <c r="D192" t="s">
        <v>828</v>
      </c>
      <c r="E192" t="s">
        <v>519</v>
      </c>
      <c r="F192" t="s">
        <v>829</v>
      </c>
      <c r="G192" t="s">
        <v>24</v>
      </c>
      <c r="H192" t="s">
        <v>830</v>
      </c>
      <c r="I192" t="s">
        <v>46</v>
      </c>
      <c r="N192" t="s">
        <v>246</v>
      </c>
      <c r="S192" t="s">
        <v>48</v>
      </c>
      <c r="V192" t="s">
        <v>5661</v>
      </c>
      <c r="W192" t="s">
        <v>246</v>
      </c>
      <c r="X192" s="2">
        <f>IFERROR(VLOOKUP(I192,'Rate Sheet'!$D:$F,3,FALSE),0)</f>
        <v>14.333333333333334</v>
      </c>
      <c r="Y192" s="2">
        <f>IFERROR(VLOOKUP(J192,'Rate Sheet'!$D:$F,3,FALSE),0)</f>
        <v>0</v>
      </c>
      <c r="Z192" s="2">
        <f>IFERROR(VLOOKUP(K192,'Rate Sheet'!$D:$F,3,FALSE),0)</f>
        <v>0</v>
      </c>
      <c r="AA192" s="2">
        <f t="shared" si="2"/>
        <v>14.333333333333334</v>
      </c>
      <c r="AB192">
        <v>1</v>
      </c>
    </row>
    <row r="193" spans="1:28" x14ac:dyDescent="0.25">
      <c r="A193" t="s">
        <v>33</v>
      </c>
      <c r="B193" t="s">
        <v>831</v>
      </c>
      <c r="C193" t="s">
        <v>21</v>
      </c>
      <c r="D193" t="s">
        <v>831</v>
      </c>
      <c r="E193" t="s">
        <v>284</v>
      </c>
      <c r="F193" t="s">
        <v>832</v>
      </c>
      <c r="G193" t="s">
        <v>24</v>
      </c>
      <c r="H193" t="s">
        <v>833</v>
      </c>
      <c r="I193" t="s">
        <v>46</v>
      </c>
      <c r="N193" t="s">
        <v>38</v>
      </c>
      <c r="S193" t="s">
        <v>48</v>
      </c>
      <c r="V193" t="s">
        <v>5582</v>
      </c>
      <c r="W193" t="s">
        <v>5583</v>
      </c>
      <c r="X193" s="2">
        <f>IFERROR(VLOOKUP(I193,'Rate Sheet'!$D:$F,3,FALSE),0)</f>
        <v>14.333333333333334</v>
      </c>
      <c r="Y193" s="2">
        <f>IFERROR(VLOOKUP(J193,'Rate Sheet'!$D:$F,3,FALSE),0)</f>
        <v>0</v>
      </c>
      <c r="Z193" s="2">
        <f>IFERROR(VLOOKUP(K193,'Rate Sheet'!$D:$F,3,FALSE),0)</f>
        <v>0</v>
      </c>
      <c r="AA193" s="2">
        <f t="shared" si="2"/>
        <v>14.333333333333334</v>
      </c>
      <c r="AB193">
        <v>1</v>
      </c>
    </row>
    <row r="194" spans="1:28" x14ac:dyDescent="0.25">
      <c r="A194" t="s">
        <v>33</v>
      </c>
      <c r="B194" t="s">
        <v>834</v>
      </c>
      <c r="C194" t="s">
        <v>21</v>
      </c>
      <c r="D194" t="s">
        <v>834</v>
      </c>
      <c r="E194" t="s">
        <v>835</v>
      </c>
      <c r="F194" t="s">
        <v>836</v>
      </c>
      <c r="G194" t="s">
        <v>24</v>
      </c>
      <c r="H194" t="s">
        <v>837</v>
      </c>
      <c r="N194" t="s">
        <v>53</v>
      </c>
      <c r="X194" s="2">
        <f>IFERROR(VLOOKUP(I194,'Rate Sheet'!$D:$F,3,FALSE),0)</f>
        <v>0</v>
      </c>
      <c r="Y194" s="2">
        <f>IFERROR(VLOOKUP(J194,'Rate Sheet'!$D:$F,3,FALSE),0)</f>
        <v>0</v>
      </c>
      <c r="Z194" s="2">
        <f>IFERROR(VLOOKUP(K194,'Rate Sheet'!$D:$F,3,FALSE),0)</f>
        <v>0</v>
      </c>
      <c r="AA194" s="2">
        <f t="shared" si="2"/>
        <v>0</v>
      </c>
    </row>
    <row r="195" spans="1:28" x14ac:dyDescent="0.25">
      <c r="A195" t="s">
        <v>33</v>
      </c>
      <c r="B195" t="s">
        <v>838</v>
      </c>
      <c r="C195" t="s">
        <v>21</v>
      </c>
      <c r="D195" t="s">
        <v>838</v>
      </c>
      <c r="E195" t="s">
        <v>839</v>
      </c>
      <c r="F195" t="s">
        <v>840</v>
      </c>
      <c r="G195" t="s">
        <v>24</v>
      </c>
      <c r="H195" t="s">
        <v>841</v>
      </c>
      <c r="I195" t="s">
        <v>73</v>
      </c>
      <c r="N195" t="s">
        <v>47</v>
      </c>
      <c r="S195" t="s">
        <v>75</v>
      </c>
      <c r="V195" t="s">
        <v>5578</v>
      </c>
      <c r="W195" t="s">
        <v>5579</v>
      </c>
      <c r="X195" s="2">
        <f>IFERROR(VLOOKUP(I195,'Rate Sheet'!$D:$F,3,FALSE),0)</f>
        <v>8.6983333333333324</v>
      </c>
      <c r="Y195" s="2">
        <f>IFERROR(VLOOKUP(J195,'Rate Sheet'!$D:$F,3,FALSE),0)</f>
        <v>0</v>
      </c>
      <c r="Z195" s="2">
        <f>IFERROR(VLOOKUP(K195,'Rate Sheet'!$D:$F,3,FALSE),0)</f>
        <v>0</v>
      </c>
      <c r="AA195" s="2">
        <f t="shared" ref="AA195:AA256" si="3">SUM(X195:Z195)</f>
        <v>8.6983333333333324</v>
      </c>
      <c r="AB195">
        <v>1</v>
      </c>
    </row>
    <row r="196" spans="1:28" x14ac:dyDescent="0.25">
      <c r="A196" t="s">
        <v>33</v>
      </c>
      <c r="B196" t="s">
        <v>842</v>
      </c>
      <c r="C196" t="s">
        <v>29</v>
      </c>
      <c r="D196" t="s">
        <v>842</v>
      </c>
      <c r="E196" t="s">
        <v>710</v>
      </c>
      <c r="F196" t="s">
        <v>31</v>
      </c>
      <c r="G196" t="s">
        <v>24</v>
      </c>
      <c r="H196" t="s">
        <v>843</v>
      </c>
      <c r="L196" t="s">
        <v>26</v>
      </c>
      <c r="N196" t="s">
        <v>27</v>
      </c>
      <c r="X196" s="2">
        <f>IFERROR(VLOOKUP(I196,'Rate Sheet'!$D:$F,3,FALSE),0)</f>
        <v>0</v>
      </c>
      <c r="Y196" s="2">
        <f>IFERROR(VLOOKUP(J196,'Rate Sheet'!$D:$F,3,FALSE),0)</f>
        <v>0</v>
      </c>
      <c r="Z196" s="2">
        <f>IFERROR(VLOOKUP(K196,'Rate Sheet'!$D:$F,3,FALSE),0)</f>
        <v>0</v>
      </c>
      <c r="AA196" s="2">
        <f t="shared" si="3"/>
        <v>0</v>
      </c>
    </row>
    <row r="197" spans="1:28" x14ac:dyDescent="0.25">
      <c r="A197" t="s">
        <v>33</v>
      </c>
      <c r="B197" t="s">
        <v>844</v>
      </c>
      <c r="C197" t="s">
        <v>21</v>
      </c>
      <c r="D197" t="s">
        <v>844</v>
      </c>
      <c r="E197" t="s">
        <v>845</v>
      </c>
      <c r="F197" t="s">
        <v>846</v>
      </c>
      <c r="G197" t="s">
        <v>24</v>
      </c>
      <c r="H197" t="s">
        <v>847</v>
      </c>
      <c r="N197" t="s">
        <v>185</v>
      </c>
      <c r="X197" s="2">
        <f>IFERROR(VLOOKUP(I197,'Rate Sheet'!$D:$F,3,FALSE),0)</f>
        <v>0</v>
      </c>
      <c r="Y197" s="2">
        <f>IFERROR(VLOOKUP(J197,'Rate Sheet'!$D:$F,3,FALSE),0)</f>
        <v>0</v>
      </c>
      <c r="Z197" s="2">
        <f>IFERROR(VLOOKUP(K197,'Rate Sheet'!$D:$F,3,FALSE),0)</f>
        <v>0</v>
      </c>
      <c r="AA197" s="2">
        <f t="shared" si="3"/>
        <v>0</v>
      </c>
    </row>
    <row r="198" spans="1:28" x14ac:dyDescent="0.25">
      <c r="A198" t="s">
        <v>33</v>
      </c>
      <c r="B198" t="s">
        <v>848</v>
      </c>
      <c r="C198" t="s">
        <v>21</v>
      </c>
      <c r="D198" t="s">
        <v>848</v>
      </c>
      <c r="E198" t="s">
        <v>849</v>
      </c>
      <c r="F198" t="s">
        <v>850</v>
      </c>
      <c r="G198" t="s">
        <v>24</v>
      </c>
      <c r="H198" t="s">
        <v>851</v>
      </c>
      <c r="I198" t="s">
        <v>46</v>
      </c>
      <c r="N198" t="s">
        <v>317</v>
      </c>
      <c r="S198" t="s">
        <v>48</v>
      </c>
      <c r="V198" t="s">
        <v>5625</v>
      </c>
      <c r="W198" t="s">
        <v>317</v>
      </c>
      <c r="X198" s="2">
        <f>IFERROR(VLOOKUP(I198,'Rate Sheet'!$D:$F,3,FALSE),0)</f>
        <v>14.333333333333334</v>
      </c>
      <c r="Y198" s="2">
        <f>IFERROR(VLOOKUP(J198,'Rate Sheet'!$D:$F,3,FALSE),0)</f>
        <v>0</v>
      </c>
      <c r="Z198" s="2">
        <f>IFERROR(VLOOKUP(K198,'Rate Sheet'!$D:$F,3,FALSE),0)</f>
        <v>0</v>
      </c>
      <c r="AA198" s="2">
        <f t="shared" si="3"/>
        <v>14.333333333333334</v>
      </c>
      <c r="AB198">
        <v>1</v>
      </c>
    </row>
    <row r="199" spans="1:28" x14ac:dyDescent="0.25">
      <c r="A199" t="s">
        <v>33</v>
      </c>
      <c r="B199" t="s">
        <v>852</v>
      </c>
      <c r="C199" t="s">
        <v>21</v>
      </c>
      <c r="D199" t="s">
        <v>852</v>
      </c>
      <c r="E199" t="s">
        <v>853</v>
      </c>
      <c r="F199" t="s">
        <v>854</v>
      </c>
      <c r="G199" t="s">
        <v>24</v>
      </c>
      <c r="H199" t="s">
        <v>855</v>
      </c>
      <c r="I199" t="s">
        <v>73</v>
      </c>
      <c r="N199" t="s">
        <v>856</v>
      </c>
      <c r="S199" t="s">
        <v>75</v>
      </c>
      <c r="V199" t="s">
        <v>5672</v>
      </c>
      <c r="W199" t="s">
        <v>2329</v>
      </c>
      <c r="X199" s="2">
        <f>IFERROR(VLOOKUP(I199,'Rate Sheet'!$D:$F,3,FALSE),0)</f>
        <v>8.6983333333333324</v>
      </c>
      <c r="Y199" s="2">
        <f>IFERROR(VLOOKUP(J199,'Rate Sheet'!$D:$F,3,FALSE),0)</f>
        <v>0</v>
      </c>
      <c r="Z199" s="2">
        <f>IFERROR(VLOOKUP(K199,'Rate Sheet'!$D:$F,3,FALSE),0)</f>
        <v>0</v>
      </c>
      <c r="AA199" s="2">
        <f t="shared" si="3"/>
        <v>8.6983333333333324</v>
      </c>
      <c r="AB199">
        <v>1</v>
      </c>
    </row>
    <row r="200" spans="1:28" x14ac:dyDescent="0.25">
      <c r="A200" t="s">
        <v>33</v>
      </c>
      <c r="B200" t="s">
        <v>857</v>
      </c>
      <c r="C200" t="s">
        <v>29</v>
      </c>
      <c r="D200" t="s">
        <v>857</v>
      </c>
      <c r="E200" t="s">
        <v>858</v>
      </c>
      <c r="F200" t="s">
        <v>859</v>
      </c>
      <c r="G200" t="s">
        <v>24</v>
      </c>
      <c r="H200" t="s">
        <v>860</v>
      </c>
      <c r="N200" t="s">
        <v>861</v>
      </c>
      <c r="X200" s="2">
        <f>IFERROR(VLOOKUP(I200,'Rate Sheet'!$D:$F,3,FALSE),0)</f>
        <v>0</v>
      </c>
      <c r="Y200" s="2">
        <f>IFERROR(VLOOKUP(J200,'Rate Sheet'!$D:$F,3,FALSE),0)</f>
        <v>0</v>
      </c>
      <c r="Z200" s="2">
        <f>IFERROR(VLOOKUP(K200,'Rate Sheet'!$D:$F,3,FALSE),0)</f>
        <v>0</v>
      </c>
      <c r="AA200" s="2">
        <f t="shared" si="3"/>
        <v>0</v>
      </c>
    </row>
    <row r="201" spans="1:28" x14ac:dyDescent="0.25">
      <c r="A201" t="s">
        <v>33</v>
      </c>
      <c r="B201" t="s">
        <v>862</v>
      </c>
      <c r="C201" t="s">
        <v>21</v>
      </c>
      <c r="D201" t="s">
        <v>863</v>
      </c>
      <c r="E201" t="s">
        <v>864</v>
      </c>
      <c r="F201" t="s">
        <v>865</v>
      </c>
      <c r="G201" t="s">
        <v>24</v>
      </c>
      <c r="H201" t="s">
        <v>866</v>
      </c>
      <c r="I201" t="s">
        <v>46</v>
      </c>
      <c r="N201" t="s">
        <v>181</v>
      </c>
      <c r="S201" t="s">
        <v>48</v>
      </c>
      <c r="V201" t="s">
        <v>5609</v>
      </c>
      <c r="W201" t="s">
        <v>181</v>
      </c>
      <c r="X201" s="2">
        <f>IFERROR(VLOOKUP(I201,'Rate Sheet'!$D:$F,3,FALSE),0)</f>
        <v>14.333333333333334</v>
      </c>
      <c r="Y201" s="2">
        <f>IFERROR(VLOOKUP(J201,'Rate Sheet'!$D:$F,3,FALSE),0)</f>
        <v>0</v>
      </c>
      <c r="Z201" s="2">
        <f>IFERROR(VLOOKUP(K201,'Rate Sheet'!$D:$F,3,FALSE),0)</f>
        <v>0</v>
      </c>
      <c r="AA201" s="2">
        <f t="shared" si="3"/>
        <v>14.333333333333334</v>
      </c>
      <c r="AB201">
        <v>1</v>
      </c>
    </row>
    <row r="202" spans="1:28" x14ac:dyDescent="0.25">
      <c r="A202" t="s">
        <v>33</v>
      </c>
      <c r="B202" t="s">
        <v>867</v>
      </c>
      <c r="C202" t="s">
        <v>21</v>
      </c>
      <c r="D202" t="s">
        <v>867</v>
      </c>
      <c r="E202" t="s">
        <v>868</v>
      </c>
      <c r="F202" t="s">
        <v>869</v>
      </c>
      <c r="G202" t="s">
        <v>24</v>
      </c>
      <c r="H202" t="s">
        <v>870</v>
      </c>
      <c r="I202" t="s">
        <v>46</v>
      </c>
      <c r="N202" t="s">
        <v>349</v>
      </c>
      <c r="S202" t="s">
        <v>48</v>
      </c>
      <c r="V202" t="s">
        <v>5630</v>
      </c>
      <c r="W202" t="s">
        <v>5631</v>
      </c>
      <c r="X202" s="2">
        <f>IFERROR(VLOOKUP(I202,'Rate Sheet'!$D:$F,3,FALSE),0)</f>
        <v>14.333333333333334</v>
      </c>
      <c r="Y202" s="2">
        <f>IFERROR(VLOOKUP(J202,'Rate Sheet'!$D:$F,3,FALSE),0)</f>
        <v>0</v>
      </c>
      <c r="Z202" s="2">
        <f>IFERROR(VLOOKUP(K202,'Rate Sheet'!$D:$F,3,FALSE),0)</f>
        <v>0</v>
      </c>
      <c r="AA202" s="2">
        <f t="shared" si="3"/>
        <v>14.333333333333334</v>
      </c>
      <c r="AB202">
        <v>1</v>
      </c>
    </row>
    <row r="203" spans="1:28" x14ac:dyDescent="0.25">
      <c r="A203" t="s">
        <v>33</v>
      </c>
      <c r="B203" t="s">
        <v>871</v>
      </c>
      <c r="C203" t="s">
        <v>21</v>
      </c>
      <c r="D203" t="s">
        <v>871</v>
      </c>
      <c r="E203" t="s">
        <v>131</v>
      </c>
      <c r="F203" t="s">
        <v>872</v>
      </c>
      <c r="G203" t="s">
        <v>24</v>
      </c>
      <c r="H203" t="s">
        <v>873</v>
      </c>
      <c r="N203" t="s">
        <v>861</v>
      </c>
      <c r="X203" s="2">
        <f>IFERROR(VLOOKUP(I203,'Rate Sheet'!$D:$F,3,FALSE),0)</f>
        <v>0</v>
      </c>
      <c r="Y203" s="2">
        <f>IFERROR(VLOOKUP(J203,'Rate Sheet'!$D:$F,3,FALSE),0)</f>
        <v>0</v>
      </c>
      <c r="Z203" s="2">
        <f>IFERROR(VLOOKUP(K203,'Rate Sheet'!$D:$F,3,FALSE),0)</f>
        <v>0</v>
      </c>
      <c r="AA203" s="2">
        <f t="shared" si="3"/>
        <v>0</v>
      </c>
    </row>
    <row r="204" spans="1:28" x14ac:dyDescent="0.25">
      <c r="A204" t="s">
        <v>33</v>
      </c>
      <c r="B204" t="s">
        <v>874</v>
      </c>
      <c r="C204" t="s">
        <v>21</v>
      </c>
      <c r="D204" t="s">
        <v>875</v>
      </c>
      <c r="E204" t="s">
        <v>876</v>
      </c>
      <c r="F204" t="s">
        <v>311</v>
      </c>
      <c r="G204" t="s">
        <v>24</v>
      </c>
      <c r="H204" t="s">
        <v>877</v>
      </c>
      <c r="N204" t="s">
        <v>878</v>
      </c>
      <c r="X204" s="2">
        <f>IFERROR(VLOOKUP(I204,'Rate Sheet'!$D:$F,3,FALSE),0)</f>
        <v>0</v>
      </c>
      <c r="Y204" s="2">
        <f>IFERROR(VLOOKUP(J204,'Rate Sheet'!$D:$F,3,FALSE),0)</f>
        <v>0</v>
      </c>
      <c r="Z204" s="2">
        <f>IFERROR(VLOOKUP(K204,'Rate Sheet'!$D:$F,3,FALSE),0)</f>
        <v>0</v>
      </c>
      <c r="AA204" s="2">
        <f t="shared" si="3"/>
        <v>0</v>
      </c>
    </row>
    <row r="205" spans="1:28" x14ac:dyDescent="0.25">
      <c r="A205" t="s">
        <v>33</v>
      </c>
      <c r="B205" t="s">
        <v>879</v>
      </c>
      <c r="C205" t="s">
        <v>21</v>
      </c>
      <c r="D205" t="s">
        <v>879</v>
      </c>
      <c r="E205" t="s">
        <v>187</v>
      </c>
      <c r="F205" t="s">
        <v>880</v>
      </c>
      <c r="G205" t="s">
        <v>24</v>
      </c>
      <c r="H205" t="s">
        <v>881</v>
      </c>
      <c r="I205" t="s">
        <v>882</v>
      </c>
      <c r="N205" t="s">
        <v>883</v>
      </c>
      <c r="S205" t="s">
        <v>884</v>
      </c>
      <c r="V205" t="s">
        <v>5673</v>
      </c>
      <c r="W205" t="s">
        <v>5674</v>
      </c>
      <c r="X205" s="2">
        <f>IFERROR(VLOOKUP(I205,'Rate Sheet'!$D:$F,3,FALSE),0)</f>
        <v>35.979166666666664</v>
      </c>
      <c r="Y205" s="2">
        <f>IFERROR(VLOOKUP(J205,'Rate Sheet'!$D:$F,3,FALSE),0)</f>
        <v>0</v>
      </c>
      <c r="Z205" s="2">
        <f>IFERROR(VLOOKUP(K205,'Rate Sheet'!$D:$F,3,FALSE),0)</f>
        <v>0</v>
      </c>
      <c r="AA205" s="2">
        <f t="shared" si="3"/>
        <v>35.979166666666664</v>
      </c>
      <c r="AB205">
        <v>1</v>
      </c>
    </row>
    <row r="206" spans="1:28" x14ac:dyDescent="0.25">
      <c r="A206" t="s">
        <v>33</v>
      </c>
      <c r="B206" t="s">
        <v>885</v>
      </c>
      <c r="C206" t="s">
        <v>21</v>
      </c>
      <c r="D206" t="s">
        <v>885</v>
      </c>
      <c r="E206" t="s">
        <v>886</v>
      </c>
      <c r="F206" t="s">
        <v>887</v>
      </c>
      <c r="G206" t="s">
        <v>24</v>
      </c>
      <c r="H206" t="s">
        <v>888</v>
      </c>
      <c r="I206" t="s">
        <v>73</v>
      </c>
      <c r="N206" t="s">
        <v>181</v>
      </c>
      <c r="S206" t="s">
        <v>75</v>
      </c>
      <c r="V206" t="s">
        <v>5609</v>
      </c>
      <c r="W206" t="s">
        <v>181</v>
      </c>
      <c r="X206" s="2">
        <f>IFERROR(VLOOKUP(I206,'Rate Sheet'!$D:$F,3,FALSE),0)</f>
        <v>8.6983333333333324</v>
      </c>
      <c r="Y206" s="2">
        <f>IFERROR(VLOOKUP(J206,'Rate Sheet'!$D:$F,3,FALSE),0)</f>
        <v>0</v>
      </c>
      <c r="Z206" s="2">
        <f>IFERROR(VLOOKUP(K206,'Rate Sheet'!$D:$F,3,FALSE),0)</f>
        <v>0</v>
      </c>
      <c r="AA206" s="2">
        <f t="shared" si="3"/>
        <v>8.6983333333333324</v>
      </c>
      <c r="AB206">
        <v>1</v>
      </c>
    </row>
    <row r="207" spans="1:28" x14ac:dyDescent="0.25">
      <c r="A207" t="s">
        <v>33</v>
      </c>
      <c r="B207" t="s">
        <v>889</v>
      </c>
      <c r="C207" t="s">
        <v>21</v>
      </c>
      <c r="D207" t="s">
        <v>889</v>
      </c>
      <c r="E207" t="s">
        <v>890</v>
      </c>
      <c r="F207" t="s">
        <v>891</v>
      </c>
      <c r="G207" t="s">
        <v>24</v>
      </c>
      <c r="H207" t="s">
        <v>892</v>
      </c>
      <c r="I207" t="s">
        <v>46</v>
      </c>
      <c r="N207" t="s">
        <v>507</v>
      </c>
      <c r="S207" t="s">
        <v>48</v>
      </c>
      <c r="V207" t="s">
        <v>5645</v>
      </c>
      <c r="W207" t="s">
        <v>507</v>
      </c>
      <c r="X207" s="2">
        <f>IFERROR(VLOOKUP(I207,'Rate Sheet'!$D:$F,3,FALSE),0)</f>
        <v>14.333333333333334</v>
      </c>
      <c r="Y207" s="2">
        <f>IFERROR(VLOOKUP(J207,'Rate Sheet'!$D:$F,3,FALSE),0)</f>
        <v>0</v>
      </c>
      <c r="Z207" s="2">
        <f>IFERROR(VLOOKUP(K207,'Rate Sheet'!$D:$F,3,FALSE),0)</f>
        <v>0</v>
      </c>
      <c r="AA207" s="2">
        <f t="shared" si="3"/>
        <v>14.333333333333334</v>
      </c>
      <c r="AB207">
        <v>1</v>
      </c>
    </row>
    <row r="208" spans="1:28" x14ac:dyDescent="0.25">
      <c r="A208" t="s">
        <v>33</v>
      </c>
      <c r="B208" t="s">
        <v>893</v>
      </c>
      <c r="C208" t="s">
        <v>21</v>
      </c>
      <c r="D208" t="s">
        <v>893</v>
      </c>
      <c r="E208" t="s">
        <v>894</v>
      </c>
      <c r="F208" t="s">
        <v>895</v>
      </c>
      <c r="G208" t="s">
        <v>24</v>
      </c>
      <c r="H208" t="s">
        <v>896</v>
      </c>
      <c r="N208" t="s">
        <v>47</v>
      </c>
      <c r="X208" s="2">
        <f>IFERROR(VLOOKUP(I208,'Rate Sheet'!$D:$F,3,FALSE),0)</f>
        <v>0</v>
      </c>
      <c r="Y208" s="2">
        <f>IFERROR(VLOOKUP(J208,'Rate Sheet'!$D:$F,3,FALSE),0)</f>
        <v>0</v>
      </c>
      <c r="Z208" s="2">
        <f>IFERROR(VLOOKUP(K208,'Rate Sheet'!$D:$F,3,FALSE),0)</f>
        <v>0</v>
      </c>
      <c r="AA208" s="2">
        <f t="shared" si="3"/>
        <v>0</v>
      </c>
    </row>
    <row r="209" spans="1:28" x14ac:dyDescent="0.25">
      <c r="A209" t="s">
        <v>19</v>
      </c>
      <c r="B209" t="s">
        <v>902</v>
      </c>
      <c r="C209" t="s">
        <v>903</v>
      </c>
      <c r="D209" t="s">
        <v>902</v>
      </c>
      <c r="E209" t="s">
        <v>898</v>
      </c>
      <c r="F209" t="s">
        <v>899</v>
      </c>
      <c r="G209" t="s">
        <v>904</v>
      </c>
      <c r="H209" t="s">
        <v>905</v>
      </c>
      <c r="N209" t="s">
        <v>901</v>
      </c>
      <c r="X209" s="2">
        <f>IFERROR(VLOOKUP(I209,'Rate Sheet'!$D:$F,3,FALSE),0)</f>
        <v>0</v>
      </c>
      <c r="Y209" s="2">
        <f>IFERROR(VLOOKUP(J209,'Rate Sheet'!$D:$F,3,FALSE),0)</f>
        <v>0</v>
      </c>
      <c r="Z209" s="2">
        <f>IFERROR(VLOOKUP(K209,'Rate Sheet'!$D:$F,3,FALSE),0)</f>
        <v>0</v>
      </c>
      <c r="AA209" s="2">
        <f t="shared" si="3"/>
        <v>0</v>
      </c>
    </row>
    <row r="210" spans="1:28" x14ac:dyDescent="0.25">
      <c r="A210" t="s">
        <v>33</v>
      </c>
      <c r="B210" t="s">
        <v>906</v>
      </c>
      <c r="C210" t="s">
        <v>21</v>
      </c>
      <c r="D210" t="s">
        <v>906</v>
      </c>
      <c r="E210" t="s">
        <v>907</v>
      </c>
      <c r="F210" t="s">
        <v>908</v>
      </c>
      <c r="G210" t="s">
        <v>24</v>
      </c>
      <c r="H210" t="s">
        <v>909</v>
      </c>
      <c r="I210" t="s">
        <v>73</v>
      </c>
      <c r="N210" t="s">
        <v>207</v>
      </c>
      <c r="S210" t="s">
        <v>75</v>
      </c>
      <c r="V210" t="s">
        <v>5634</v>
      </c>
      <c r="W210" t="s">
        <v>207</v>
      </c>
      <c r="X210" s="2">
        <f>IFERROR(VLOOKUP(I210,'Rate Sheet'!$D:$F,3,FALSE),0)</f>
        <v>8.6983333333333324</v>
      </c>
      <c r="Y210" s="2">
        <f>IFERROR(VLOOKUP(J210,'Rate Sheet'!$D:$F,3,FALSE),0)</f>
        <v>0</v>
      </c>
      <c r="Z210" s="2">
        <f>IFERROR(VLOOKUP(K210,'Rate Sheet'!$D:$F,3,FALSE),0)</f>
        <v>0</v>
      </c>
      <c r="AA210" s="2">
        <f t="shared" si="3"/>
        <v>8.6983333333333324</v>
      </c>
      <c r="AB210">
        <v>1</v>
      </c>
    </row>
    <row r="211" spans="1:28" x14ac:dyDescent="0.25">
      <c r="A211" t="s">
        <v>33</v>
      </c>
      <c r="B211" t="s">
        <v>910</v>
      </c>
      <c r="C211" t="s">
        <v>21</v>
      </c>
      <c r="D211" t="s">
        <v>910</v>
      </c>
      <c r="E211" t="s">
        <v>911</v>
      </c>
      <c r="F211" t="s">
        <v>912</v>
      </c>
      <c r="G211" t="s">
        <v>24</v>
      </c>
      <c r="H211" t="s">
        <v>913</v>
      </c>
      <c r="N211" t="s">
        <v>914</v>
      </c>
      <c r="X211" s="2">
        <f>IFERROR(VLOOKUP(I211,'Rate Sheet'!$D:$F,3,FALSE),0)</f>
        <v>0</v>
      </c>
      <c r="Y211" s="2">
        <f>IFERROR(VLOOKUP(J211,'Rate Sheet'!$D:$F,3,FALSE),0)</f>
        <v>0</v>
      </c>
      <c r="Z211" s="2">
        <f>IFERROR(VLOOKUP(K211,'Rate Sheet'!$D:$F,3,FALSE),0)</f>
        <v>0</v>
      </c>
      <c r="AA211" s="2">
        <f t="shared" si="3"/>
        <v>0</v>
      </c>
    </row>
    <row r="212" spans="1:28" x14ac:dyDescent="0.25">
      <c r="A212" t="s">
        <v>33</v>
      </c>
      <c r="B212" t="s">
        <v>915</v>
      </c>
      <c r="C212" t="s">
        <v>21</v>
      </c>
      <c r="D212" t="s">
        <v>915</v>
      </c>
      <c r="E212" t="s">
        <v>916</v>
      </c>
      <c r="F212" t="s">
        <v>917</v>
      </c>
      <c r="G212" t="s">
        <v>24</v>
      </c>
      <c r="H212" s="1" t="s">
        <v>918</v>
      </c>
      <c r="I212" t="s">
        <v>46</v>
      </c>
      <c r="N212" t="s">
        <v>185</v>
      </c>
      <c r="S212" t="s">
        <v>48</v>
      </c>
      <c r="V212" t="s">
        <v>5610</v>
      </c>
      <c r="W212" t="s">
        <v>5611</v>
      </c>
      <c r="X212" s="2">
        <f>IFERROR(VLOOKUP(I212,'Rate Sheet'!$D:$F,3,FALSE),0)</f>
        <v>14.333333333333334</v>
      </c>
      <c r="Y212" s="2">
        <f>IFERROR(VLOOKUP(J212,'Rate Sheet'!$D:$F,3,FALSE),0)</f>
        <v>0</v>
      </c>
      <c r="Z212" s="2">
        <f>IFERROR(VLOOKUP(K212,'Rate Sheet'!$D:$F,3,FALSE),0)</f>
        <v>0</v>
      </c>
      <c r="AA212" s="2">
        <f t="shared" si="3"/>
        <v>14.333333333333334</v>
      </c>
      <c r="AB212">
        <v>1</v>
      </c>
    </row>
    <row r="213" spans="1:28" x14ac:dyDescent="0.25">
      <c r="A213" t="s">
        <v>33</v>
      </c>
      <c r="B213" t="s">
        <v>919</v>
      </c>
      <c r="C213" t="s">
        <v>29</v>
      </c>
      <c r="D213" t="s">
        <v>920</v>
      </c>
      <c r="E213" t="s">
        <v>921</v>
      </c>
      <c r="F213" t="s">
        <v>922</v>
      </c>
      <c r="G213" t="s">
        <v>24</v>
      </c>
      <c r="H213" t="s">
        <v>923</v>
      </c>
      <c r="I213" t="s">
        <v>46</v>
      </c>
      <c r="N213" t="s">
        <v>246</v>
      </c>
      <c r="S213" t="s">
        <v>48</v>
      </c>
      <c r="V213" s="10" t="s">
        <v>5661</v>
      </c>
      <c r="W213" s="10" t="s">
        <v>246</v>
      </c>
      <c r="X213" s="2">
        <f>IFERROR(VLOOKUP(I213,'Rate Sheet'!$D:$F,3,FALSE),0)</f>
        <v>14.333333333333334</v>
      </c>
      <c r="Y213" s="2">
        <f>IFERROR(VLOOKUP(J213,'Rate Sheet'!$D:$F,3,FALSE),0)</f>
        <v>0</v>
      </c>
      <c r="Z213" s="2">
        <f>IFERROR(VLOOKUP(K213,'Rate Sheet'!$D:$F,3,FALSE),0)</f>
        <v>0</v>
      </c>
      <c r="AA213" s="2">
        <f t="shared" si="3"/>
        <v>14.333333333333334</v>
      </c>
      <c r="AB213">
        <v>1</v>
      </c>
    </row>
    <row r="214" spans="1:28" x14ac:dyDescent="0.25">
      <c r="A214" t="s">
        <v>33</v>
      </c>
      <c r="B214" t="s">
        <v>924</v>
      </c>
      <c r="C214" t="s">
        <v>21</v>
      </c>
      <c r="D214" t="s">
        <v>924</v>
      </c>
      <c r="E214" t="s">
        <v>925</v>
      </c>
      <c r="F214" t="s">
        <v>926</v>
      </c>
      <c r="G214" t="s">
        <v>24</v>
      </c>
      <c r="H214" t="s">
        <v>927</v>
      </c>
      <c r="I214" t="s">
        <v>46</v>
      </c>
      <c r="N214" t="s">
        <v>928</v>
      </c>
      <c r="S214" t="s">
        <v>48</v>
      </c>
      <c r="V214" t="s">
        <v>5673</v>
      </c>
      <c r="W214" t="s">
        <v>5674</v>
      </c>
      <c r="X214" s="2">
        <f>IFERROR(VLOOKUP(I214,'Rate Sheet'!$D:$F,3,FALSE),0)</f>
        <v>14.333333333333334</v>
      </c>
      <c r="Y214" s="2">
        <f>IFERROR(VLOOKUP(J214,'Rate Sheet'!$D:$F,3,FALSE),0)</f>
        <v>0</v>
      </c>
      <c r="Z214" s="2">
        <f>IFERROR(VLOOKUP(K214,'Rate Sheet'!$D:$F,3,FALSE),0)</f>
        <v>0</v>
      </c>
      <c r="AA214" s="2">
        <f t="shared" si="3"/>
        <v>14.333333333333334</v>
      </c>
      <c r="AB214">
        <v>1</v>
      </c>
    </row>
    <row r="215" spans="1:28" x14ac:dyDescent="0.25">
      <c r="A215" t="s">
        <v>33</v>
      </c>
      <c r="B215" t="s">
        <v>929</v>
      </c>
      <c r="C215" t="s">
        <v>21</v>
      </c>
      <c r="D215" t="s">
        <v>929</v>
      </c>
      <c r="E215" t="s">
        <v>930</v>
      </c>
      <c r="F215" t="s">
        <v>931</v>
      </c>
      <c r="G215" t="s">
        <v>24</v>
      </c>
      <c r="H215" t="s">
        <v>932</v>
      </c>
      <c r="N215" t="s">
        <v>38</v>
      </c>
      <c r="X215" s="2">
        <f>IFERROR(VLOOKUP(I215,'Rate Sheet'!$D:$F,3,FALSE),0)</f>
        <v>0</v>
      </c>
      <c r="Y215" s="2">
        <f>IFERROR(VLOOKUP(J215,'Rate Sheet'!$D:$F,3,FALSE),0)</f>
        <v>0</v>
      </c>
      <c r="Z215" s="2">
        <f>IFERROR(VLOOKUP(K215,'Rate Sheet'!$D:$F,3,FALSE),0)</f>
        <v>0</v>
      </c>
      <c r="AA215" s="2">
        <f t="shared" si="3"/>
        <v>0</v>
      </c>
    </row>
    <row r="216" spans="1:28" x14ac:dyDescent="0.25">
      <c r="A216" t="s">
        <v>33</v>
      </c>
      <c r="B216" t="s">
        <v>938</v>
      </c>
      <c r="C216" t="s">
        <v>29</v>
      </c>
      <c r="D216" t="s">
        <v>938</v>
      </c>
      <c r="E216" t="s">
        <v>939</v>
      </c>
      <c r="F216" t="s">
        <v>940</v>
      </c>
      <c r="G216" t="s">
        <v>24</v>
      </c>
      <c r="H216" t="s">
        <v>941</v>
      </c>
      <c r="I216" t="s">
        <v>46</v>
      </c>
      <c r="N216" t="s">
        <v>246</v>
      </c>
      <c r="S216" t="s">
        <v>48</v>
      </c>
      <c r="V216" t="s">
        <v>5661</v>
      </c>
      <c r="W216" t="s">
        <v>246</v>
      </c>
      <c r="X216" s="2">
        <f>IFERROR(VLOOKUP(I216,'Rate Sheet'!$D:$F,3,FALSE),0)</f>
        <v>14.333333333333334</v>
      </c>
      <c r="Y216" s="2">
        <f>IFERROR(VLOOKUP(J216,'Rate Sheet'!$D:$F,3,FALSE),0)</f>
        <v>0</v>
      </c>
      <c r="Z216" s="2">
        <f>IFERROR(VLOOKUP(K216,'Rate Sheet'!$D:$F,3,FALSE),0)</f>
        <v>0</v>
      </c>
      <c r="AA216" s="2">
        <f t="shared" si="3"/>
        <v>14.333333333333334</v>
      </c>
      <c r="AB216">
        <v>1</v>
      </c>
    </row>
    <row r="217" spans="1:28" x14ac:dyDescent="0.25">
      <c r="A217" t="s">
        <v>33</v>
      </c>
      <c r="B217" t="s">
        <v>942</v>
      </c>
      <c r="C217" t="s">
        <v>21</v>
      </c>
      <c r="D217" t="s">
        <v>942</v>
      </c>
      <c r="E217" t="s">
        <v>943</v>
      </c>
      <c r="F217" t="s">
        <v>944</v>
      </c>
      <c r="G217" t="s">
        <v>24</v>
      </c>
      <c r="H217" t="s">
        <v>945</v>
      </c>
      <c r="I217" t="s">
        <v>46</v>
      </c>
      <c r="N217" t="s">
        <v>309</v>
      </c>
      <c r="S217" t="s">
        <v>48</v>
      </c>
      <c r="V217" t="s">
        <v>5600</v>
      </c>
      <c r="W217" t="s">
        <v>5601</v>
      </c>
      <c r="X217" s="2">
        <f>IFERROR(VLOOKUP(I217,'Rate Sheet'!$D:$F,3,FALSE),0)</f>
        <v>14.333333333333334</v>
      </c>
      <c r="Y217" s="2">
        <f>IFERROR(VLOOKUP(J217,'Rate Sheet'!$D:$F,3,FALSE),0)</f>
        <v>0</v>
      </c>
      <c r="Z217" s="2">
        <f>IFERROR(VLOOKUP(K217,'Rate Sheet'!$D:$F,3,FALSE),0)</f>
        <v>0</v>
      </c>
      <c r="AA217" s="2">
        <f t="shared" si="3"/>
        <v>14.333333333333334</v>
      </c>
      <c r="AB217">
        <v>1</v>
      </c>
    </row>
    <row r="218" spans="1:28" x14ac:dyDescent="0.25">
      <c r="A218" t="s">
        <v>33</v>
      </c>
      <c r="B218" t="s">
        <v>946</v>
      </c>
      <c r="C218" t="s">
        <v>21</v>
      </c>
      <c r="D218" t="s">
        <v>946</v>
      </c>
      <c r="E218" t="s">
        <v>947</v>
      </c>
      <c r="F218" t="s">
        <v>303</v>
      </c>
      <c r="G218" t="s">
        <v>24</v>
      </c>
      <c r="H218" s="1" t="s">
        <v>948</v>
      </c>
      <c r="N218" t="s">
        <v>148</v>
      </c>
      <c r="X218" s="2">
        <f>IFERROR(VLOOKUP(I218,'Rate Sheet'!$D:$F,3,FALSE),0)</f>
        <v>0</v>
      </c>
      <c r="Y218" s="2">
        <f>IFERROR(VLOOKUP(J218,'Rate Sheet'!$D:$F,3,FALSE),0)</f>
        <v>0</v>
      </c>
      <c r="Z218" s="2">
        <f>IFERROR(VLOOKUP(K218,'Rate Sheet'!$D:$F,3,FALSE),0)</f>
        <v>0</v>
      </c>
      <c r="AA218" s="2">
        <f t="shared" si="3"/>
        <v>0</v>
      </c>
    </row>
    <row r="219" spans="1:28" x14ac:dyDescent="0.25">
      <c r="A219" t="s">
        <v>33</v>
      </c>
      <c r="B219" t="s">
        <v>949</v>
      </c>
      <c r="C219" t="s">
        <v>21</v>
      </c>
      <c r="D219" t="s">
        <v>949</v>
      </c>
      <c r="E219" t="s">
        <v>950</v>
      </c>
      <c r="F219" t="s">
        <v>951</v>
      </c>
      <c r="G219" t="s">
        <v>24</v>
      </c>
      <c r="H219" t="s">
        <v>952</v>
      </c>
      <c r="N219" t="s">
        <v>794</v>
      </c>
      <c r="X219" s="2">
        <f>IFERROR(VLOOKUP(I219,'Rate Sheet'!$D:$F,3,FALSE),0)</f>
        <v>0</v>
      </c>
      <c r="Y219" s="2">
        <f>IFERROR(VLOOKUP(J219,'Rate Sheet'!$D:$F,3,FALSE),0)</f>
        <v>0</v>
      </c>
      <c r="Z219" s="2">
        <f>IFERROR(VLOOKUP(K219,'Rate Sheet'!$D:$F,3,FALSE),0)</f>
        <v>0</v>
      </c>
      <c r="AA219" s="2">
        <f t="shared" si="3"/>
        <v>0</v>
      </c>
    </row>
    <row r="220" spans="1:28" x14ac:dyDescent="0.25">
      <c r="A220" t="s">
        <v>33</v>
      </c>
      <c r="B220" t="s">
        <v>953</v>
      </c>
      <c r="C220" t="s">
        <v>21</v>
      </c>
      <c r="D220" t="s">
        <v>954</v>
      </c>
      <c r="E220" t="s">
        <v>778</v>
      </c>
      <c r="F220" t="s">
        <v>955</v>
      </c>
      <c r="G220" t="s">
        <v>24</v>
      </c>
      <c r="H220" t="s">
        <v>956</v>
      </c>
      <c r="I220" t="s">
        <v>46</v>
      </c>
      <c r="N220" t="s">
        <v>181</v>
      </c>
      <c r="S220" t="s">
        <v>48</v>
      </c>
      <c r="V220" t="s">
        <v>5609</v>
      </c>
      <c r="W220" t="s">
        <v>181</v>
      </c>
      <c r="X220" s="2">
        <f>IFERROR(VLOOKUP(I220,'Rate Sheet'!$D:$F,3,FALSE),0)</f>
        <v>14.333333333333334</v>
      </c>
      <c r="Y220" s="2">
        <f>IFERROR(VLOOKUP(J220,'Rate Sheet'!$D:$F,3,FALSE),0)</f>
        <v>0</v>
      </c>
      <c r="Z220" s="2">
        <f>IFERROR(VLOOKUP(K220,'Rate Sheet'!$D:$F,3,FALSE),0)</f>
        <v>0</v>
      </c>
      <c r="AA220" s="2">
        <f t="shared" si="3"/>
        <v>14.333333333333334</v>
      </c>
      <c r="AB220">
        <v>1</v>
      </c>
    </row>
    <row r="221" spans="1:28" x14ac:dyDescent="0.25">
      <c r="A221" t="s">
        <v>33</v>
      </c>
      <c r="B221" t="s">
        <v>957</v>
      </c>
      <c r="C221" t="s">
        <v>21</v>
      </c>
      <c r="D221" t="s">
        <v>957</v>
      </c>
      <c r="E221" t="s">
        <v>178</v>
      </c>
      <c r="F221" t="s">
        <v>958</v>
      </c>
      <c r="G221" t="s">
        <v>24</v>
      </c>
      <c r="H221" s="1" t="s">
        <v>959</v>
      </c>
      <c r="N221" t="s">
        <v>38</v>
      </c>
      <c r="X221" s="2">
        <f>IFERROR(VLOOKUP(I221,'Rate Sheet'!$D:$F,3,FALSE),0)</f>
        <v>0</v>
      </c>
      <c r="Y221" s="2">
        <f>IFERROR(VLOOKUP(J221,'Rate Sheet'!$D:$F,3,FALSE),0)</f>
        <v>0</v>
      </c>
      <c r="Z221" s="2">
        <f>IFERROR(VLOOKUP(K221,'Rate Sheet'!$D:$F,3,FALSE),0)</f>
        <v>0</v>
      </c>
      <c r="AA221" s="2">
        <f t="shared" si="3"/>
        <v>0</v>
      </c>
    </row>
    <row r="222" spans="1:28" x14ac:dyDescent="0.25">
      <c r="A222" t="s">
        <v>33</v>
      </c>
      <c r="B222" t="s">
        <v>960</v>
      </c>
      <c r="C222" t="s">
        <v>21</v>
      </c>
      <c r="D222" t="s">
        <v>960</v>
      </c>
      <c r="E222" t="s">
        <v>961</v>
      </c>
      <c r="F222" t="s">
        <v>962</v>
      </c>
      <c r="G222" t="s">
        <v>24</v>
      </c>
      <c r="H222" t="s">
        <v>963</v>
      </c>
      <c r="I222" t="s">
        <v>46</v>
      </c>
      <c r="N222" t="s">
        <v>964</v>
      </c>
      <c r="S222" t="s">
        <v>48</v>
      </c>
      <c r="V222" t="s">
        <v>5675</v>
      </c>
      <c r="W222" t="s">
        <v>5676</v>
      </c>
      <c r="X222" s="2">
        <f>IFERROR(VLOOKUP(I222,'Rate Sheet'!$D:$F,3,FALSE),0)</f>
        <v>14.333333333333334</v>
      </c>
      <c r="Y222" s="2">
        <f>IFERROR(VLOOKUP(J222,'Rate Sheet'!$D:$F,3,FALSE),0)</f>
        <v>0</v>
      </c>
      <c r="Z222" s="2">
        <f>IFERROR(VLOOKUP(K222,'Rate Sheet'!$D:$F,3,FALSE),0)</f>
        <v>0</v>
      </c>
      <c r="AA222" s="2">
        <f t="shared" si="3"/>
        <v>14.333333333333334</v>
      </c>
      <c r="AB222">
        <v>1</v>
      </c>
    </row>
    <row r="223" spans="1:28" x14ac:dyDescent="0.25">
      <c r="A223" t="s">
        <v>33</v>
      </c>
      <c r="B223" t="s">
        <v>965</v>
      </c>
      <c r="C223" t="s">
        <v>21</v>
      </c>
      <c r="D223" t="s">
        <v>965</v>
      </c>
      <c r="E223" t="s">
        <v>966</v>
      </c>
      <c r="F223" t="s">
        <v>967</v>
      </c>
      <c r="G223" t="s">
        <v>24</v>
      </c>
      <c r="H223" t="s">
        <v>968</v>
      </c>
      <c r="I223" t="s">
        <v>46</v>
      </c>
      <c r="N223" t="s">
        <v>74</v>
      </c>
      <c r="S223" t="s">
        <v>48</v>
      </c>
      <c r="V223" t="s">
        <v>5586</v>
      </c>
      <c r="W223" t="s">
        <v>5587</v>
      </c>
      <c r="X223" s="2">
        <f>IFERROR(VLOOKUP(I223,'Rate Sheet'!$D:$F,3,FALSE),0)</f>
        <v>14.333333333333334</v>
      </c>
      <c r="Y223" s="2">
        <f>IFERROR(VLOOKUP(J223,'Rate Sheet'!$D:$F,3,FALSE),0)</f>
        <v>0</v>
      </c>
      <c r="Z223" s="2">
        <f>IFERROR(VLOOKUP(K223,'Rate Sheet'!$D:$F,3,FALSE),0)</f>
        <v>0</v>
      </c>
      <c r="AA223" s="2">
        <f t="shared" si="3"/>
        <v>14.333333333333334</v>
      </c>
      <c r="AB223">
        <v>1</v>
      </c>
    </row>
    <row r="224" spans="1:28" x14ac:dyDescent="0.25">
      <c r="A224" t="s">
        <v>33</v>
      </c>
      <c r="B224" t="s">
        <v>969</v>
      </c>
      <c r="C224" t="s">
        <v>21</v>
      </c>
      <c r="D224" t="s">
        <v>969</v>
      </c>
      <c r="E224" t="s">
        <v>970</v>
      </c>
      <c r="F224" t="s">
        <v>971</v>
      </c>
      <c r="G224" t="s">
        <v>24</v>
      </c>
      <c r="H224" s="1" t="s">
        <v>972</v>
      </c>
      <c r="N224" t="s">
        <v>85</v>
      </c>
      <c r="X224" s="2">
        <f>IFERROR(VLOOKUP(I224,'Rate Sheet'!$D:$F,3,FALSE),0)</f>
        <v>0</v>
      </c>
      <c r="Y224" s="2">
        <f>IFERROR(VLOOKUP(J224,'Rate Sheet'!$D:$F,3,FALSE),0)</f>
        <v>0</v>
      </c>
      <c r="Z224" s="2">
        <f>IFERROR(VLOOKUP(K224,'Rate Sheet'!$D:$F,3,FALSE),0)</f>
        <v>0</v>
      </c>
      <c r="AA224" s="2">
        <f t="shared" si="3"/>
        <v>0</v>
      </c>
    </row>
    <row r="225" spans="1:28" x14ac:dyDescent="0.25">
      <c r="A225" t="s">
        <v>33</v>
      </c>
      <c r="B225" t="s">
        <v>973</v>
      </c>
      <c r="C225" t="s">
        <v>21</v>
      </c>
      <c r="D225" t="s">
        <v>973</v>
      </c>
      <c r="E225" t="s">
        <v>974</v>
      </c>
      <c r="F225" t="s">
        <v>975</v>
      </c>
      <c r="G225" t="s">
        <v>24</v>
      </c>
      <c r="H225" t="s">
        <v>976</v>
      </c>
      <c r="I225" t="s">
        <v>73</v>
      </c>
      <c r="N225" t="s">
        <v>977</v>
      </c>
      <c r="S225" t="s">
        <v>75</v>
      </c>
      <c r="V225" t="s">
        <v>5609</v>
      </c>
      <c r="W225" t="s">
        <v>181</v>
      </c>
      <c r="X225" s="2">
        <f>IFERROR(VLOOKUP(I225,'Rate Sheet'!$D:$F,3,FALSE),0)</f>
        <v>8.6983333333333324</v>
      </c>
      <c r="Y225" s="2">
        <f>IFERROR(VLOOKUP(J225,'Rate Sheet'!$D:$F,3,FALSE),0)</f>
        <v>0</v>
      </c>
      <c r="Z225" s="2">
        <f>IFERROR(VLOOKUP(K225,'Rate Sheet'!$D:$F,3,FALSE),0)</f>
        <v>0</v>
      </c>
      <c r="AA225" s="2">
        <f t="shared" si="3"/>
        <v>8.6983333333333324</v>
      </c>
      <c r="AB225">
        <v>1</v>
      </c>
    </row>
    <row r="226" spans="1:28" x14ac:dyDescent="0.25">
      <c r="A226" t="s">
        <v>33</v>
      </c>
      <c r="B226" t="s">
        <v>978</v>
      </c>
      <c r="C226" t="s">
        <v>21</v>
      </c>
      <c r="D226" t="s">
        <v>978</v>
      </c>
      <c r="E226" t="s">
        <v>979</v>
      </c>
      <c r="F226" t="s">
        <v>980</v>
      </c>
      <c r="G226" t="s">
        <v>24</v>
      </c>
      <c r="H226" t="s">
        <v>981</v>
      </c>
      <c r="N226" t="s">
        <v>185</v>
      </c>
      <c r="X226" s="2">
        <f>IFERROR(VLOOKUP(I226,'Rate Sheet'!$D:$F,3,FALSE),0)</f>
        <v>0</v>
      </c>
      <c r="Y226" s="2">
        <f>IFERROR(VLOOKUP(J226,'Rate Sheet'!$D:$F,3,FALSE),0)</f>
        <v>0</v>
      </c>
      <c r="Z226" s="2">
        <f>IFERROR(VLOOKUP(K226,'Rate Sheet'!$D:$F,3,FALSE),0)</f>
        <v>0</v>
      </c>
      <c r="AA226" s="2">
        <f t="shared" si="3"/>
        <v>0</v>
      </c>
    </row>
    <row r="227" spans="1:28" x14ac:dyDescent="0.25">
      <c r="A227" t="s">
        <v>33</v>
      </c>
      <c r="B227" t="s">
        <v>982</v>
      </c>
      <c r="C227" t="s">
        <v>21</v>
      </c>
      <c r="D227" t="s">
        <v>982</v>
      </c>
      <c r="E227" t="s">
        <v>983</v>
      </c>
      <c r="F227" t="s">
        <v>984</v>
      </c>
      <c r="G227" t="s">
        <v>24</v>
      </c>
      <c r="H227" t="s">
        <v>985</v>
      </c>
      <c r="I227" t="s">
        <v>46</v>
      </c>
      <c r="N227" t="s">
        <v>986</v>
      </c>
      <c r="S227" t="s">
        <v>48</v>
      </c>
      <c r="V227" t="s">
        <v>5677</v>
      </c>
      <c r="W227" t="s">
        <v>5678</v>
      </c>
      <c r="X227" s="2">
        <f>IFERROR(VLOOKUP(I227,'Rate Sheet'!$D:$F,3,FALSE),0)</f>
        <v>14.333333333333334</v>
      </c>
      <c r="Y227" s="2">
        <f>IFERROR(VLOOKUP(J227,'Rate Sheet'!$D:$F,3,FALSE),0)</f>
        <v>0</v>
      </c>
      <c r="Z227" s="2">
        <f>IFERROR(VLOOKUP(K227,'Rate Sheet'!$D:$F,3,FALSE),0)</f>
        <v>0</v>
      </c>
      <c r="AA227" s="2">
        <f t="shared" si="3"/>
        <v>14.333333333333334</v>
      </c>
      <c r="AB227">
        <v>1</v>
      </c>
    </row>
    <row r="228" spans="1:28" x14ac:dyDescent="0.25">
      <c r="A228" t="s">
        <v>33</v>
      </c>
      <c r="B228" t="s">
        <v>987</v>
      </c>
      <c r="C228" t="s">
        <v>21</v>
      </c>
      <c r="D228" t="s">
        <v>987</v>
      </c>
      <c r="E228" t="s">
        <v>988</v>
      </c>
      <c r="F228" t="s">
        <v>989</v>
      </c>
      <c r="G228" t="s">
        <v>24</v>
      </c>
      <c r="H228" t="s">
        <v>990</v>
      </c>
      <c r="N228" t="s">
        <v>309</v>
      </c>
      <c r="X228" s="2">
        <f>IFERROR(VLOOKUP(I228,'Rate Sheet'!$D:$F,3,FALSE),0)</f>
        <v>0</v>
      </c>
      <c r="Y228" s="2">
        <f>IFERROR(VLOOKUP(J228,'Rate Sheet'!$D:$F,3,FALSE),0)</f>
        <v>0</v>
      </c>
      <c r="Z228" s="2">
        <f>IFERROR(VLOOKUP(K228,'Rate Sheet'!$D:$F,3,FALSE),0)</f>
        <v>0</v>
      </c>
      <c r="AA228" s="2">
        <f t="shared" si="3"/>
        <v>0</v>
      </c>
    </row>
    <row r="229" spans="1:28" x14ac:dyDescent="0.25">
      <c r="A229" t="s">
        <v>33</v>
      </c>
      <c r="B229" t="s">
        <v>991</v>
      </c>
      <c r="C229" t="s">
        <v>21</v>
      </c>
      <c r="D229" t="s">
        <v>991</v>
      </c>
      <c r="E229" t="s">
        <v>992</v>
      </c>
      <c r="F229" t="s">
        <v>330</v>
      </c>
      <c r="G229" t="s">
        <v>24</v>
      </c>
      <c r="H229" t="s">
        <v>993</v>
      </c>
      <c r="N229" t="s">
        <v>994</v>
      </c>
      <c r="X229" s="2">
        <f>IFERROR(VLOOKUP(I229,'Rate Sheet'!$D:$F,3,FALSE),0)</f>
        <v>0</v>
      </c>
      <c r="Y229" s="2">
        <f>IFERROR(VLOOKUP(J229,'Rate Sheet'!$D:$F,3,FALSE),0)</f>
        <v>0</v>
      </c>
      <c r="Z229" s="2">
        <f>IFERROR(VLOOKUP(K229,'Rate Sheet'!$D:$F,3,FALSE),0)</f>
        <v>0</v>
      </c>
      <c r="AA229" s="2">
        <f t="shared" si="3"/>
        <v>0</v>
      </c>
    </row>
    <row r="230" spans="1:28" x14ac:dyDescent="0.25">
      <c r="A230" t="s">
        <v>33</v>
      </c>
      <c r="B230" t="s">
        <v>995</v>
      </c>
      <c r="C230" t="s">
        <v>21</v>
      </c>
      <c r="D230" t="s">
        <v>995</v>
      </c>
      <c r="E230" t="s">
        <v>303</v>
      </c>
      <c r="F230" t="s">
        <v>996</v>
      </c>
      <c r="G230" t="s">
        <v>24</v>
      </c>
      <c r="H230" t="s">
        <v>997</v>
      </c>
      <c r="I230" t="s">
        <v>46</v>
      </c>
      <c r="N230" t="s">
        <v>692</v>
      </c>
      <c r="S230" t="s">
        <v>48</v>
      </c>
      <c r="V230" t="s">
        <v>5628</v>
      </c>
      <c r="W230" t="s">
        <v>5629</v>
      </c>
      <c r="X230" s="2">
        <f>IFERROR(VLOOKUP(I230,'Rate Sheet'!$D:$F,3,FALSE),0)</f>
        <v>14.333333333333334</v>
      </c>
      <c r="Y230" s="2">
        <f>IFERROR(VLOOKUP(J230,'Rate Sheet'!$D:$F,3,FALSE),0)</f>
        <v>0</v>
      </c>
      <c r="Z230" s="2">
        <f>IFERROR(VLOOKUP(K230,'Rate Sheet'!$D:$F,3,FALSE),0)</f>
        <v>0</v>
      </c>
      <c r="AA230" s="2">
        <f t="shared" si="3"/>
        <v>14.333333333333334</v>
      </c>
      <c r="AB230">
        <v>1</v>
      </c>
    </row>
    <row r="231" spans="1:28" x14ac:dyDescent="0.25">
      <c r="A231" t="s">
        <v>33</v>
      </c>
      <c r="B231" t="s">
        <v>998</v>
      </c>
      <c r="C231" t="s">
        <v>21</v>
      </c>
      <c r="D231" t="s">
        <v>998</v>
      </c>
      <c r="E231" t="s">
        <v>999</v>
      </c>
      <c r="F231" t="s">
        <v>1000</v>
      </c>
      <c r="G231" t="s">
        <v>24</v>
      </c>
      <c r="H231" t="s">
        <v>1001</v>
      </c>
      <c r="N231" t="s">
        <v>692</v>
      </c>
      <c r="X231" s="2">
        <f>IFERROR(VLOOKUP(I231,'Rate Sheet'!$D:$F,3,FALSE),0)</f>
        <v>0</v>
      </c>
      <c r="Y231" s="2">
        <f>IFERROR(VLOOKUP(J231,'Rate Sheet'!$D:$F,3,FALSE),0)</f>
        <v>0</v>
      </c>
      <c r="Z231" s="2">
        <f>IFERROR(VLOOKUP(K231,'Rate Sheet'!$D:$F,3,FALSE),0)</f>
        <v>0</v>
      </c>
      <c r="AA231" s="2">
        <f t="shared" si="3"/>
        <v>0</v>
      </c>
    </row>
    <row r="232" spans="1:28" x14ac:dyDescent="0.25">
      <c r="A232" t="s">
        <v>33</v>
      </c>
      <c r="B232" t="s">
        <v>1002</v>
      </c>
      <c r="C232" t="s">
        <v>21</v>
      </c>
      <c r="D232" t="s">
        <v>1002</v>
      </c>
      <c r="E232" t="s">
        <v>1003</v>
      </c>
      <c r="F232" t="s">
        <v>1004</v>
      </c>
      <c r="G232" t="s">
        <v>24</v>
      </c>
      <c r="H232" t="s">
        <v>1005</v>
      </c>
      <c r="I232" t="s">
        <v>46</v>
      </c>
      <c r="N232" t="s">
        <v>108</v>
      </c>
      <c r="S232" t="s">
        <v>48</v>
      </c>
      <c r="V232" t="s">
        <v>5585</v>
      </c>
      <c r="W232" t="s">
        <v>68</v>
      </c>
      <c r="X232" s="2">
        <f>IFERROR(VLOOKUP(I232,'Rate Sheet'!$D:$F,3,FALSE),0)</f>
        <v>14.333333333333334</v>
      </c>
      <c r="Y232" s="2">
        <f>IFERROR(VLOOKUP(J232,'Rate Sheet'!$D:$F,3,FALSE),0)</f>
        <v>0</v>
      </c>
      <c r="Z232" s="2">
        <f>IFERROR(VLOOKUP(K232,'Rate Sheet'!$D:$F,3,FALSE),0)</f>
        <v>0</v>
      </c>
      <c r="AA232" s="2">
        <f t="shared" si="3"/>
        <v>14.333333333333334</v>
      </c>
      <c r="AB232">
        <v>1</v>
      </c>
    </row>
    <row r="233" spans="1:28" x14ac:dyDescent="0.25">
      <c r="A233" t="s">
        <v>33</v>
      </c>
      <c r="B233" t="s">
        <v>1006</v>
      </c>
      <c r="C233" t="s">
        <v>21</v>
      </c>
      <c r="D233" t="s">
        <v>1006</v>
      </c>
      <c r="E233" t="s">
        <v>424</v>
      </c>
      <c r="F233" t="s">
        <v>1007</v>
      </c>
      <c r="G233" t="s">
        <v>24</v>
      </c>
      <c r="H233" t="s">
        <v>1008</v>
      </c>
      <c r="I233" t="s">
        <v>46</v>
      </c>
      <c r="N233" t="s">
        <v>185</v>
      </c>
      <c r="S233" t="s">
        <v>48</v>
      </c>
      <c r="V233" t="s">
        <v>5610</v>
      </c>
      <c r="W233" t="s">
        <v>5611</v>
      </c>
      <c r="X233" s="2">
        <f>IFERROR(VLOOKUP(I233,'Rate Sheet'!$D:$F,3,FALSE),0)</f>
        <v>14.333333333333334</v>
      </c>
      <c r="Y233" s="2">
        <f>IFERROR(VLOOKUP(J233,'Rate Sheet'!$D:$F,3,FALSE),0)</f>
        <v>0</v>
      </c>
      <c r="Z233" s="2">
        <f>IFERROR(VLOOKUP(K233,'Rate Sheet'!$D:$F,3,FALSE),0)</f>
        <v>0</v>
      </c>
      <c r="AA233" s="2">
        <f t="shared" si="3"/>
        <v>14.333333333333334</v>
      </c>
      <c r="AB233">
        <v>1</v>
      </c>
    </row>
    <row r="234" spans="1:28" x14ac:dyDescent="0.25">
      <c r="A234" t="s">
        <v>33</v>
      </c>
      <c r="B234" t="s">
        <v>1009</v>
      </c>
      <c r="C234" t="s">
        <v>21</v>
      </c>
      <c r="D234" t="s">
        <v>1009</v>
      </c>
      <c r="E234" t="s">
        <v>1010</v>
      </c>
      <c r="F234" t="s">
        <v>1011</v>
      </c>
      <c r="G234" t="s">
        <v>24</v>
      </c>
      <c r="H234" t="s">
        <v>1012</v>
      </c>
      <c r="N234" t="s">
        <v>1013</v>
      </c>
      <c r="X234" s="2">
        <f>IFERROR(VLOOKUP(I234,'Rate Sheet'!$D:$F,3,FALSE),0)</f>
        <v>0</v>
      </c>
      <c r="Y234" s="2">
        <f>IFERROR(VLOOKUP(J234,'Rate Sheet'!$D:$F,3,FALSE),0)</f>
        <v>0</v>
      </c>
      <c r="Z234" s="2">
        <f>IFERROR(VLOOKUP(K234,'Rate Sheet'!$D:$F,3,FALSE),0)</f>
        <v>0</v>
      </c>
      <c r="AA234" s="2">
        <f t="shared" si="3"/>
        <v>0</v>
      </c>
    </row>
    <row r="235" spans="1:28" x14ac:dyDescent="0.25">
      <c r="A235" t="s">
        <v>33</v>
      </c>
      <c r="B235" t="s">
        <v>1014</v>
      </c>
      <c r="C235" t="s">
        <v>21</v>
      </c>
      <c r="D235" t="s">
        <v>1014</v>
      </c>
      <c r="E235" t="s">
        <v>1015</v>
      </c>
      <c r="F235" t="s">
        <v>1016</v>
      </c>
      <c r="G235" t="s">
        <v>24</v>
      </c>
      <c r="H235" t="s">
        <v>1017</v>
      </c>
      <c r="N235" t="s">
        <v>38</v>
      </c>
      <c r="X235" s="2">
        <f>IFERROR(VLOOKUP(I235,'Rate Sheet'!$D:$F,3,FALSE),0)</f>
        <v>0</v>
      </c>
      <c r="Y235" s="2">
        <f>IFERROR(VLOOKUP(J235,'Rate Sheet'!$D:$F,3,FALSE),0)</f>
        <v>0</v>
      </c>
      <c r="Z235" s="2">
        <f>IFERROR(VLOOKUP(K235,'Rate Sheet'!$D:$F,3,FALSE),0)</f>
        <v>0</v>
      </c>
      <c r="AA235" s="2">
        <f t="shared" si="3"/>
        <v>0</v>
      </c>
    </row>
    <row r="236" spans="1:28" x14ac:dyDescent="0.25">
      <c r="A236" t="s">
        <v>33</v>
      </c>
      <c r="B236" t="s">
        <v>1018</v>
      </c>
      <c r="C236" t="s">
        <v>21</v>
      </c>
      <c r="D236" t="s">
        <v>1018</v>
      </c>
      <c r="E236" t="s">
        <v>275</v>
      </c>
      <c r="F236" t="s">
        <v>1019</v>
      </c>
      <c r="G236" t="s">
        <v>24</v>
      </c>
      <c r="H236" t="s">
        <v>1020</v>
      </c>
      <c r="I236" t="s">
        <v>46</v>
      </c>
      <c r="N236" t="s">
        <v>914</v>
      </c>
      <c r="S236" t="s">
        <v>48</v>
      </c>
      <c r="V236" t="s">
        <v>5602</v>
      </c>
      <c r="W236" t="s">
        <v>5603</v>
      </c>
      <c r="X236" s="2">
        <f>IFERROR(VLOOKUP(I236,'Rate Sheet'!$D:$F,3,FALSE),0)</f>
        <v>14.333333333333334</v>
      </c>
      <c r="Y236" s="2">
        <f>IFERROR(VLOOKUP(J236,'Rate Sheet'!$D:$F,3,FALSE),0)</f>
        <v>0</v>
      </c>
      <c r="Z236" s="2">
        <f>IFERROR(VLOOKUP(K236,'Rate Sheet'!$D:$F,3,FALSE),0)</f>
        <v>0</v>
      </c>
      <c r="AA236" s="2">
        <f t="shared" si="3"/>
        <v>14.333333333333334</v>
      </c>
      <c r="AB236">
        <v>1</v>
      </c>
    </row>
    <row r="237" spans="1:28" x14ac:dyDescent="0.25">
      <c r="A237" t="s">
        <v>33</v>
      </c>
      <c r="B237" t="s">
        <v>28</v>
      </c>
      <c r="C237" t="s">
        <v>29</v>
      </c>
      <c r="D237" t="s">
        <v>28</v>
      </c>
      <c r="E237" t="s">
        <v>30</v>
      </c>
      <c r="F237" t="s">
        <v>31</v>
      </c>
      <c r="G237" t="s">
        <v>24</v>
      </c>
      <c r="H237" t="s">
        <v>1021</v>
      </c>
      <c r="N237" t="s">
        <v>27</v>
      </c>
      <c r="X237" s="2">
        <f>IFERROR(VLOOKUP(I237,'Rate Sheet'!$D:$F,3,FALSE),0)</f>
        <v>0</v>
      </c>
      <c r="Y237" s="2">
        <f>IFERROR(VLOOKUP(J237,'Rate Sheet'!$D:$F,3,FALSE),0)</f>
        <v>0</v>
      </c>
      <c r="Z237" s="2">
        <f>IFERROR(VLOOKUP(K237,'Rate Sheet'!$D:$F,3,FALSE),0)</f>
        <v>0</v>
      </c>
      <c r="AA237" s="2">
        <f t="shared" si="3"/>
        <v>0</v>
      </c>
    </row>
    <row r="238" spans="1:28" x14ac:dyDescent="0.25">
      <c r="A238" t="s">
        <v>33</v>
      </c>
      <c r="B238" t="s">
        <v>1022</v>
      </c>
      <c r="C238" t="s">
        <v>21</v>
      </c>
      <c r="D238" t="s">
        <v>1022</v>
      </c>
      <c r="E238" t="s">
        <v>30</v>
      </c>
      <c r="F238" t="s">
        <v>711</v>
      </c>
      <c r="G238" t="s">
        <v>24</v>
      </c>
      <c r="H238" t="s">
        <v>1023</v>
      </c>
      <c r="L238" t="s">
        <v>26</v>
      </c>
      <c r="N238" t="s">
        <v>27</v>
      </c>
      <c r="X238" s="2">
        <f>IFERROR(VLOOKUP(I238,'Rate Sheet'!$D:$F,3,FALSE),0)</f>
        <v>0</v>
      </c>
      <c r="Y238" s="2">
        <f>IFERROR(VLOOKUP(J238,'Rate Sheet'!$D:$F,3,FALSE),0)</f>
        <v>0</v>
      </c>
      <c r="Z238" s="2">
        <f>IFERROR(VLOOKUP(K238,'Rate Sheet'!$D:$F,3,FALSE),0)</f>
        <v>0</v>
      </c>
      <c r="AA238" s="2">
        <f t="shared" si="3"/>
        <v>0</v>
      </c>
    </row>
    <row r="239" spans="1:28" x14ac:dyDescent="0.25">
      <c r="A239" t="s">
        <v>33</v>
      </c>
      <c r="B239" t="s">
        <v>1024</v>
      </c>
      <c r="C239" t="s">
        <v>21</v>
      </c>
      <c r="D239" t="s">
        <v>1024</v>
      </c>
      <c r="E239" t="s">
        <v>135</v>
      </c>
      <c r="F239" t="s">
        <v>1025</v>
      </c>
      <c r="G239" t="s">
        <v>24</v>
      </c>
      <c r="H239" t="s">
        <v>1026</v>
      </c>
      <c r="I239" t="s">
        <v>46</v>
      </c>
      <c r="N239" t="s">
        <v>224</v>
      </c>
      <c r="S239" t="s">
        <v>48</v>
      </c>
      <c r="V239" t="s">
        <v>5615</v>
      </c>
      <c r="W239" t="s">
        <v>5616</v>
      </c>
      <c r="X239" s="2">
        <f>IFERROR(VLOOKUP(I239,'Rate Sheet'!$D:$F,3,FALSE),0)</f>
        <v>14.333333333333334</v>
      </c>
      <c r="Y239" s="2">
        <f>IFERROR(VLOOKUP(J239,'Rate Sheet'!$D:$F,3,FALSE),0)</f>
        <v>0</v>
      </c>
      <c r="Z239" s="2">
        <f>IFERROR(VLOOKUP(K239,'Rate Sheet'!$D:$F,3,FALSE),0)</f>
        <v>0</v>
      </c>
      <c r="AA239" s="2">
        <f t="shared" si="3"/>
        <v>14.333333333333334</v>
      </c>
      <c r="AB239">
        <v>1</v>
      </c>
    </row>
    <row r="240" spans="1:28" x14ac:dyDescent="0.25">
      <c r="A240" t="s">
        <v>33</v>
      </c>
      <c r="B240" t="s">
        <v>1027</v>
      </c>
      <c r="C240" t="s">
        <v>21</v>
      </c>
      <c r="D240" t="s">
        <v>1027</v>
      </c>
      <c r="E240" t="s">
        <v>1028</v>
      </c>
      <c r="F240" t="s">
        <v>1029</v>
      </c>
      <c r="G240" t="s">
        <v>24</v>
      </c>
      <c r="H240" t="s">
        <v>1030</v>
      </c>
      <c r="I240" t="s">
        <v>46</v>
      </c>
      <c r="N240" t="s">
        <v>349</v>
      </c>
      <c r="S240" t="s">
        <v>48</v>
      </c>
      <c r="V240" t="s">
        <v>5630</v>
      </c>
      <c r="W240" t="s">
        <v>5631</v>
      </c>
      <c r="X240" s="2">
        <f>IFERROR(VLOOKUP(I240,'Rate Sheet'!$D:$F,3,FALSE),0)</f>
        <v>14.333333333333334</v>
      </c>
      <c r="Y240" s="2">
        <f>IFERROR(VLOOKUP(J240,'Rate Sheet'!$D:$F,3,FALSE),0)</f>
        <v>0</v>
      </c>
      <c r="Z240" s="2">
        <f>IFERROR(VLOOKUP(K240,'Rate Sheet'!$D:$F,3,FALSE),0)</f>
        <v>0</v>
      </c>
      <c r="AA240" s="2">
        <f t="shared" si="3"/>
        <v>14.333333333333334</v>
      </c>
      <c r="AB240">
        <v>1</v>
      </c>
    </row>
    <row r="241" spans="1:28" x14ac:dyDescent="0.25">
      <c r="A241" t="s">
        <v>33</v>
      </c>
      <c r="B241" t="s">
        <v>1031</v>
      </c>
      <c r="C241" t="s">
        <v>21</v>
      </c>
      <c r="D241" t="s">
        <v>1031</v>
      </c>
      <c r="E241" t="s">
        <v>1032</v>
      </c>
      <c r="F241" t="s">
        <v>1033</v>
      </c>
      <c r="G241" t="s">
        <v>24</v>
      </c>
      <c r="H241" t="s">
        <v>1034</v>
      </c>
      <c r="I241" t="s">
        <v>46</v>
      </c>
      <c r="N241" t="s">
        <v>692</v>
      </c>
      <c r="S241" t="s">
        <v>48</v>
      </c>
      <c r="V241" t="s">
        <v>5640</v>
      </c>
      <c r="W241" t="s">
        <v>5641</v>
      </c>
      <c r="X241" s="2">
        <f>IFERROR(VLOOKUP(I241,'Rate Sheet'!$D:$F,3,FALSE),0)</f>
        <v>14.333333333333334</v>
      </c>
      <c r="Y241" s="2">
        <f>IFERROR(VLOOKUP(J241,'Rate Sheet'!$D:$F,3,FALSE),0)</f>
        <v>0</v>
      </c>
      <c r="Z241" s="2">
        <f>IFERROR(VLOOKUP(K241,'Rate Sheet'!$D:$F,3,FALSE),0)</f>
        <v>0</v>
      </c>
      <c r="AA241" s="2">
        <f t="shared" si="3"/>
        <v>14.333333333333334</v>
      </c>
      <c r="AB241">
        <v>1</v>
      </c>
    </row>
    <row r="242" spans="1:28" x14ac:dyDescent="0.25">
      <c r="A242" t="s">
        <v>33</v>
      </c>
      <c r="B242" t="s">
        <v>1035</v>
      </c>
      <c r="C242" t="s">
        <v>21</v>
      </c>
      <c r="D242" t="s">
        <v>1035</v>
      </c>
      <c r="E242" t="s">
        <v>135</v>
      </c>
      <c r="F242" t="s">
        <v>1036</v>
      </c>
      <c r="G242" t="s">
        <v>24</v>
      </c>
      <c r="H242" t="s">
        <v>1037</v>
      </c>
      <c r="I242" t="s">
        <v>46</v>
      </c>
      <c r="L242" t="s">
        <v>26</v>
      </c>
      <c r="N242" t="s">
        <v>27</v>
      </c>
      <c r="S242" t="s">
        <v>48</v>
      </c>
      <c r="V242" t="s">
        <v>5593</v>
      </c>
      <c r="W242" t="s">
        <v>5594</v>
      </c>
      <c r="X242" s="2">
        <f>IFERROR(VLOOKUP(I242,'Rate Sheet'!$D:$F,3,FALSE),0)</f>
        <v>14.333333333333334</v>
      </c>
      <c r="Y242" s="2">
        <f>IFERROR(VLOOKUP(J242,'Rate Sheet'!$D:$F,3,FALSE),0)</f>
        <v>0</v>
      </c>
      <c r="Z242" s="2">
        <f>IFERROR(VLOOKUP(K242,'Rate Sheet'!$D:$F,3,FALSE),0)</f>
        <v>0</v>
      </c>
      <c r="AA242" s="2">
        <f t="shared" si="3"/>
        <v>14.333333333333334</v>
      </c>
      <c r="AB242">
        <v>1</v>
      </c>
    </row>
    <row r="243" spans="1:28" x14ac:dyDescent="0.25">
      <c r="A243" t="s">
        <v>33</v>
      </c>
      <c r="B243" t="s">
        <v>1038</v>
      </c>
      <c r="C243" t="s">
        <v>21</v>
      </c>
      <c r="D243" t="s">
        <v>1038</v>
      </c>
      <c r="E243" t="s">
        <v>1039</v>
      </c>
      <c r="F243" t="s">
        <v>1040</v>
      </c>
      <c r="G243" t="s">
        <v>24</v>
      </c>
      <c r="H243" t="s">
        <v>1041</v>
      </c>
      <c r="I243" t="s">
        <v>46</v>
      </c>
      <c r="N243" t="s">
        <v>1042</v>
      </c>
      <c r="S243" t="s">
        <v>48</v>
      </c>
      <c r="V243" t="s">
        <v>5628</v>
      </c>
      <c r="W243" t="s">
        <v>5629</v>
      </c>
      <c r="X243" s="2">
        <f>IFERROR(VLOOKUP(I243,'Rate Sheet'!$D:$F,3,FALSE),0)</f>
        <v>14.333333333333334</v>
      </c>
      <c r="Y243" s="2">
        <f>IFERROR(VLOOKUP(J243,'Rate Sheet'!$D:$F,3,FALSE),0)</f>
        <v>0</v>
      </c>
      <c r="Z243" s="2">
        <f>IFERROR(VLOOKUP(K243,'Rate Sheet'!$D:$F,3,FALSE),0)</f>
        <v>0</v>
      </c>
      <c r="AA243" s="2">
        <f t="shared" si="3"/>
        <v>14.333333333333334</v>
      </c>
      <c r="AB243">
        <v>1</v>
      </c>
    </row>
    <row r="244" spans="1:28" x14ac:dyDescent="0.25">
      <c r="A244" t="s">
        <v>33</v>
      </c>
      <c r="B244" t="s">
        <v>1043</v>
      </c>
      <c r="C244" t="s">
        <v>21</v>
      </c>
      <c r="D244" t="s">
        <v>1043</v>
      </c>
      <c r="E244" t="s">
        <v>1044</v>
      </c>
      <c r="F244" t="s">
        <v>1045</v>
      </c>
      <c r="G244" t="s">
        <v>24</v>
      </c>
      <c r="H244" t="s">
        <v>1046</v>
      </c>
      <c r="I244" t="s">
        <v>46</v>
      </c>
      <c r="N244" t="s">
        <v>166</v>
      </c>
      <c r="S244" t="s">
        <v>48</v>
      </c>
      <c r="V244" t="s">
        <v>5606</v>
      </c>
      <c r="W244" t="s">
        <v>166</v>
      </c>
      <c r="X244" s="2">
        <f>IFERROR(VLOOKUP(I244,'Rate Sheet'!$D:$F,3,FALSE),0)</f>
        <v>14.333333333333334</v>
      </c>
      <c r="Y244" s="2">
        <f>IFERROR(VLOOKUP(J244,'Rate Sheet'!$D:$F,3,FALSE),0)</f>
        <v>0</v>
      </c>
      <c r="Z244" s="2">
        <f>IFERROR(VLOOKUP(K244,'Rate Sheet'!$D:$F,3,FALSE),0)</f>
        <v>0</v>
      </c>
      <c r="AA244" s="2">
        <f t="shared" si="3"/>
        <v>14.333333333333334</v>
      </c>
      <c r="AB244">
        <v>1</v>
      </c>
    </row>
    <row r="245" spans="1:28" x14ac:dyDescent="0.25">
      <c r="A245" t="s">
        <v>33</v>
      </c>
      <c r="B245" t="s">
        <v>1047</v>
      </c>
      <c r="C245" t="s">
        <v>21</v>
      </c>
      <c r="D245" t="s">
        <v>1047</v>
      </c>
      <c r="E245" t="s">
        <v>1048</v>
      </c>
      <c r="F245" t="s">
        <v>1049</v>
      </c>
      <c r="G245" t="s">
        <v>24</v>
      </c>
      <c r="H245" t="s">
        <v>1050</v>
      </c>
      <c r="I245" t="s">
        <v>46</v>
      </c>
      <c r="N245" t="s">
        <v>317</v>
      </c>
      <c r="S245" t="s">
        <v>48</v>
      </c>
      <c r="V245" t="s">
        <v>5625</v>
      </c>
      <c r="W245" t="s">
        <v>317</v>
      </c>
      <c r="X245" s="2">
        <f>IFERROR(VLOOKUP(I245,'Rate Sheet'!$D:$F,3,FALSE),0)</f>
        <v>14.333333333333334</v>
      </c>
      <c r="Y245" s="2">
        <f>IFERROR(VLOOKUP(J245,'Rate Sheet'!$D:$F,3,FALSE),0)</f>
        <v>0</v>
      </c>
      <c r="Z245" s="2">
        <f>IFERROR(VLOOKUP(K245,'Rate Sheet'!$D:$F,3,FALSE),0)</f>
        <v>0</v>
      </c>
      <c r="AA245" s="2">
        <f t="shared" si="3"/>
        <v>14.333333333333334</v>
      </c>
      <c r="AB245">
        <v>1</v>
      </c>
    </row>
    <row r="246" spans="1:28" x14ac:dyDescent="0.25">
      <c r="A246" t="s">
        <v>33</v>
      </c>
      <c r="B246" t="s">
        <v>1051</v>
      </c>
      <c r="C246" t="s">
        <v>21</v>
      </c>
      <c r="D246" t="s">
        <v>1051</v>
      </c>
      <c r="E246" t="s">
        <v>1052</v>
      </c>
      <c r="F246" t="s">
        <v>1053</v>
      </c>
      <c r="G246" t="s">
        <v>24</v>
      </c>
      <c r="H246" t="s">
        <v>1054</v>
      </c>
      <c r="I246" t="s">
        <v>46</v>
      </c>
      <c r="J246" t="s">
        <v>3206</v>
      </c>
      <c r="N246" t="s">
        <v>327</v>
      </c>
      <c r="S246" t="s">
        <v>1056</v>
      </c>
      <c r="V246" t="s">
        <v>5630</v>
      </c>
      <c r="W246" t="s">
        <v>5631</v>
      </c>
      <c r="X246" s="2">
        <f>IFERROR(VLOOKUP(I246,'Rate Sheet'!$D:$F,3,FALSE),0)</f>
        <v>14.333333333333334</v>
      </c>
      <c r="Y246" s="2">
        <f>IFERROR(VLOOKUP(J246,'Rate Sheet'!$D:$F,3,FALSE),0)</f>
        <v>36.357500000000002</v>
      </c>
      <c r="Z246" s="2">
        <f>IFERROR(VLOOKUP(K246,'Rate Sheet'!$D:$F,3,FALSE),0)</f>
        <v>0</v>
      </c>
      <c r="AA246" s="2">
        <f t="shared" si="3"/>
        <v>50.690833333333337</v>
      </c>
      <c r="AB246">
        <v>1</v>
      </c>
    </row>
    <row r="247" spans="1:28" x14ac:dyDescent="0.25">
      <c r="A247" t="s">
        <v>33</v>
      </c>
      <c r="B247" t="s">
        <v>1057</v>
      </c>
      <c r="C247" t="s">
        <v>21</v>
      </c>
      <c r="D247" t="s">
        <v>1057</v>
      </c>
      <c r="E247" t="s">
        <v>1058</v>
      </c>
      <c r="F247" t="s">
        <v>1059</v>
      </c>
      <c r="G247" t="s">
        <v>24</v>
      </c>
      <c r="H247" t="s">
        <v>1060</v>
      </c>
      <c r="I247" t="s">
        <v>46</v>
      </c>
      <c r="N247" t="s">
        <v>1061</v>
      </c>
      <c r="S247" t="s">
        <v>48</v>
      </c>
      <c r="V247" t="s">
        <v>5679</v>
      </c>
      <c r="W247" t="s">
        <v>1061</v>
      </c>
      <c r="X247" s="2">
        <f>IFERROR(VLOOKUP(I247,'Rate Sheet'!$D:$F,3,FALSE),0)</f>
        <v>14.333333333333334</v>
      </c>
      <c r="Y247" s="2">
        <f>IFERROR(VLOOKUP(J247,'Rate Sheet'!$D:$F,3,FALSE),0)</f>
        <v>0</v>
      </c>
      <c r="Z247" s="2">
        <f>IFERROR(VLOOKUP(K247,'Rate Sheet'!$D:$F,3,FALSE),0)</f>
        <v>0</v>
      </c>
      <c r="AA247" s="2">
        <f t="shared" si="3"/>
        <v>14.333333333333334</v>
      </c>
      <c r="AB247">
        <v>1</v>
      </c>
    </row>
    <row r="248" spans="1:28" x14ac:dyDescent="0.25">
      <c r="A248" t="s">
        <v>33</v>
      </c>
      <c r="B248" t="s">
        <v>1062</v>
      </c>
      <c r="C248" t="s">
        <v>21</v>
      </c>
      <c r="D248" t="s">
        <v>1062</v>
      </c>
      <c r="E248" t="s">
        <v>1063</v>
      </c>
      <c r="F248" t="s">
        <v>1064</v>
      </c>
      <c r="G248" t="s">
        <v>24</v>
      </c>
      <c r="H248" t="s">
        <v>1065</v>
      </c>
      <c r="I248" t="s">
        <v>73</v>
      </c>
      <c r="N248" t="s">
        <v>620</v>
      </c>
      <c r="S248" t="s">
        <v>75</v>
      </c>
      <c r="V248" t="s">
        <v>5680</v>
      </c>
      <c r="W248" t="s">
        <v>5681</v>
      </c>
      <c r="X248" s="2">
        <f>IFERROR(VLOOKUP(I248,'Rate Sheet'!$D:$F,3,FALSE),0)</f>
        <v>8.6983333333333324</v>
      </c>
      <c r="Y248" s="2">
        <f>IFERROR(VLOOKUP(J248,'Rate Sheet'!$D:$F,3,FALSE),0)</f>
        <v>0</v>
      </c>
      <c r="Z248" s="2">
        <f>IFERROR(VLOOKUP(K248,'Rate Sheet'!$D:$F,3,FALSE),0)</f>
        <v>0</v>
      </c>
      <c r="AA248" s="2">
        <f t="shared" si="3"/>
        <v>8.6983333333333324</v>
      </c>
      <c r="AB248">
        <v>1</v>
      </c>
    </row>
    <row r="249" spans="1:28" x14ac:dyDescent="0.25">
      <c r="A249" t="s">
        <v>33</v>
      </c>
      <c r="B249" t="s">
        <v>1066</v>
      </c>
      <c r="C249" t="s">
        <v>29</v>
      </c>
      <c r="D249" t="s">
        <v>1067</v>
      </c>
      <c r="E249" t="s">
        <v>1068</v>
      </c>
      <c r="F249" t="s">
        <v>1069</v>
      </c>
      <c r="G249" t="s">
        <v>24</v>
      </c>
      <c r="H249" t="s">
        <v>1070</v>
      </c>
      <c r="I249" t="s">
        <v>46</v>
      </c>
      <c r="N249" t="s">
        <v>861</v>
      </c>
      <c r="S249" t="s">
        <v>48</v>
      </c>
      <c r="V249" s="10" t="s">
        <v>5612</v>
      </c>
      <c r="W249" s="10" t="s">
        <v>5613</v>
      </c>
      <c r="X249" s="2">
        <f>IFERROR(VLOOKUP(I249,'Rate Sheet'!$D:$F,3,FALSE),0)</f>
        <v>14.333333333333334</v>
      </c>
      <c r="Y249" s="2">
        <f>IFERROR(VLOOKUP(J249,'Rate Sheet'!$D:$F,3,FALSE),0)</f>
        <v>0</v>
      </c>
      <c r="Z249" s="2">
        <f>IFERROR(VLOOKUP(K249,'Rate Sheet'!$D:$F,3,FALSE),0)</f>
        <v>0</v>
      </c>
      <c r="AA249" s="2">
        <f t="shared" si="3"/>
        <v>14.333333333333334</v>
      </c>
      <c r="AB249">
        <v>1</v>
      </c>
    </row>
    <row r="250" spans="1:28" x14ac:dyDescent="0.25">
      <c r="A250" t="s">
        <v>33</v>
      </c>
      <c r="B250" t="s">
        <v>1071</v>
      </c>
      <c r="C250" t="s">
        <v>21</v>
      </c>
      <c r="D250" t="s">
        <v>1071</v>
      </c>
      <c r="E250" t="s">
        <v>1072</v>
      </c>
      <c r="F250" t="s">
        <v>1073</v>
      </c>
      <c r="G250" t="s">
        <v>24</v>
      </c>
      <c r="H250" t="s">
        <v>1074</v>
      </c>
      <c r="I250" t="s">
        <v>46</v>
      </c>
      <c r="N250" t="s">
        <v>74</v>
      </c>
      <c r="S250" t="s">
        <v>48</v>
      </c>
      <c r="V250" t="s">
        <v>5586</v>
      </c>
      <c r="W250" t="s">
        <v>5587</v>
      </c>
      <c r="X250" s="2">
        <f>IFERROR(VLOOKUP(I250,'Rate Sheet'!$D:$F,3,FALSE),0)</f>
        <v>14.333333333333334</v>
      </c>
      <c r="Y250" s="2">
        <f>IFERROR(VLOOKUP(J250,'Rate Sheet'!$D:$F,3,FALSE),0)</f>
        <v>0</v>
      </c>
      <c r="Z250" s="2">
        <f>IFERROR(VLOOKUP(K250,'Rate Sheet'!$D:$F,3,FALSE),0)</f>
        <v>0</v>
      </c>
      <c r="AA250" s="2">
        <f t="shared" si="3"/>
        <v>14.333333333333334</v>
      </c>
      <c r="AB250">
        <v>1</v>
      </c>
    </row>
    <row r="251" spans="1:28" x14ac:dyDescent="0.25">
      <c r="A251" t="s">
        <v>33</v>
      </c>
      <c r="B251" t="s">
        <v>1075</v>
      </c>
      <c r="C251" t="s">
        <v>21</v>
      </c>
      <c r="D251" t="s">
        <v>1075</v>
      </c>
      <c r="E251" t="s">
        <v>1076</v>
      </c>
      <c r="F251" t="s">
        <v>1077</v>
      </c>
      <c r="G251" t="s">
        <v>24</v>
      </c>
      <c r="H251" t="s">
        <v>1078</v>
      </c>
      <c r="I251" t="s">
        <v>73</v>
      </c>
      <c r="N251" t="s">
        <v>27</v>
      </c>
      <c r="S251" t="s">
        <v>75</v>
      </c>
      <c r="V251" s="10" t="s">
        <v>5576</v>
      </c>
      <c r="W251" s="10" t="s">
        <v>5577</v>
      </c>
      <c r="X251" s="2">
        <f>IFERROR(VLOOKUP(I251,'Rate Sheet'!$D:$F,3,FALSE),0)</f>
        <v>8.6983333333333324</v>
      </c>
      <c r="Y251" s="2">
        <f>IFERROR(VLOOKUP(J251,'Rate Sheet'!$D:$F,3,FALSE),0)</f>
        <v>0</v>
      </c>
      <c r="Z251" s="2">
        <f>IFERROR(VLOOKUP(K251,'Rate Sheet'!$D:$F,3,FALSE),0)</f>
        <v>0</v>
      </c>
      <c r="AA251" s="2">
        <f t="shared" si="3"/>
        <v>8.6983333333333324</v>
      </c>
      <c r="AB251">
        <v>1</v>
      </c>
    </row>
    <row r="252" spans="1:28" x14ac:dyDescent="0.25">
      <c r="A252" t="s">
        <v>33</v>
      </c>
      <c r="B252" t="s">
        <v>1079</v>
      </c>
      <c r="C252" t="s">
        <v>21</v>
      </c>
      <c r="D252" t="s">
        <v>1079</v>
      </c>
      <c r="E252" t="s">
        <v>1080</v>
      </c>
      <c r="F252" t="s">
        <v>1081</v>
      </c>
      <c r="G252" t="s">
        <v>24</v>
      </c>
      <c r="H252" t="s">
        <v>1082</v>
      </c>
      <c r="I252" t="s">
        <v>73</v>
      </c>
      <c r="N252" t="s">
        <v>517</v>
      </c>
      <c r="S252" t="s">
        <v>75</v>
      </c>
      <c r="V252" t="s">
        <v>5682</v>
      </c>
      <c r="W252" t="s">
        <v>517</v>
      </c>
      <c r="X252" s="2">
        <f>IFERROR(VLOOKUP(I252,'Rate Sheet'!$D:$F,3,FALSE),0)</f>
        <v>8.6983333333333324</v>
      </c>
      <c r="Y252" s="2">
        <f>IFERROR(VLOOKUP(J252,'Rate Sheet'!$D:$F,3,FALSE),0)</f>
        <v>0</v>
      </c>
      <c r="Z252" s="2">
        <f>IFERROR(VLOOKUP(K252,'Rate Sheet'!$D:$F,3,FALSE),0)</f>
        <v>0</v>
      </c>
      <c r="AA252" s="2">
        <f t="shared" si="3"/>
        <v>8.6983333333333324</v>
      </c>
      <c r="AB252">
        <v>1</v>
      </c>
    </row>
    <row r="253" spans="1:28" x14ac:dyDescent="0.25">
      <c r="A253" t="s">
        <v>33</v>
      </c>
      <c r="B253" t="s">
        <v>1083</v>
      </c>
      <c r="C253" t="s">
        <v>21</v>
      </c>
      <c r="D253" t="s">
        <v>1083</v>
      </c>
      <c r="E253" t="s">
        <v>126</v>
      </c>
      <c r="F253" t="s">
        <v>1084</v>
      </c>
      <c r="G253" t="s">
        <v>24</v>
      </c>
      <c r="H253" t="s">
        <v>1085</v>
      </c>
      <c r="I253" t="s">
        <v>46</v>
      </c>
      <c r="N253" t="s">
        <v>185</v>
      </c>
      <c r="S253" t="s">
        <v>48</v>
      </c>
      <c r="V253" t="s">
        <v>5610</v>
      </c>
      <c r="W253" t="s">
        <v>5611</v>
      </c>
      <c r="X253" s="2">
        <f>IFERROR(VLOOKUP(I253,'Rate Sheet'!$D:$F,3,FALSE),0)</f>
        <v>14.333333333333334</v>
      </c>
      <c r="Y253" s="2">
        <f>IFERROR(VLOOKUP(J253,'Rate Sheet'!$D:$F,3,FALSE),0)</f>
        <v>0</v>
      </c>
      <c r="Z253" s="2">
        <f>IFERROR(VLOOKUP(K253,'Rate Sheet'!$D:$F,3,FALSE),0)</f>
        <v>0</v>
      </c>
      <c r="AA253" s="2">
        <f t="shared" si="3"/>
        <v>14.333333333333334</v>
      </c>
      <c r="AB253">
        <v>1</v>
      </c>
    </row>
    <row r="254" spans="1:28" x14ac:dyDescent="0.25">
      <c r="A254" t="s">
        <v>33</v>
      </c>
      <c r="B254" t="s">
        <v>1086</v>
      </c>
      <c r="C254" t="s">
        <v>21</v>
      </c>
      <c r="D254" t="s">
        <v>1086</v>
      </c>
      <c r="E254" t="s">
        <v>70</v>
      </c>
      <c r="F254" t="s">
        <v>1087</v>
      </c>
      <c r="G254" t="s">
        <v>24</v>
      </c>
      <c r="H254" t="s">
        <v>1088</v>
      </c>
      <c r="I254" t="s">
        <v>46</v>
      </c>
      <c r="N254" t="s">
        <v>1042</v>
      </c>
      <c r="S254" t="s">
        <v>48</v>
      </c>
      <c r="V254" t="s">
        <v>5683</v>
      </c>
      <c r="W254" t="s">
        <v>5684</v>
      </c>
      <c r="X254" s="2">
        <f>IFERROR(VLOOKUP(I254,'Rate Sheet'!$D:$F,3,FALSE),0)</f>
        <v>14.333333333333334</v>
      </c>
      <c r="Y254" s="2">
        <f>IFERROR(VLOOKUP(J254,'Rate Sheet'!$D:$F,3,FALSE),0)</f>
        <v>0</v>
      </c>
      <c r="Z254" s="2">
        <f>IFERROR(VLOOKUP(K254,'Rate Sheet'!$D:$F,3,FALSE),0)</f>
        <v>0</v>
      </c>
      <c r="AA254" s="2">
        <f t="shared" si="3"/>
        <v>14.333333333333334</v>
      </c>
      <c r="AB254">
        <v>1</v>
      </c>
    </row>
    <row r="255" spans="1:28" x14ac:dyDescent="0.25">
      <c r="A255" t="s">
        <v>33</v>
      </c>
      <c r="B255" t="s">
        <v>1089</v>
      </c>
      <c r="C255" t="s">
        <v>21</v>
      </c>
      <c r="D255" t="s">
        <v>1089</v>
      </c>
      <c r="E255" t="s">
        <v>159</v>
      </c>
      <c r="F255" t="s">
        <v>1090</v>
      </c>
      <c r="G255" t="s">
        <v>24</v>
      </c>
      <c r="H255" t="s">
        <v>1091</v>
      </c>
      <c r="I255" t="s">
        <v>46</v>
      </c>
      <c r="N255" t="s">
        <v>1061</v>
      </c>
      <c r="S255" t="s">
        <v>48</v>
      </c>
      <c r="V255" t="s">
        <v>5679</v>
      </c>
      <c r="W255" t="s">
        <v>1061</v>
      </c>
      <c r="X255" s="2">
        <f>IFERROR(VLOOKUP(I255,'Rate Sheet'!$D:$F,3,FALSE),0)</f>
        <v>14.333333333333334</v>
      </c>
      <c r="Y255" s="2">
        <f>IFERROR(VLOOKUP(J255,'Rate Sheet'!$D:$F,3,FALSE),0)</f>
        <v>0</v>
      </c>
      <c r="Z255" s="2">
        <f>IFERROR(VLOOKUP(K255,'Rate Sheet'!$D:$F,3,FALSE),0)</f>
        <v>0</v>
      </c>
      <c r="AA255" s="2">
        <f t="shared" si="3"/>
        <v>14.333333333333334</v>
      </c>
      <c r="AB255">
        <v>1</v>
      </c>
    </row>
    <row r="256" spans="1:28" x14ac:dyDescent="0.25">
      <c r="A256" t="s">
        <v>33</v>
      </c>
      <c r="B256" t="s">
        <v>1092</v>
      </c>
      <c r="C256" t="s">
        <v>21</v>
      </c>
      <c r="D256" t="s">
        <v>1092</v>
      </c>
      <c r="E256" t="s">
        <v>1093</v>
      </c>
      <c r="F256" t="s">
        <v>1094</v>
      </c>
      <c r="G256" t="s">
        <v>24</v>
      </c>
      <c r="H256" t="s">
        <v>1095</v>
      </c>
      <c r="N256" t="s">
        <v>74</v>
      </c>
      <c r="X256" s="2">
        <f>IFERROR(VLOOKUP(I256,'Rate Sheet'!$D:$F,3,FALSE),0)</f>
        <v>0</v>
      </c>
      <c r="Y256" s="2">
        <f>IFERROR(VLOOKUP(J256,'Rate Sheet'!$D:$F,3,FALSE),0)</f>
        <v>0</v>
      </c>
      <c r="Z256" s="2">
        <f>IFERROR(VLOOKUP(K256,'Rate Sheet'!$D:$F,3,FALSE),0)</f>
        <v>0</v>
      </c>
      <c r="AA256" s="2">
        <f t="shared" si="3"/>
        <v>0</v>
      </c>
    </row>
    <row r="257" spans="1:28" x14ac:dyDescent="0.25">
      <c r="A257" t="s">
        <v>33</v>
      </c>
      <c r="B257" t="s">
        <v>1096</v>
      </c>
      <c r="C257" t="s">
        <v>21</v>
      </c>
      <c r="D257" t="s">
        <v>1096</v>
      </c>
      <c r="E257" t="s">
        <v>1097</v>
      </c>
      <c r="F257" t="s">
        <v>1098</v>
      </c>
      <c r="G257" t="s">
        <v>24</v>
      </c>
      <c r="H257" t="s">
        <v>1099</v>
      </c>
      <c r="I257" t="s">
        <v>46</v>
      </c>
      <c r="N257" t="s">
        <v>994</v>
      </c>
      <c r="S257" t="s">
        <v>48</v>
      </c>
      <c r="V257" s="10" t="s">
        <v>5653</v>
      </c>
      <c r="W257" s="10" t="s">
        <v>5654</v>
      </c>
      <c r="X257" s="2">
        <f>IFERROR(VLOOKUP(I257,'Rate Sheet'!$D:$F,3,FALSE),0)</f>
        <v>14.333333333333334</v>
      </c>
      <c r="Y257" s="2">
        <f>IFERROR(VLOOKUP(J257,'Rate Sheet'!$D:$F,3,FALSE),0)</f>
        <v>0</v>
      </c>
      <c r="Z257" s="2">
        <f>IFERROR(VLOOKUP(K257,'Rate Sheet'!$D:$F,3,FALSE),0)</f>
        <v>0</v>
      </c>
      <c r="AA257" s="2">
        <f t="shared" ref="AA257:AA317" si="4">SUM(X257:Z257)</f>
        <v>14.333333333333334</v>
      </c>
      <c r="AB257">
        <v>1</v>
      </c>
    </row>
    <row r="258" spans="1:28" x14ac:dyDescent="0.25">
      <c r="A258" t="s">
        <v>33</v>
      </c>
      <c r="B258" t="s">
        <v>1100</v>
      </c>
      <c r="C258" t="s">
        <v>21</v>
      </c>
      <c r="D258" t="s">
        <v>1100</v>
      </c>
      <c r="E258" t="s">
        <v>363</v>
      </c>
      <c r="F258" t="s">
        <v>1101</v>
      </c>
      <c r="G258" t="s">
        <v>24</v>
      </c>
      <c r="H258" t="s">
        <v>1102</v>
      </c>
      <c r="I258" t="s">
        <v>96</v>
      </c>
      <c r="N258" t="s">
        <v>349</v>
      </c>
      <c r="S258" t="s">
        <v>98</v>
      </c>
      <c r="V258" t="s">
        <v>5630</v>
      </c>
      <c r="W258" t="s">
        <v>5631</v>
      </c>
      <c r="X258" s="2">
        <f>IFERROR(VLOOKUP(I258,'Rate Sheet'!$D:$F,3,FALSE),0)</f>
        <v>82.24</v>
      </c>
      <c r="Y258" s="2">
        <f>IFERROR(VLOOKUP(J258,'Rate Sheet'!$D:$F,3,FALSE),0)</f>
        <v>0</v>
      </c>
      <c r="Z258" s="2">
        <f>IFERROR(VLOOKUP(K258,'Rate Sheet'!$D:$F,3,FALSE),0)</f>
        <v>0</v>
      </c>
      <c r="AA258" s="2">
        <f t="shared" si="4"/>
        <v>82.24</v>
      </c>
      <c r="AB258">
        <v>1</v>
      </c>
    </row>
    <row r="259" spans="1:28" x14ac:dyDescent="0.25">
      <c r="A259" t="s">
        <v>33</v>
      </c>
      <c r="B259" t="s">
        <v>1103</v>
      </c>
      <c r="C259" t="s">
        <v>21</v>
      </c>
      <c r="D259" t="s">
        <v>1103</v>
      </c>
      <c r="E259" t="s">
        <v>1104</v>
      </c>
      <c r="F259" t="s">
        <v>1105</v>
      </c>
      <c r="G259" t="s">
        <v>24</v>
      </c>
      <c r="H259" t="s">
        <v>1106</v>
      </c>
      <c r="I259" t="s">
        <v>46</v>
      </c>
      <c r="N259" t="s">
        <v>994</v>
      </c>
      <c r="S259" t="s">
        <v>48</v>
      </c>
      <c r="V259" t="s">
        <v>5653</v>
      </c>
      <c r="W259" t="s">
        <v>5654</v>
      </c>
      <c r="X259" s="2">
        <f>IFERROR(VLOOKUP(I259,'Rate Sheet'!$D:$F,3,FALSE),0)</f>
        <v>14.333333333333334</v>
      </c>
      <c r="Y259" s="2">
        <f>IFERROR(VLOOKUP(J259,'Rate Sheet'!$D:$F,3,FALSE),0)</f>
        <v>0</v>
      </c>
      <c r="Z259" s="2">
        <f>IFERROR(VLOOKUP(K259,'Rate Sheet'!$D:$F,3,FALSE),0)</f>
        <v>0</v>
      </c>
      <c r="AA259" s="2">
        <f t="shared" si="4"/>
        <v>14.333333333333334</v>
      </c>
      <c r="AB259">
        <v>1</v>
      </c>
    </row>
    <row r="260" spans="1:28" x14ac:dyDescent="0.25">
      <c r="A260" t="s">
        <v>33</v>
      </c>
      <c r="B260" t="s">
        <v>1107</v>
      </c>
      <c r="C260" t="s">
        <v>21</v>
      </c>
      <c r="D260" t="s">
        <v>1107</v>
      </c>
      <c r="E260" t="s">
        <v>1108</v>
      </c>
      <c r="F260" t="s">
        <v>1109</v>
      </c>
      <c r="G260" t="s">
        <v>24</v>
      </c>
      <c r="H260" t="s">
        <v>1110</v>
      </c>
      <c r="I260" t="s">
        <v>46</v>
      </c>
      <c r="N260" t="s">
        <v>38</v>
      </c>
      <c r="S260" t="s">
        <v>48</v>
      </c>
      <c r="V260" t="s">
        <v>5582</v>
      </c>
      <c r="W260" t="s">
        <v>5583</v>
      </c>
      <c r="X260" s="2">
        <f>IFERROR(VLOOKUP(I260,'Rate Sheet'!$D:$F,3,FALSE),0)</f>
        <v>14.333333333333334</v>
      </c>
      <c r="Y260" s="2">
        <f>IFERROR(VLOOKUP(J260,'Rate Sheet'!$D:$F,3,FALSE),0)</f>
        <v>0</v>
      </c>
      <c r="Z260" s="2">
        <f>IFERROR(VLOOKUP(K260,'Rate Sheet'!$D:$F,3,FALSE),0)</f>
        <v>0</v>
      </c>
      <c r="AA260" s="2">
        <f t="shared" si="4"/>
        <v>14.333333333333334</v>
      </c>
      <c r="AB260">
        <v>1</v>
      </c>
    </row>
    <row r="261" spans="1:28" x14ac:dyDescent="0.25">
      <c r="A261" t="s">
        <v>33</v>
      </c>
      <c r="B261" t="s">
        <v>1111</v>
      </c>
      <c r="C261" t="s">
        <v>92</v>
      </c>
      <c r="D261" t="s">
        <v>1111</v>
      </c>
      <c r="E261" t="s">
        <v>1112</v>
      </c>
      <c r="F261" t="s">
        <v>1113</v>
      </c>
      <c r="G261" t="s">
        <v>24</v>
      </c>
      <c r="H261" t="s">
        <v>1114</v>
      </c>
      <c r="I261" t="s">
        <v>46</v>
      </c>
      <c r="N261" t="s">
        <v>1115</v>
      </c>
      <c r="S261" t="s">
        <v>48</v>
      </c>
      <c r="V261" t="s">
        <v>5685</v>
      </c>
      <c r="W261" t="s">
        <v>1115</v>
      </c>
      <c r="X261" s="2">
        <f>IFERROR(VLOOKUP(I261,'Rate Sheet'!$D:$F,3,FALSE),0)</f>
        <v>14.333333333333334</v>
      </c>
      <c r="Y261" s="2">
        <f>IFERROR(VLOOKUP(J261,'Rate Sheet'!$D:$F,3,FALSE),0)</f>
        <v>0</v>
      </c>
      <c r="Z261" s="2">
        <f>IFERROR(VLOOKUP(K261,'Rate Sheet'!$D:$F,3,FALSE),0)</f>
        <v>0</v>
      </c>
      <c r="AA261" s="2">
        <f t="shared" si="4"/>
        <v>14.333333333333334</v>
      </c>
      <c r="AB261">
        <v>1</v>
      </c>
    </row>
    <row r="262" spans="1:28" x14ac:dyDescent="0.25">
      <c r="A262" t="s">
        <v>33</v>
      </c>
      <c r="B262" t="s">
        <v>1116</v>
      </c>
      <c r="C262" t="s">
        <v>21</v>
      </c>
      <c r="D262" t="s">
        <v>1116</v>
      </c>
      <c r="E262" t="s">
        <v>1117</v>
      </c>
      <c r="F262" t="s">
        <v>1118</v>
      </c>
      <c r="G262" t="s">
        <v>24</v>
      </c>
      <c r="H262" t="s">
        <v>1119</v>
      </c>
      <c r="I262" t="s">
        <v>46</v>
      </c>
      <c r="N262" t="s">
        <v>1115</v>
      </c>
      <c r="S262" t="s">
        <v>48</v>
      </c>
      <c r="V262" t="s">
        <v>5584</v>
      </c>
      <c r="W262" t="s">
        <v>63</v>
      </c>
      <c r="X262" s="2">
        <f>IFERROR(VLOOKUP(I262,'Rate Sheet'!$D:$F,3,FALSE),0)</f>
        <v>14.333333333333334</v>
      </c>
      <c r="Y262" s="2">
        <f>IFERROR(VLOOKUP(J262,'Rate Sheet'!$D:$F,3,FALSE),0)</f>
        <v>0</v>
      </c>
      <c r="Z262" s="2">
        <f>IFERROR(VLOOKUP(K262,'Rate Sheet'!$D:$F,3,FALSE),0)</f>
        <v>0</v>
      </c>
      <c r="AA262" s="2">
        <f t="shared" si="4"/>
        <v>14.333333333333334</v>
      </c>
      <c r="AB262">
        <v>1</v>
      </c>
    </row>
    <row r="263" spans="1:28" x14ac:dyDescent="0.25">
      <c r="A263" t="s">
        <v>33</v>
      </c>
      <c r="B263" t="s">
        <v>1120</v>
      </c>
      <c r="C263" t="s">
        <v>21</v>
      </c>
      <c r="D263" t="s">
        <v>1120</v>
      </c>
      <c r="E263" t="s">
        <v>1121</v>
      </c>
      <c r="F263" t="s">
        <v>1122</v>
      </c>
      <c r="G263" t="s">
        <v>24</v>
      </c>
      <c r="H263" t="s">
        <v>1123</v>
      </c>
      <c r="I263" t="s">
        <v>46</v>
      </c>
      <c r="N263" t="s">
        <v>914</v>
      </c>
      <c r="S263" t="s">
        <v>48</v>
      </c>
      <c r="V263" t="s">
        <v>5686</v>
      </c>
      <c r="W263" t="s">
        <v>5687</v>
      </c>
      <c r="X263" s="2">
        <f>IFERROR(VLOOKUP(I263,'Rate Sheet'!$D:$F,3,FALSE),0)</f>
        <v>14.333333333333334</v>
      </c>
      <c r="Y263" s="2">
        <f>IFERROR(VLOOKUP(J263,'Rate Sheet'!$D:$F,3,FALSE),0)</f>
        <v>0</v>
      </c>
      <c r="Z263" s="2">
        <f>IFERROR(VLOOKUP(K263,'Rate Sheet'!$D:$F,3,FALSE),0)</f>
        <v>0</v>
      </c>
      <c r="AA263" s="2">
        <f t="shared" si="4"/>
        <v>14.333333333333334</v>
      </c>
      <c r="AB263">
        <v>1</v>
      </c>
    </row>
    <row r="264" spans="1:28" x14ac:dyDescent="0.25">
      <c r="A264" t="s">
        <v>33</v>
      </c>
      <c r="B264" t="s">
        <v>1124</v>
      </c>
      <c r="C264" t="s">
        <v>92</v>
      </c>
      <c r="D264" t="s">
        <v>1124</v>
      </c>
      <c r="E264" t="s">
        <v>1125</v>
      </c>
      <c r="F264" t="s">
        <v>1126</v>
      </c>
      <c r="G264" t="s">
        <v>24</v>
      </c>
      <c r="H264" t="s">
        <v>1127</v>
      </c>
      <c r="I264" t="s">
        <v>46</v>
      </c>
      <c r="N264" t="s">
        <v>937</v>
      </c>
      <c r="S264" t="s">
        <v>48</v>
      </c>
      <c r="V264" t="s">
        <v>5599</v>
      </c>
      <c r="W264" t="s">
        <v>129</v>
      </c>
      <c r="X264" s="2">
        <f>IFERROR(VLOOKUP(I264,'Rate Sheet'!$D:$F,3,FALSE),0)</f>
        <v>14.333333333333334</v>
      </c>
      <c r="Y264" s="2">
        <f>IFERROR(VLOOKUP(J264,'Rate Sheet'!$D:$F,3,FALSE),0)</f>
        <v>0</v>
      </c>
      <c r="Z264" s="2">
        <f>IFERROR(VLOOKUP(K264,'Rate Sheet'!$D:$F,3,FALSE),0)</f>
        <v>0</v>
      </c>
      <c r="AA264" s="2">
        <f t="shared" si="4"/>
        <v>14.333333333333334</v>
      </c>
      <c r="AB264">
        <v>1</v>
      </c>
    </row>
    <row r="265" spans="1:28" x14ac:dyDescent="0.25">
      <c r="A265" t="s">
        <v>33</v>
      </c>
      <c r="B265" t="s">
        <v>1128</v>
      </c>
      <c r="C265" t="s">
        <v>21</v>
      </c>
      <c r="D265" t="s">
        <v>1128</v>
      </c>
      <c r="E265" t="s">
        <v>87</v>
      </c>
      <c r="F265" t="s">
        <v>1129</v>
      </c>
      <c r="G265" t="s">
        <v>24</v>
      </c>
      <c r="H265" t="s">
        <v>1130</v>
      </c>
      <c r="I265" t="s">
        <v>46</v>
      </c>
      <c r="N265" t="s">
        <v>1131</v>
      </c>
      <c r="S265" t="s">
        <v>48</v>
      </c>
      <c r="V265" t="s">
        <v>5683</v>
      </c>
      <c r="W265" t="s">
        <v>5684</v>
      </c>
      <c r="X265" s="2">
        <f>IFERROR(VLOOKUP(I265,'Rate Sheet'!$D:$F,3,FALSE),0)</f>
        <v>14.333333333333334</v>
      </c>
      <c r="Y265" s="2">
        <f>IFERROR(VLOOKUP(J265,'Rate Sheet'!$D:$F,3,FALSE),0)</f>
        <v>0</v>
      </c>
      <c r="Z265" s="2">
        <f>IFERROR(VLOOKUP(K265,'Rate Sheet'!$D:$F,3,FALSE),0)</f>
        <v>0</v>
      </c>
      <c r="AA265" s="2">
        <f t="shared" si="4"/>
        <v>14.333333333333334</v>
      </c>
      <c r="AB265">
        <v>1</v>
      </c>
    </row>
    <row r="266" spans="1:28" x14ac:dyDescent="0.25">
      <c r="A266" t="s">
        <v>33</v>
      </c>
      <c r="B266" t="s">
        <v>1132</v>
      </c>
      <c r="C266" t="s">
        <v>21</v>
      </c>
      <c r="D266" t="s">
        <v>1132</v>
      </c>
      <c r="E266" t="s">
        <v>1063</v>
      </c>
      <c r="F266" t="s">
        <v>1133</v>
      </c>
      <c r="G266" t="s">
        <v>24</v>
      </c>
      <c r="H266" t="s">
        <v>1134</v>
      </c>
      <c r="N266" t="s">
        <v>1135</v>
      </c>
      <c r="X266" s="2">
        <f>IFERROR(VLOOKUP(I266,'Rate Sheet'!$D:$F,3,FALSE),0)</f>
        <v>0</v>
      </c>
      <c r="Y266" s="2">
        <f>IFERROR(VLOOKUP(J266,'Rate Sheet'!$D:$F,3,FALSE),0)</f>
        <v>0</v>
      </c>
      <c r="Z266" s="2">
        <f>IFERROR(VLOOKUP(K266,'Rate Sheet'!$D:$F,3,FALSE),0)</f>
        <v>0</v>
      </c>
      <c r="AA266" s="2">
        <f t="shared" si="4"/>
        <v>0</v>
      </c>
    </row>
    <row r="267" spans="1:28" x14ac:dyDescent="0.25">
      <c r="A267" t="s">
        <v>33</v>
      </c>
      <c r="B267" t="s">
        <v>1136</v>
      </c>
      <c r="C267" t="s">
        <v>21</v>
      </c>
      <c r="D267" t="s">
        <v>1136</v>
      </c>
      <c r="E267" t="s">
        <v>1137</v>
      </c>
      <c r="F267" t="s">
        <v>1138</v>
      </c>
      <c r="G267" t="s">
        <v>24</v>
      </c>
      <c r="H267" s="1" t="s">
        <v>1139</v>
      </c>
      <c r="I267" t="s">
        <v>46</v>
      </c>
      <c r="N267" t="s">
        <v>986</v>
      </c>
      <c r="S267" t="s">
        <v>48</v>
      </c>
      <c r="V267" t="s">
        <v>5582</v>
      </c>
      <c r="W267" t="s">
        <v>5583</v>
      </c>
      <c r="X267" s="2">
        <f>IFERROR(VLOOKUP(I267,'Rate Sheet'!$D:$F,3,FALSE),0)</f>
        <v>14.333333333333334</v>
      </c>
      <c r="Y267" s="2">
        <f>IFERROR(VLOOKUP(J267,'Rate Sheet'!$D:$F,3,FALSE),0)</f>
        <v>0</v>
      </c>
      <c r="Z267" s="2">
        <f>IFERROR(VLOOKUP(K267,'Rate Sheet'!$D:$F,3,FALSE),0)</f>
        <v>0</v>
      </c>
      <c r="AA267" s="2">
        <f t="shared" si="4"/>
        <v>14.333333333333334</v>
      </c>
      <c r="AB267">
        <v>1</v>
      </c>
    </row>
    <row r="268" spans="1:28" x14ac:dyDescent="0.25">
      <c r="A268" t="s">
        <v>33</v>
      </c>
      <c r="B268" t="s">
        <v>1140</v>
      </c>
      <c r="C268" t="s">
        <v>21</v>
      </c>
      <c r="D268" t="s">
        <v>1141</v>
      </c>
      <c r="E268" t="s">
        <v>1142</v>
      </c>
      <c r="F268" t="s">
        <v>1143</v>
      </c>
      <c r="G268" t="s">
        <v>24</v>
      </c>
      <c r="H268" t="s">
        <v>1144</v>
      </c>
      <c r="I268" t="s">
        <v>73</v>
      </c>
      <c r="N268" t="s">
        <v>643</v>
      </c>
      <c r="S268" t="s">
        <v>75</v>
      </c>
      <c r="V268" s="10" t="s">
        <v>5595</v>
      </c>
      <c r="W268" s="10" t="s">
        <v>108</v>
      </c>
      <c r="X268" s="2">
        <f>IFERROR(VLOOKUP(I268,'Rate Sheet'!$D:$F,3,FALSE),0)</f>
        <v>8.6983333333333324</v>
      </c>
      <c r="Y268" s="2">
        <f>IFERROR(VLOOKUP(J268,'Rate Sheet'!$D:$F,3,FALSE),0)</f>
        <v>0</v>
      </c>
      <c r="Z268" s="2">
        <f>IFERROR(VLOOKUP(K268,'Rate Sheet'!$D:$F,3,FALSE),0)</f>
        <v>0</v>
      </c>
      <c r="AA268" s="2">
        <f t="shared" si="4"/>
        <v>8.6983333333333324</v>
      </c>
      <c r="AB268">
        <v>1</v>
      </c>
    </row>
    <row r="269" spans="1:28" x14ac:dyDescent="0.25">
      <c r="A269" t="s">
        <v>33</v>
      </c>
      <c r="B269" t="s">
        <v>1145</v>
      </c>
      <c r="C269" t="s">
        <v>21</v>
      </c>
      <c r="D269" t="s">
        <v>1145</v>
      </c>
      <c r="E269" t="s">
        <v>1146</v>
      </c>
      <c r="F269" t="s">
        <v>465</v>
      </c>
      <c r="G269" t="s">
        <v>24</v>
      </c>
      <c r="H269" t="s">
        <v>1147</v>
      </c>
      <c r="I269" t="s">
        <v>46</v>
      </c>
      <c r="N269" t="s">
        <v>389</v>
      </c>
      <c r="S269" t="s">
        <v>48</v>
      </c>
      <c r="V269" t="s">
        <v>5628</v>
      </c>
      <c r="W269" t="s">
        <v>5629</v>
      </c>
      <c r="X269" s="2">
        <f>IFERROR(VLOOKUP(I269,'Rate Sheet'!$D:$F,3,FALSE),0)</f>
        <v>14.333333333333334</v>
      </c>
      <c r="Y269" s="2">
        <f>IFERROR(VLOOKUP(J269,'Rate Sheet'!$D:$F,3,FALSE),0)</f>
        <v>0</v>
      </c>
      <c r="Z269" s="2">
        <f>IFERROR(VLOOKUP(K269,'Rate Sheet'!$D:$F,3,FALSE),0)</f>
        <v>0</v>
      </c>
      <c r="AA269" s="2">
        <f t="shared" si="4"/>
        <v>14.333333333333334</v>
      </c>
      <c r="AB269">
        <v>1</v>
      </c>
    </row>
    <row r="270" spans="1:28" x14ac:dyDescent="0.25">
      <c r="A270" t="s">
        <v>33</v>
      </c>
      <c r="B270" t="s">
        <v>1148</v>
      </c>
      <c r="C270" t="s">
        <v>21</v>
      </c>
      <c r="D270" t="s">
        <v>1148</v>
      </c>
      <c r="E270" t="s">
        <v>1149</v>
      </c>
      <c r="F270" t="s">
        <v>1150</v>
      </c>
      <c r="G270" t="s">
        <v>24</v>
      </c>
      <c r="H270" t="s">
        <v>1151</v>
      </c>
      <c r="I270" t="s">
        <v>46</v>
      </c>
      <c r="N270" t="s">
        <v>1152</v>
      </c>
      <c r="S270" t="s">
        <v>48</v>
      </c>
      <c r="V270" t="s">
        <v>5688</v>
      </c>
      <c r="W270" t="s">
        <v>1152</v>
      </c>
      <c r="X270" s="2">
        <f>IFERROR(VLOOKUP(I270,'Rate Sheet'!$D:$F,3,FALSE),0)</f>
        <v>14.333333333333334</v>
      </c>
      <c r="Y270" s="2">
        <f>IFERROR(VLOOKUP(J270,'Rate Sheet'!$D:$F,3,FALSE),0)</f>
        <v>0</v>
      </c>
      <c r="Z270" s="2">
        <f>IFERROR(VLOOKUP(K270,'Rate Sheet'!$D:$F,3,FALSE),0)</f>
        <v>0</v>
      </c>
      <c r="AA270" s="2">
        <f t="shared" si="4"/>
        <v>14.333333333333334</v>
      </c>
      <c r="AB270">
        <v>1</v>
      </c>
    </row>
    <row r="271" spans="1:28" x14ac:dyDescent="0.25">
      <c r="A271" t="s">
        <v>33</v>
      </c>
      <c r="B271" t="s">
        <v>1153</v>
      </c>
      <c r="C271" t="s">
        <v>21</v>
      </c>
      <c r="D271" t="s">
        <v>1153</v>
      </c>
      <c r="E271" t="s">
        <v>1154</v>
      </c>
      <c r="F271" t="s">
        <v>1155</v>
      </c>
      <c r="G271" t="s">
        <v>24</v>
      </c>
      <c r="H271" t="s">
        <v>1156</v>
      </c>
      <c r="N271" t="s">
        <v>138</v>
      </c>
      <c r="X271" s="2">
        <f>IFERROR(VLOOKUP(I271,'Rate Sheet'!$D:$F,3,FALSE),0)</f>
        <v>0</v>
      </c>
      <c r="Y271" s="2">
        <f>IFERROR(VLOOKUP(J271,'Rate Sheet'!$D:$F,3,FALSE),0)</f>
        <v>0</v>
      </c>
      <c r="Z271" s="2">
        <f>IFERROR(VLOOKUP(K271,'Rate Sheet'!$D:$F,3,FALSE),0)</f>
        <v>0</v>
      </c>
      <c r="AA271" s="2">
        <f t="shared" si="4"/>
        <v>0</v>
      </c>
    </row>
    <row r="272" spans="1:28" x14ac:dyDescent="0.25">
      <c r="A272" t="s">
        <v>33</v>
      </c>
      <c r="B272" t="s">
        <v>1157</v>
      </c>
      <c r="C272" t="s">
        <v>21</v>
      </c>
      <c r="D272" t="s">
        <v>1157</v>
      </c>
      <c r="E272" t="s">
        <v>359</v>
      </c>
      <c r="F272" t="s">
        <v>1158</v>
      </c>
      <c r="G272" t="s">
        <v>24</v>
      </c>
      <c r="H272" t="s">
        <v>1159</v>
      </c>
      <c r="I272" t="s">
        <v>46</v>
      </c>
      <c r="N272" t="s">
        <v>74</v>
      </c>
      <c r="S272" t="s">
        <v>48</v>
      </c>
      <c r="V272" t="s">
        <v>5586</v>
      </c>
      <c r="W272" t="s">
        <v>5587</v>
      </c>
      <c r="X272" s="2">
        <f>IFERROR(VLOOKUP(I272,'Rate Sheet'!$D:$F,3,FALSE),0)</f>
        <v>14.333333333333334</v>
      </c>
      <c r="Y272" s="2">
        <f>IFERROR(VLOOKUP(J272,'Rate Sheet'!$D:$F,3,FALSE),0)</f>
        <v>0</v>
      </c>
      <c r="Z272" s="2">
        <f>IFERROR(VLOOKUP(K272,'Rate Sheet'!$D:$F,3,FALSE),0)</f>
        <v>0</v>
      </c>
      <c r="AA272" s="2">
        <f t="shared" si="4"/>
        <v>14.333333333333334</v>
      </c>
      <c r="AB272">
        <v>1</v>
      </c>
    </row>
    <row r="273" spans="1:28" x14ac:dyDescent="0.25">
      <c r="A273" t="s">
        <v>33</v>
      </c>
      <c r="B273" t="s">
        <v>1160</v>
      </c>
      <c r="C273" t="s">
        <v>21</v>
      </c>
      <c r="D273" t="s">
        <v>1160</v>
      </c>
      <c r="E273" t="s">
        <v>1161</v>
      </c>
      <c r="F273" t="s">
        <v>1162</v>
      </c>
      <c r="G273" t="s">
        <v>24</v>
      </c>
      <c r="H273" t="s">
        <v>1163</v>
      </c>
      <c r="N273" t="s">
        <v>309</v>
      </c>
      <c r="X273" s="2">
        <f>IFERROR(VLOOKUP(I273,'Rate Sheet'!$D:$F,3,FALSE),0)</f>
        <v>0</v>
      </c>
      <c r="Y273" s="2">
        <f>IFERROR(VLOOKUP(J273,'Rate Sheet'!$D:$F,3,FALSE),0)</f>
        <v>0</v>
      </c>
      <c r="Z273" s="2">
        <f>IFERROR(VLOOKUP(K273,'Rate Sheet'!$D:$F,3,FALSE),0)</f>
        <v>0</v>
      </c>
      <c r="AA273" s="2">
        <f t="shared" si="4"/>
        <v>0</v>
      </c>
    </row>
    <row r="274" spans="1:28" x14ac:dyDescent="0.25">
      <c r="A274" t="s">
        <v>33</v>
      </c>
      <c r="B274" t="s">
        <v>1164</v>
      </c>
      <c r="C274" t="s">
        <v>21</v>
      </c>
      <c r="D274" t="s">
        <v>1164</v>
      </c>
      <c r="E274" t="s">
        <v>1165</v>
      </c>
      <c r="F274" t="s">
        <v>1166</v>
      </c>
      <c r="G274" t="s">
        <v>24</v>
      </c>
      <c r="H274" t="s">
        <v>1167</v>
      </c>
      <c r="N274" t="s">
        <v>148</v>
      </c>
      <c r="X274" s="2">
        <f>IFERROR(VLOOKUP(I274,'Rate Sheet'!$D:$F,3,FALSE),0)</f>
        <v>0</v>
      </c>
      <c r="Y274" s="2">
        <f>IFERROR(VLOOKUP(J274,'Rate Sheet'!$D:$F,3,FALSE),0)</f>
        <v>0</v>
      </c>
      <c r="Z274" s="2">
        <f>IFERROR(VLOOKUP(K274,'Rate Sheet'!$D:$F,3,FALSE),0)</f>
        <v>0</v>
      </c>
      <c r="AA274" s="2">
        <f t="shared" si="4"/>
        <v>0</v>
      </c>
    </row>
    <row r="275" spans="1:28" x14ac:dyDescent="0.25">
      <c r="A275" t="s">
        <v>33</v>
      </c>
      <c r="B275" t="s">
        <v>1168</v>
      </c>
      <c r="C275" t="s">
        <v>21</v>
      </c>
      <c r="D275" t="s">
        <v>1168</v>
      </c>
      <c r="E275" t="s">
        <v>126</v>
      </c>
      <c r="F275" t="s">
        <v>1169</v>
      </c>
      <c r="G275" t="s">
        <v>24</v>
      </c>
      <c r="H275" t="s">
        <v>1170</v>
      </c>
      <c r="N275" t="s">
        <v>224</v>
      </c>
      <c r="X275" s="2">
        <f>IFERROR(VLOOKUP(I275,'Rate Sheet'!$D:$F,3,FALSE),0)</f>
        <v>0</v>
      </c>
      <c r="Y275" s="2">
        <f>IFERROR(VLOOKUP(J275,'Rate Sheet'!$D:$F,3,FALSE),0)</f>
        <v>0</v>
      </c>
      <c r="Z275" s="2">
        <f>IFERROR(VLOOKUP(K275,'Rate Sheet'!$D:$F,3,FALSE),0)</f>
        <v>0</v>
      </c>
      <c r="AA275" s="2">
        <f t="shared" si="4"/>
        <v>0</v>
      </c>
    </row>
    <row r="276" spans="1:28" x14ac:dyDescent="0.25">
      <c r="A276" t="s">
        <v>33</v>
      </c>
      <c r="B276" t="s">
        <v>1171</v>
      </c>
      <c r="C276" t="s">
        <v>21</v>
      </c>
      <c r="D276" t="s">
        <v>1171</v>
      </c>
      <c r="E276" t="s">
        <v>1172</v>
      </c>
      <c r="F276" t="s">
        <v>1173</v>
      </c>
      <c r="G276" t="s">
        <v>24</v>
      </c>
      <c r="H276" t="s">
        <v>1174</v>
      </c>
      <c r="I276" t="s">
        <v>46</v>
      </c>
      <c r="N276" t="s">
        <v>964</v>
      </c>
      <c r="S276" t="s">
        <v>48</v>
      </c>
      <c r="V276" t="s">
        <v>5666</v>
      </c>
      <c r="W276" t="s">
        <v>1923</v>
      </c>
      <c r="X276" s="2">
        <f>IFERROR(VLOOKUP(I276,'Rate Sheet'!$D:$F,3,FALSE),0)</f>
        <v>14.333333333333334</v>
      </c>
      <c r="Y276" s="2">
        <f>IFERROR(VLOOKUP(J276,'Rate Sheet'!$D:$F,3,FALSE),0)</f>
        <v>0</v>
      </c>
      <c r="Z276" s="2">
        <f>IFERROR(VLOOKUP(K276,'Rate Sheet'!$D:$F,3,FALSE),0)</f>
        <v>0</v>
      </c>
      <c r="AA276" s="2">
        <f t="shared" si="4"/>
        <v>14.333333333333334</v>
      </c>
      <c r="AB276">
        <v>1</v>
      </c>
    </row>
    <row r="277" spans="1:28" x14ac:dyDescent="0.25">
      <c r="A277" t="s">
        <v>33</v>
      </c>
      <c r="B277" t="s">
        <v>1175</v>
      </c>
      <c r="C277" t="s">
        <v>21</v>
      </c>
      <c r="D277" t="s">
        <v>1175</v>
      </c>
      <c r="E277" t="s">
        <v>1176</v>
      </c>
      <c r="F277" t="s">
        <v>1177</v>
      </c>
      <c r="G277" t="s">
        <v>24</v>
      </c>
      <c r="H277" t="s">
        <v>1178</v>
      </c>
      <c r="N277" t="s">
        <v>1179</v>
      </c>
      <c r="X277" s="2">
        <f>IFERROR(VLOOKUP(I277,'Rate Sheet'!$D:$F,3,FALSE),0)</f>
        <v>0</v>
      </c>
      <c r="Y277" s="2">
        <f>IFERROR(VLOOKUP(J277,'Rate Sheet'!$D:$F,3,FALSE),0)</f>
        <v>0</v>
      </c>
      <c r="Z277" s="2">
        <f>IFERROR(VLOOKUP(K277,'Rate Sheet'!$D:$F,3,FALSE),0)</f>
        <v>0</v>
      </c>
      <c r="AA277" s="2">
        <f t="shared" si="4"/>
        <v>0</v>
      </c>
    </row>
    <row r="278" spans="1:28" x14ac:dyDescent="0.25">
      <c r="A278" t="s">
        <v>33</v>
      </c>
      <c r="B278" t="s">
        <v>1180</v>
      </c>
      <c r="C278" t="s">
        <v>21</v>
      </c>
      <c r="D278" t="s">
        <v>1180</v>
      </c>
      <c r="E278" t="s">
        <v>1181</v>
      </c>
      <c r="F278" t="s">
        <v>1182</v>
      </c>
      <c r="G278" t="s">
        <v>24</v>
      </c>
      <c r="H278" t="s">
        <v>1183</v>
      </c>
      <c r="N278" t="s">
        <v>1184</v>
      </c>
      <c r="X278" s="2">
        <f>IFERROR(VLOOKUP(I278,'Rate Sheet'!$D:$F,3,FALSE),0)</f>
        <v>0</v>
      </c>
      <c r="Y278" s="2">
        <f>IFERROR(VLOOKUP(J278,'Rate Sheet'!$D:$F,3,FALSE),0)</f>
        <v>0</v>
      </c>
      <c r="Z278" s="2">
        <f>IFERROR(VLOOKUP(K278,'Rate Sheet'!$D:$F,3,FALSE),0)</f>
        <v>0</v>
      </c>
      <c r="AA278" s="2">
        <f t="shared" si="4"/>
        <v>0</v>
      </c>
    </row>
    <row r="279" spans="1:28" x14ac:dyDescent="0.25">
      <c r="A279" t="s">
        <v>33</v>
      </c>
      <c r="B279" t="s">
        <v>1185</v>
      </c>
      <c r="C279" t="s">
        <v>21</v>
      </c>
      <c r="D279" t="s">
        <v>1185</v>
      </c>
      <c r="E279" t="s">
        <v>140</v>
      </c>
      <c r="F279" t="s">
        <v>1186</v>
      </c>
      <c r="G279" t="s">
        <v>24</v>
      </c>
      <c r="H279" t="s">
        <v>1187</v>
      </c>
      <c r="I279" t="s">
        <v>46</v>
      </c>
      <c r="N279" t="s">
        <v>181</v>
      </c>
      <c r="S279" t="s">
        <v>48</v>
      </c>
      <c r="V279" t="s">
        <v>5609</v>
      </c>
      <c r="W279" t="s">
        <v>181</v>
      </c>
      <c r="X279" s="2">
        <f>IFERROR(VLOOKUP(I279,'Rate Sheet'!$D:$F,3,FALSE),0)</f>
        <v>14.333333333333334</v>
      </c>
      <c r="Y279" s="2">
        <f>IFERROR(VLOOKUP(J279,'Rate Sheet'!$D:$F,3,FALSE),0)</f>
        <v>0</v>
      </c>
      <c r="Z279" s="2">
        <f>IFERROR(VLOOKUP(K279,'Rate Sheet'!$D:$F,3,FALSE),0)</f>
        <v>0</v>
      </c>
      <c r="AA279" s="2">
        <f t="shared" si="4"/>
        <v>14.333333333333334</v>
      </c>
      <c r="AB279">
        <v>1</v>
      </c>
    </row>
    <row r="280" spans="1:28" x14ac:dyDescent="0.25">
      <c r="A280" t="s">
        <v>33</v>
      </c>
      <c r="B280" t="s">
        <v>1188</v>
      </c>
      <c r="C280" t="s">
        <v>21</v>
      </c>
      <c r="D280" t="s">
        <v>1188</v>
      </c>
      <c r="E280" t="s">
        <v>1189</v>
      </c>
      <c r="F280" t="s">
        <v>1190</v>
      </c>
      <c r="G280" t="s">
        <v>24</v>
      </c>
      <c r="H280" t="s">
        <v>1191</v>
      </c>
      <c r="I280" t="s">
        <v>46</v>
      </c>
      <c r="N280" t="s">
        <v>63</v>
      </c>
      <c r="S280" t="s">
        <v>48</v>
      </c>
      <c r="V280" t="s">
        <v>5584</v>
      </c>
      <c r="W280" t="s">
        <v>63</v>
      </c>
      <c r="X280" s="2">
        <f>IFERROR(VLOOKUP(I280,'Rate Sheet'!$D:$F,3,FALSE),0)</f>
        <v>14.333333333333334</v>
      </c>
      <c r="Y280" s="2">
        <f>IFERROR(VLOOKUP(J280,'Rate Sheet'!$D:$F,3,FALSE),0)</f>
        <v>0</v>
      </c>
      <c r="Z280" s="2">
        <f>IFERROR(VLOOKUP(K280,'Rate Sheet'!$D:$F,3,FALSE),0)</f>
        <v>0</v>
      </c>
      <c r="AA280" s="2">
        <f t="shared" si="4"/>
        <v>14.333333333333334</v>
      </c>
      <c r="AB280">
        <v>1</v>
      </c>
    </row>
    <row r="281" spans="1:28" x14ac:dyDescent="0.25">
      <c r="A281" t="s">
        <v>33</v>
      </c>
      <c r="B281" t="s">
        <v>1192</v>
      </c>
      <c r="C281" t="s">
        <v>21</v>
      </c>
      <c r="D281" t="s">
        <v>1192</v>
      </c>
      <c r="E281" t="s">
        <v>1032</v>
      </c>
      <c r="F281" t="s">
        <v>1193</v>
      </c>
      <c r="G281" t="s">
        <v>24</v>
      </c>
      <c r="H281" t="s">
        <v>1194</v>
      </c>
      <c r="I281" t="s">
        <v>46</v>
      </c>
      <c r="N281" t="s">
        <v>38</v>
      </c>
      <c r="S281" t="s">
        <v>48</v>
      </c>
      <c r="V281" t="s">
        <v>5582</v>
      </c>
      <c r="W281" t="s">
        <v>5583</v>
      </c>
      <c r="X281" s="2">
        <f>IFERROR(VLOOKUP(I281,'Rate Sheet'!$D:$F,3,FALSE),0)</f>
        <v>14.333333333333334</v>
      </c>
      <c r="Y281" s="2">
        <f>IFERROR(VLOOKUP(J281,'Rate Sheet'!$D:$F,3,FALSE),0)</f>
        <v>0</v>
      </c>
      <c r="Z281" s="2">
        <f>IFERROR(VLOOKUP(K281,'Rate Sheet'!$D:$F,3,FALSE),0)</f>
        <v>0</v>
      </c>
      <c r="AA281" s="2">
        <f t="shared" si="4"/>
        <v>14.333333333333334</v>
      </c>
      <c r="AB281">
        <v>1</v>
      </c>
    </row>
    <row r="282" spans="1:28" x14ac:dyDescent="0.25">
      <c r="A282" t="s">
        <v>33</v>
      </c>
      <c r="B282" t="s">
        <v>1195</v>
      </c>
      <c r="C282" t="s">
        <v>21</v>
      </c>
      <c r="D282" t="s">
        <v>1195</v>
      </c>
      <c r="E282" t="s">
        <v>159</v>
      </c>
      <c r="F282" t="s">
        <v>1196</v>
      </c>
      <c r="G282" t="s">
        <v>24</v>
      </c>
      <c r="H282" t="s">
        <v>1197</v>
      </c>
      <c r="I282" t="s">
        <v>46</v>
      </c>
      <c r="N282" t="s">
        <v>85</v>
      </c>
      <c r="S282" t="s">
        <v>48</v>
      </c>
      <c r="V282" t="s">
        <v>5590</v>
      </c>
      <c r="W282" t="s">
        <v>85</v>
      </c>
      <c r="X282" s="2">
        <f>IFERROR(VLOOKUP(I282,'Rate Sheet'!$D:$F,3,FALSE),0)</f>
        <v>14.333333333333334</v>
      </c>
      <c r="Y282" s="2">
        <f>IFERROR(VLOOKUP(J282,'Rate Sheet'!$D:$F,3,FALSE),0)</f>
        <v>0</v>
      </c>
      <c r="Z282" s="2">
        <f>IFERROR(VLOOKUP(K282,'Rate Sheet'!$D:$F,3,FALSE),0)</f>
        <v>0</v>
      </c>
      <c r="AA282" s="2">
        <f t="shared" si="4"/>
        <v>14.333333333333334</v>
      </c>
      <c r="AB282">
        <v>1</v>
      </c>
    </row>
    <row r="283" spans="1:28" x14ac:dyDescent="0.25">
      <c r="A283" t="s">
        <v>33</v>
      </c>
      <c r="B283" t="s">
        <v>1198</v>
      </c>
      <c r="C283" t="s">
        <v>29</v>
      </c>
      <c r="D283" t="s">
        <v>1199</v>
      </c>
      <c r="E283" t="s">
        <v>204</v>
      </c>
      <c r="F283" t="s">
        <v>1200</v>
      </c>
      <c r="G283" t="s">
        <v>24</v>
      </c>
      <c r="H283" t="s">
        <v>1201</v>
      </c>
      <c r="I283" t="s">
        <v>46</v>
      </c>
      <c r="N283" t="s">
        <v>861</v>
      </c>
      <c r="S283" t="s">
        <v>48</v>
      </c>
      <c r="V283" s="10" t="s">
        <v>5728</v>
      </c>
      <c r="W283" s="10" t="s">
        <v>861</v>
      </c>
      <c r="X283" s="2">
        <f>IFERROR(VLOOKUP(I283,'Rate Sheet'!$D:$F,3,FALSE),0)</f>
        <v>14.333333333333334</v>
      </c>
      <c r="Y283" s="2">
        <f>IFERROR(VLOOKUP(J283,'Rate Sheet'!$D:$F,3,FALSE),0)</f>
        <v>0</v>
      </c>
      <c r="Z283" s="2">
        <f>IFERROR(VLOOKUP(K283,'Rate Sheet'!$D:$F,3,FALSE),0)</f>
        <v>0</v>
      </c>
      <c r="AA283" s="2">
        <f t="shared" si="4"/>
        <v>14.333333333333334</v>
      </c>
      <c r="AB283">
        <v>1</v>
      </c>
    </row>
    <row r="284" spans="1:28" x14ac:dyDescent="0.25">
      <c r="A284" t="s">
        <v>33</v>
      </c>
      <c r="B284" t="s">
        <v>1206</v>
      </c>
      <c r="C284" t="s">
        <v>21</v>
      </c>
      <c r="D284" t="s">
        <v>1207</v>
      </c>
      <c r="E284" t="s">
        <v>1208</v>
      </c>
      <c r="F284" t="s">
        <v>1209</v>
      </c>
      <c r="G284" t="s">
        <v>24</v>
      </c>
      <c r="H284" t="s">
        <v>1210</v>
      </c>
      <c r="I284" t="s">
        <v>46</v>
      </c>
      <c r="N284" t="s">
        <v>747</v>
      </c>
      <c r="S284" t="s">
        <v>48</v>
      </c>
      <c r="V284" t="s">
        <v>5609</v>
      </c>
      <c r="W284" t="s">
        <v>181</v>
      </c>
      <c r="X284" s="2">
        <f>IFERROR(VLOOKUP(I284,'Rate Sheet'!$D:$F,3,FALSE),0)</f>
        <v>14.333333333333334</v>
      </c>
      <c r="Y284" s="2">
        <f>IFERROR(VLOOKUP(J284,'Rate Sheet'!$D:$F,3,FALSE),0)</f>
        <v>0</v>
      </c>
      <c r="Z284" s="2">
        <f>IFERROR(VLOOKUP(K284,'Rate Sheet'!$D:$F,3,FALSE),0)</f>
        <v>0</v>
      </c>
      <c r="AA284" s="2">
        <f t="shared" si="4"/>
        <v>14.333333333333334</v>
      </c>
      <c r="AB284">
        <v>1</v>
      </c>
    </row>
    <row r="285" spans="1:28" x14ac:dyDescent="0.25">
      <c r="A285" t="s">
        <v>33</v>
      </c>
      <c r="B285" t="s">
        <v>1214</v>
      </c>
      <c r="C285" t="s">
        <v>21</v>
      </c>
      <c r="D285" t="s">
        <v>1214</v>
      </c>
      <c r="E285" t="s">
        <v>1215</v>
      </c>
      <c r="F285" t="s">
        <v>1216</v>
      </c>
      <c r="G285" t="s">
        <v>24</v>
      </c>
      <c r="H285" t="s">
        <v>1217</v>
      </c>
      <c r="N285" t="s">
        <v>914</v>
      </c>
      <c r="X285" s="2">
        <f>IFERROR(VLOOKUP(I285,'Rate Sheet'!$D:$F,3,FALSE),0)</f>
        <v>0</v>
      </c>
      <c r="Y285" s="2">
        <f>IFERROR(VLOOKUP(J285,'Rate Sheet'!$D:$F,3,FALSE),0)</f>
        <v>0</v>
      </c>
      <c r="Z285" s="2">
        <f>IFERROR(VLOOKUP(K285,'Rate Sheet'!$D:$F,3,FALSE),0)</f>
        <v>0</v>
      </c>
      <c r="AA285" s="2">
        <f t="shared" si="4"/>
        <v>0</v>
      </c>
    </row>
    <row r="286" spans="1:28" x14ac:dyDescent="0.25">
      <c r="A286" t="s">
        <v>33</v>
      </c>
      <c r="B286" t="s">
        <v>1218</v>
      </c>
      <c r="C286" t="s">
        <v>21</v>
      </c>
      <c r="D286" t="s">
        <v>1218</v>
      </c>
      <c r="E286" t="s">
        <v>1219</v>
      </c>
      <c r="F286" t="s">
        <v>1220</v>
      </c>
      <c r="G286" t="s">
        <v>24</v>
      </c>
      <c r="H286" t="s">
        <v>1221</v>
      </c>
      <c r="I286" t="s">
        <v>46</v>
      </c>
      <c r="N286" t="s">
        <v>317</v>
      </c>
      <c r="S286" t="s">
        <v>48</v>
      </c>
      <c r="V286" t="s">
        <v>5625</v>
      </c>
      <c r="W286" t="s">
        <v>317</v>
      </c>
      <c r="X286" s="2">
        <f>IFERROR(VLOOKUP(I286,'Rate Sheet'!$D:$F,3,FALSE),0)</f>
        <v>14.333333333333334</v>
      </c>
      <c r="Y286" s="2">
        <f>IFERROR(VLOOKUP(J286,'Rate Sheet'!$D:$F,3,FALSE),0)</f>
        <v>0</v>
      </c>
      <c r="Z286" s="2">
        <f>IFERROR(VLOOKUP(K286,'Rate Sheet'!$D:$F,3,FALSE),0)</f>
        <v>0</v>
      </c>
      <c r="AA286" s="2">
        <f t="shared" si="4"/>
        <v>14.333333333333334</v>
      </c>
      <c r="AB286">
        <v>1</v>
      </c>
    </row>
    <row r="287" spans="1:28" x14ac:dyDescent="0.25">
      <c r="A287" t="s">
        <v>33</v>
      </c>
      <c r="B287" t="s">
        <v>1222</v>
      </c>
      <c r="C287" t="s">
        <v>21</v>
      </c>
      <c r="D287" t="s">
        <v>1222</v>
      </c>
      <c r="E287" t="s">
        <v>1223</v>
      </c>
      <c r="F287" t="s">
        <v>1224</v>
      </c>
      <c r="G287" t="s">
        <v>24</v>
      </c>
      <c r="H287" t="s">
        <v>1225</v>
      </c>
      <c r="I287" t="s">
        <v>46</v>
      </c>
      <c r="N287" t="s">
        <v>108</v>
      </c>
      <c r="S287" t="s">
        <v>48</v>
      </c>
      <c r="V287" t="s">
        <v>5595</v>
      </c>
      <c r="W287" t="s">
        <v>108</v>
      </c>
      <c r="X287" s="2">
        <f>IFERROR(VLOOKUP(I287,'Rate Sheet'!$D:$F,3,FALSE),0)</f>
        <v>14.333333333333334</v>
      </c>
      <c r="Y287" s="2">
        <f>IFERROR(VLOOKUP(J287,'Rate Sheet'!$D:$F,3,FALSE),0)</f>
        <v>0</v>
      </c>
      <c r="Z287" s="2">
        <f>IFERROR(VLOOKUP(K287,'Rate Sheet'!$D:$F,3,FALSE),0)</f>
        <v>0</v>
      </c>
      <c r="AA287" s="2">
        <f t="shared" si="4"/>
        <v>14.333333333333334</v>
      </c>
      <c r="AB287">
        <v>1</v>
      </c>
    </row>
    <row r="288" spans="1:28" x14ac:dyDescent="0.25">
      <c r="A288" t="s">
        <v>33</v>
      </c>
      <c r="B288" t="s">
        <v>1226</v>
      </c>
      <c r="C288" t="s">
        <v>21</v>
      </c>
      <c r="D288" t="s">
        <v>1226</v>
      </c>
      <c r="E288" t="s">
        <v>1227</v>
      </c>
      <c r="F288" t="s">
        <v>1228</v>
      </c>
      <c r="G288" t="s">
        <v>24</v>
      </c>
      <c r="H288" t="s">
        <v>1229</v>
      </c>
      <c r="I288" t="s">
        <v>46</v>
      </c>
      <c r="N288" t="s">
        <v>1230</v>
      </c>
      <c r="S288" t="s">
        <v>48</v>
      </c>
      <c r="V288" s="10" t="s">
        <v>5620</v>
      </c>
      <c r="W288" s="10" t="s">
        <v>1230</v>
      </c>
      <c r="X288" s="2">
        <f>IFERROR(VLOOKUP(I288,'Rate Sheet'!$D:$F,3,FALSE),0)</f>
        <v>14.333333333333334</v>
      </c>
      <c r="Y288" s="2">
        <f>IFERROR(VLOOKUP(J288,'Rate Sheet'!$D:$F,3,FALSE),0)</f>
        <v>0</v>
      </c>
      <c r="Z288" s="2">
        <f>IFERROR(VLOOKUP(K288,'Rate Sheet'!$D:$F,3,FALSE),0)</f>
        <v>0</v>
      </c>
      <c r="AA288" s="2">
        <f t="shared" si="4"/>
        <v>14.333333333333334</v>
      </c>
      <c r="AB288">
        <v>1</v>
      </c>
    </row>
    <row r="289" spans="1:28" x14ac:dyDescent="0.25">
      <c r="A289" t="s">
        <v>33</v>
      </c>
      <c r="B289" t="s">
        <v>1231</v>
      </c>
      <c r="C289" t="s">
        <v>21</v>
      </c>
      <c r="D289" t="s">
        <v>1231</v>
      </c>
      <c r="E289" t="s">
        <v>294</v>
      </c>
      <c r="F289" t="s">
        <v>1232</v>
      </c>
      <c r="G289" t="s">
        <v>24</v>
      </c>
      <c r="H289" t="s">
        <v>1233</v>
      </c>
      <c r="I289" t="s">
        <v>46</v>
      </c>
      <c r="J289" t="s">
        <v>882</v>
      </c>
      <c r="K289" t="s">
        <v>3206</v>
      </c>
      <c r="N289" t="s">
        <v>148</v>
      </c>
      <c r="S289" t="s">
        <v>1235</v>
      </c>
      <c r="V289" t="s">
        <v>5689</v>
      </c>
      <c r="W289" t="s">
        <v>148</v>
      </c>
      <c r="X289" s="2">
        <f>IFERROR(VLOOKUP(I289,'Rate Sheet'!$D:$F,3,FALSE),0)</f>
        <v>14.333333333333334</v>
      </c>
      <c r="Y289" s="2">
        <f>IFERROR(VLOOKUP(J289,'Rate Sheet'!$D:$F,3,FALSE),0)</f>
        <v>35.979166666666664</v>
      </c>
      <c r="Z289" s="2">
        <f>IFERROR(VLOOKUP(K289,'Rate Sheet'!$D:$F,3,FALSE),0)</f>
        <v>36.357500000000002</v>
      </c>
      <c r="AA289" s="2">
        <f t="shared" si="4"/>
        <v>86.67</v>
      </c>
      <c r="AB289">
        <v>1</v>
      </c>
    </row>
    <row r="290" spans="1:28" x14ac:dyDescent="0.25">
      <c r="A290" t="s">
        <v>33</v>
      </c>
      <c r="B290" t="s">
        <v>1236</v>
      </c>
      <c r="C290" t="s">
        <v>21</v>
      </c>
      <c r="D290" t="s">
        <v>1236</v>
      </c>
      <c r="E290" t="s">
        <v>1237</v>
      </c>
      <c r="F290" t="s">
        <v>1238</v>
      </c>
      <c r="G290" t="s">
        <v>24</v>
      </c>
      <c r="H290" t="s">
        <v>1239</v>
      </c>
      <c r="I290" t="s">
        <v>46</v>
      </c>
      <c r="N290" t="s">
        <v>484</v>
      </c>
      <c r="S290" t="s">
        <v>48</v>
      </c>
      <c r="V290" t="s">
        <v>5642</v>
      </c>
      <c r="W290" t="s">
        <v>484</v>
      </c>
      <c r="X290" s="2">
        <f>IFERROR(VLOOKUP(I290,'Rate Sheet'!$D:$F,3,FALSE),0)</f>
        <v>14.333333333333334</v>
      </c>
      <c r="Y290" s="2">
        <f>IFERROR(VLOOKUP(J290,'Rate Sheet'!$D:$F,3,FALSE),0)</f>
        <v>0</v>
      </c>
      <c r="Z290" s="2">
        <f>IFERROR(VLOOKUP(K290,'Rate Sheet'!$D:$F,3,FALSE),0)</f>
        <v>0</v>
      </c>
      <c r="AA290" s="2">
        <f t="shared" si="4"/>
        <v>14.333333333333334</v>
      </c>
      <c r="AB290">
        <v>1</v>
      </c>
    </row>
    <row r="291" spans="1:28" x14ac:dyDescent="0.25">
      <c r="A291" t="s">
        <v>33</v>
      </c>
      <c r="B291" t="s">
        <v>1240</v>
      </c>
      <c r="C291" t="s">
        <v>21</v>
      </c>
      <c r="D291" t="s">
        <v>1241</v>
      </c>
      <c r="E291" t="s">
        <v>1242</v>
      </c>
      <c r="F291" t="s">
        <v>1243</v>
      </c>
      <c r="G291" t="s">
        <v>24</v>
      </c>
      <c r="H291" t="s">
        <v>1244</v>
      </c>
      <c r="I291" t="s">
        <v>46</v>
      </c>
      <c r="N291" t="s">
        <v>181</v>
      </c>
      <c r="S291" t="s">
        <v>48</v>
      </c>
      <c r="V291" t="s">
        <v>5609</v>
      </c>
      <c r="W291" t="s">
        <v>181</v>
      </c>
      <c r="X291" s="2">
        <f>IFERROR(VLOOKUP(I291,'Rate Sheet'!$D:$F,3,FALSE),0)</f>
        <v>14.333333333333334</v>
      </c>
      <c r="Y291" s="2">
        <f>IFERROR(VLOOKUP(J291,'Rate Sheet'!$D:$F,3,FALSE),0)</f>
        <v>0</v>
      </c>
      <c r="Z291" s="2">
        <f>IFERROR(VLOOKUP(K291,'Rate Sheet'!$D:$F,3,FALSE),0)</f>
        <v>0</v>
      </c>
      <c r="AA291" s="2">
        <f t="shared" si="4"/>
        <v>14.333333333333334</v>
      </c>
      <c r="AB291">
        <v>1</v>
      </c>
    </row>
    <row r="292" spans="1:28" x14ac:dyDescent="0.25">
      <c r="A292" t="s">
        <v>33</v>
      </c>
      <c r="B292" t="s">
        <v>1245</v>
      </c>
      <c r="C292" t="s">
        <v>21</v>
      </c>
      <c r="D292" t="s">
        <v>1245</v>
      </c>
      <c r="E292" t="s">
        <v>1246</v>
      </c>
      <c r="F292" t="s">
        <v>1247</v>
      </c>
      <c r="G292" t="s">
        <v>24</v>
      </c>
      <c r="H292" t="s">
        <v>1248</v>
      </c>
      <c r="I292" t="s">
        <v>46</v>
      </c>
      <c r="N292" t="s">
        <v>994</v>
      </c>
      <c r="S292" t="s">
        <v>48</v>
      </c>
      <c r="V292" t="s">
        <v>5653</v>
      </c>
      <c r="W292" t="s">
        <v>5654</v>
      </c>
      <c r="X292" s="2">
        <f>IFERROR(VLOOKUP(I292,'Rate Sheet'!$D:$F,3,FALSE),0)</f>
        <v>14.333333333333334</v>
      </c>
      <c r="Y292" s="2">
        <f>IFERROR(VLOOKUP(J292,'Rate Sheet'!$D:$F,3,FALSE),0)</f>
        <v>0</v>
      </c>
      <c r="Z292" s="2">
        <f>IFERROR(VLOOKUP(K292,'Rate Sheet'!$D:$F,3,FALSE),0)</f>
        <v>0</v>
      </c>
      <c r="AA292" s="2">
        <f t="shared" si="4"/>
        <v>14.333333333333334</v>
      </c>
      <c r="AB292">
        <v>1</v>
      </c>
    </row>
    <row r="293" spans="1:28" x14ac:dyDescent="0.25">
      <c r="A293" t="s">
        <v>33</v>
      </c>
      <c r="B293" t="s">
        <v>1249</v>
      </c>
      <c r="C293" t="s">
        <v>21</v>
      </c>
      <c r="D293" t="s">
        <v>1249</v>
      </c>
      <c r="E293" t="s">
        <v>864</v>
      </c>
      <c r="F293" t="s">
        <v>1250</v>
      </c>
      <c r="G293" t="s">
        <v>24</v>
      </c>
      <c r="H293" t="s">
        <v>1251</v>
      </c>
      <c r="I293" t="s">
        <v>46</v>
      </c>
      <c r="N293" t="s">
        <v>1252</v>
      </c>
      <c r="S293" t="s">
        <v>48</v>
      </c>
      <c r="V293" t="s">
        <v>5690</v>
      </c>
      <c r="W293" t="s">
        <v>5691</v>
      </c>
      <c r="X293" s="2">
        <f>IFERROR(VLOOKUP(I293,'Rate Sheet'!$D:$F,3,FALSE),0)</f>
        <v>14.333333333333334</v>
      </c>
      <c r="Y293" s="2">
        <f>IFERROR(VLOOKUP(J293,'Rate Sheet'!$D:$F,3,FALSE),0)</f>
        <v>0</v>
      </c>
      <c r="Z293" s="2">
        <f>IFERROR(VLOOKUP(K293,'Rate Sheet'!$D:$F,3,FALSE),0)</f>
        <v>0</v>
      </c>
      <c r="AA293" s="2">
        <f t="shared" si="4"/>
        <v>14.333333333333334</v>
      </c>
      <c r="AB293">
        <v>1</v>
      </c>
    </row>
    <row r="294" spans="1:28" x14ac:dyDescent="0.25">
      <c r="A294" t="s">
        <v>33</v>
      </c>
      <c r="B294" t="s">
        <v>1253</v>
      </c>
      <c r="C294" t="s">
        <v>21</v>
      </c>
      <c r="D294" t="s">
        <v>1253</v>
      </c>
      <c r="E294" t="s">
        <v>1254</v>
      </c>
      <c r="F294" t="s">
        <v>1255</v>
      </c>
      <c r="G294" t="s">
        <v>24</v>
      </c>
      <c r="H294" t="s">
        <v>1256</v>
      </c>
      <c r="I294" t="s">
        <v>46</v>
      </c>
      <c r="N294" t="s">
        <v>207</v>
      </c>
      <c r="S294" t="s">
        <v>48</v>
      </c>
      <c r="V294" t="s">
        <v>5634</v>
      </c>
      <c r="W294" t="s">
        <v>207</v>
      </c>
      <c r="X294" s="2">
        <f>IFERROR(VLOOKUP(I294,'Rate Sheet'!$D:$F,3,FALSE),0)</f>
        <v>14.333333333333334</v>
      </c>
      <c r="Y294" s="2">
        <f>IFERROR(VLOOKUP(J294,'Rate Sheet'!$D:$F,3,FALSE),0)</f>
        <v>0</v>
      </c>
      <c r="Z294" s="2">
        <f>IFERROR(VLOOKUP(K294,'Rate Sheet'!$D:$F,3,FALSE),0)</f>
        <v>0</v>
      </c>
      <c r="AA294" s="2">
        <f t="shared" si="4"/>
        <v>14.333333333333334</v>
      </c>
      <c r="AB294">
        <v>1</v>
      </c>
    </row>
    <row r="295" spans="1:28" x14ac:dyDescent="0.25">
      <c r="A295" t="s">
        <v>33</v>
      </c>
      <c r="B295" t="s">
        <v>1257</v>
      </c>
      <c r="C295" t="s">
        <v>21</v>
      </c>
      <c r="D295" t="s">
        <v>1257</v>
      </c>
      <c r="E295" t="s">
        <v>159</v>
      </c>
      <c r="F295" t="s">
        <v>1258</v>
      </c>
      <c r="G295" t="s">
        <v>24</v>
      </c>
      <c r="H295" t="s">
        <v>1259</v>
      </c>
      <c r="I295" t="s">
        <v>46</v>
      </c>
      <c r="N295" t="s">
        <v>47</v>
      </c>
      <c r="S295" t="s">
        <v>48</v>
      </c>
      <c r="V295" t="s">
        <v>5578</v>
      </c>
      <c r="W295" t="s">
        <v>5579</v>
      </c>
      <c r="X295" s="2">
        <f>IFERROR(VLOOKUP(I295,'Rate Sheet'!$D:$F,3,FALSE),0)</f>
        <v>14.333333333333334</v>
      </c>
      <c r="Y295" s="2">
        <f>IFERROR(VLOOKUP(J295,'Rate Sheet'!$D:$F,3,FALSE),0)</f>
        <v>0</v>
      </c>
      <c r="Z295" s="2">
        <f>IFERROR(VLOOKUP(K295,'Rate Sheet'!$D:$F,3,FALSE),0)</f>
        <v>0</v>
      </c>
      <c r="AA295" s="2">
        <f t="shared" si="4"/>
        <v>14.333333333333334</v>
      </c>
      <c r="AB295">
        <v>1</v>
      </c>
    </row>
    <row r="296" spans="1:28" x14ac:dyDescent="0.25">
      <c r="A296" t="s">
        <v>33</v>
      </c>
      <c r="B296" t="s">
        <v>1260</v>
      </c>
      <c r="C296" t="s">
        <v>21</v>
      </c>
      <c r="D296" t="s">
        <v>1260</v>
      </c>
      <c r="E296" t="s">
        <v>342</v>
      </c>
      <c r="F296" t="s">
        <v>1261</v>
      </c>
      <c r="G296" t="s">
        <v>24</v>
      </c>
      <c r="H296" t="s">
        <v>1262</v>
      </c>
      <c r="I296" t="s">
        <v>46</v>
      </c>
      <c r="N296" t="s">
        <v>74</v>
      </c>
      <c r="S296" t="s">
        <v>48</v>
      </c>
      <c r="V296" t="s">
        <v>5586</v>
      </c>
      <c r="W296" t="s">
        <v>5587</v>
      </c>
      <c r="X296" s="2">
        <f>IFERROR(VLOOKUP(I296,'Rate Sheet'!$D:$F,3,FALSE),0)</f>
        <v>14.333333333333334</v>
      </c>
      <c r="Y296" s="2">
        <f>IFERROR(VLOOKUP(J296,'Rate Sheet'!$D:$F,3,FALSE),0)</f>
        <v>0</v>
      </c>
      <c r="Z296" s="2">
        <f>IFERROR(VLOOKUP(K296,'Rate Sheet'!$D:$F,3,FALSE),0)</f>
        <v>0</v>
      </c>
      <c r="AA296" s="2">
        <f t="shared" si="4"/>
        <v>14.333333333333334</v>
      </c>
      <c r="AB296">
        <v>1</v>
      </c>
    </row>
    <row r="297" spans="1:28" x14ac:dyDescent="0.25">
      <c r="A297" t="s">
        <v>33</v>
      </c>
      <c r="B297" t="s">
        <v>1267</v>
      </c>
      <c r="C297" t="s">
        <v>21</v>
      </c>
      <c r="D297" t="s">
        <v>1268</v>
      </c>
      <c r="E297" t="s">
        <v>1015</v>
      </c>
      <c r="F297" t="s">
        <v>1269</v>
      </c>
      <c r="G297" t="s">
        <v>24</v>
      </c>
      <c r="H297" t="s">
        <v>1270</v>
      </c>
      <c r="N297" t="s">
        <v>986</v>
      </c>
      <c r="X297" s="2">
        <f>IFERROR(VLOOKUP(I297,'Rate Sheet'!$D:$F,3,FALSE),0)</f>
        <v>0</v>
      </c>
      <c r="Y297" s="2">
        <f>IFERROR(VLOOKUP(J297,'Rate Sheet'!$D:$F,3,FALSE),0)</f>
        <v>0</v>
      </c>
      <c r="Z297" s="2">
        <f>IFERROR(VLOOKUP(K297,'Rate Sheet'!$D:$F,3,FALSE),0)</f>
        <v>0</v>
      </c>
      <c r="AA297" s="2">
        <f t="shared" si="4"/>
        <v>0</v>
      </c>
    </row>
    <row r="298" spans="1:28" x14ac:dyDescent="0.25">
      <c r="A298" t="s">
        <v>33</v>
      </c>
      <c r="B298" t="s">
        <v>1271</v>
      </c>
      <c r="C298" t="s">
        <v>21</v>
      </c>
      <c r="D298" t="s">
        <v>1271</v>
      </c>
      <c r="E298" t="s">
        <v>324</v>
      </c>
      <c r="F298" t="s">
        <v>1272</v>
      </c>
      <c r="G298" t="s">
        <v>24</v>
      </c>
      <c r="H298" t="s">
        <v>1273</v>
      </c>
      <c r="I298" t="s">
        <v>46</v>
      </c>
      <c r="N298" t="s">
        <v>53</v>
      </c>
      <c r="S298" t="s">
        <v>48</v>
      </c>
      <c r="V298" t="s">
        <v>5580</v>
      </c>
      <c r="W298" t="s">
        <v>5581</v>
      </c>
      <c r="X298" s="2">
        <f>IFERROR(VLOOKUP(I298,'Rate Sheet'!$D:$F,3,FALSE),0)</f>
        <v>14.333333333333334</v>
      </c>
      <c r="Y298" s="2">
        <f>IFERROR(VLOOKUP(J298,'Rate Sheet'!$D:$F,3,FALSE),0)</f>
        <v>0</v>
      </c>
      <c r="Z298" s="2">
        <f>IFERROR(VLOOKUP(K298,'Rate Sheet'!$D:$F,3,FALSE),0)</f>
        <v>0</v>
      </c>
      <c r="AA298" s="2">
        <f t="shared" si="4"/>
        <v>14.333333333333334</v>
      </c>
      <c r="AB298">
        <v>1</v>
      </c>
    </row>
    <row r="299" spans="1:28" x14ac:dyDescent="0.25">
      <c r="A299" t="s">
        <v>33</v>
      </c>
      <c r="B299" t="s">
        <v>1274</v>
      </c>
      <c r="C299" t="s">
        <v>21</v>
      </c>
      <c r="D299" t="s">
        <v>1274</v>
      </c>
      <c r="E299" t="s">
        <v>1275</v>
      </c>
      <c r="F299" t="s">
        <v>1276</v>
      </c>
      <c r="G299" t="s">
        <v>24</v>
      </c>
      <c r="H299" t="s">
        <v>1277</v>
      </c>
      <c r="N299" t="s">
        <v>479</v>
      </c>
      <c r="X299" s="2">
        <f>IFERROR(VLOOKUP(I299,'Rate Sheet'!$D:$F,3,FALSE),0)</f>
        <v>0</v>
      </c>
      <c r="Y299" s="2">
        <f>IFERROR(VLOOKUP(J299,'Rate Sheet'!$D:$F,3,FALSE),0)</f>
        <v>0</v>
      </c>
      <c r="Z299" s="2">
        <f>IFERROR(VLOOKUP(K299,'Rate Sheet'!$D:$F,3,FALSE),0)</f>
        <v>0</v>
      </c>
      <c r="AA299" s="2">
        <f t="shared" si="4"/>
        <v>0</v>
      </c>
    </row>
    <row r="300" spans="1:28" x14ac:dyDescent="0.25">
      <c r="A300" t="s">
        <v>33</v>
      </c>
      <c r="B300" t="s">
        <v>1278</v>
      </c>
      <c r="C300" t="s">
        <v>21</v>
      </c>
      <c r="D300" t="s">
        <v>1278</v>
      </c>
      <c r="E300" t="s">
        <v>1279</v>
      </c>
      <c r="F300" t="s">
        <v>1280</v>
      </c>
      <c r="G300" t="s">
        <v>24</v>
      </c>
      <c r="H300" t="s">
        <v>1281</v>
      </c>
      <c r="N300" t="s">
        <v>80</v>
      </c>
      <c r="X300" s="2">
        <f>IFERROR(VLOOKUP(I300,'Rate Sheet'!$D:$F,3,FALSE),0)</f>
        <v>0</v>
      </c>
      <c r="Y300" s="2">
        <f>IFERROR(VLOOKUP(J300,'Rate Sheet'!$D:$F,3,FALSE),0)</f>
        <v>0</v>
      </c>
      <c r="Z300" s="2">
        <f>IFERROR(VLOOKUP(K300,'Rate Sheet'!$D:$F,3,FALSE),0)</f>
        <v>0</v>
      </c>
      <c r="AA300" s="2">
        <f t="shared" si="4"/>
        <v>0</v>
      </c>
    </row>
    <row r="301" spans="1:28" x14ac:dyDescent="0.25">
      <c r="A301" t="s">
        <v>33</v>
      </c>
      <c r="B301" t="s">
        <v>1282</v>
      </c>
      <c r="C301" t="s">
        <v>21</v>
      </c>
      <c r="D301" t="s">
        <v>1282</v>
      </c>
      <c r="E301" t="s">
        <v>1283</v>
      </c>
      <c r="F301" t="s">
        <v>1284</v>
      </c>
      <c r="G301" t="s">
        <v>24</v>
      </c>
      <c r="H301" t="s">
        <v>1285</v>
      </c>
      <c r="I301" t="s">
        <v>46</v>
      </c>
      <c r="N301" t="s">
        <v>53</v>
      </c>
      <c r="S301" t="s">
        <v>48</v>
      </c>
      <c r="V301" t="s">
        <v>5580</v>
      </c>
      <c r="W301" t="s">
        <v>5581</v>
      </c>
      <c r="X301" s="2">
        <f>IFERROR(VLOOKUP(I301,'Rate Sheet'!$D:$F,3,FALSE),0)</f>
        <v>14.333333333333334</v>
      </c>
      <c r="Y301" s="2">
        <f>IFERROR(VLOOKUP(J301,'Rate Sheet'!$D:$F,3,FALSE),0)</f>
        <v>0</v>
      </c>
      <c r="Z301" s="2">
        <f>IFERROR(VLOOKUP(K301,'Rate Sheet'!$D:$F,3,FALSE),0)</f>
        <v>0</v>
      </c>
      <c r="AA301" s="2">
        <f t="shared" si="4"/>
        <v>14.333333333333334</v>
      </c>
      <c r="AB301">
        <v>1</v>
      </c>
    </row>
    <row r="302" spans="1:28" x14ac:dyDescent="0.25">
      <c r="A302" t="s">
        <v>33</v>
      </c>
      <c r="B302" t="s">
        <v>1286</v>
      </c>
      <c r="C302" t="s">
        <v>21</v>
      </c>
      <c r="D302" t="s">
        <v>1286</v>
      </c>
      <c r="E302" t="s">
        <v>796</v>
      </c>
      <c r="F302" t="s">
        <v>1287</v>
      </c>
      <c r="G302" t="s">
        <v>24</v>
      </c>
      <c r="H302" t="s">
        <v>1288</v>
      </c>
      <c r="I302" t="s">
        <v>73</v>
      </c>
      <c r="N302" t="s">
        <v>1135</v>
      </c>
      <c r="S302" t="s">
        <v>75</v>
      </c>
      <c r="V302" t="s">
        <v>5692</v>
      </c>
      <c r="W302" t="s">
        <v>5693</v>
      </c>
      <c r="X302" s="2">
        <f>IFERROR(VLOOKUP(I302,'Rate Sheet'!$D:$F,3,FALSE),0)</f>
        <v>8.6983333333333324</v>
      </c>
      <c r="Y302" s="2">
        <f>IFERROR(VLOOKUP(J302,'Rate Sheet'!$D:$F,3,FALSE),0)</f>
        <v>0</v>
      </c>
      <c r="Z302" s="2">
        <f>IFERROR(VLOOKUP(K302,'Rate Sheet'!$D:$F,3,FALSE),0)</f>
        <v>0</v>
      </c>
      <c r="AA302" s="2">
        <f t="shared" si="4"/>
        <v>8.6983333333333324</v>
      </c>
      <c r="AB302">
        <v>1</v>
      </c>
    </row>
    <row r="303" spans="1:28" x14ac:dyDescent="0.25">
      <c r="A303" t="s">
        <v>33</v>
      </c>
      <c r="B303" t="s">
        <v>1289</v>
      </c>
      <c r="C303" t="s">
        <v>21</v>
      </c>
      <c r="D303" t="s">
        <v>1289</v>
      </c>
      <c r="E303" t="s">
        <v>1290</v>
      </c>
      <c r="F303" t="s">
        <v>1291</v>
      </c>
      <c r="G303" t="s">
        <v>24</v>
      </c>
      <c r="H303" s="1" t="s">
        <v>1292</v>
      </c>
      <c r="I303" t="s">
        <v>46</v>
      </c>
      <c r="N303" t="s">
        <v>1293</v>
      </c>
      <c r="S303" t="s">
        <v>48</v>
      </c>
      <c r="V303" t="s">
        <v>5679</v>
      </c>
      <c r="W303" t="s">
        <v>1061</v>
      </c>
      <c r="X303" s="2">
        <f>IFERROR(VLOOKUP(I303,'Rate Sheet'!$D:$F,3,FALSE),0)</f>
        <v>14.333333333333334</v>
      </c>
      <c r="Y303" s="2">
        <f>IFERROR(VLOOKUP(J303,'Rate Sheet'!$D:$F,3,FALSE),0)</f>
        <v>0</v>
      </c>
      <c r="Z303" s="2">
        <f>IFERROR(VLOOKUP(K303,'Rate Sheet'!$D:$F,3,FALSE),0)</f>
        <v>0</v>
      </c>
      <c r="AA303" s="2">
        <f t="shared" si="4"/>
        <v>14.333333333333334</v>
      </c>
      <c r="AB303">
        <v>1</v>
      </c>
    </row>
    <row r="304" spans="1:28" x14ac:dyDescent="0.25">
      <c r="A304" t="s">
        <v>33</v>
      </c>
      <c r="B304" t="s">
        <v>1294</v>
      </c>
      <c r="C304" t="s">
        <v>21</v>
      </c>
      <c r="D304" t="s">
        <v>1294</v>
      </c>
      <c r="E304" t="s">
        <v>1295</v>
      </c>
      <c r="F304" t="s">
        <v>1296</v>
      </c>
      <c r="G304" t="s">
        <v>24</v>
      </c>
      <c r="H304" s="1" t="s">
        <v>1297</v>
      </c>
      <c r="I304" t="s">
        <v>46</v>
      </c>
      <c r="N304" t="s">
        <v>1298</v>
      </c>
      <c r="S304" t="s">
        <v>48</v>
      </c>
      <c r="V304" t="s">
        <v>5694</v>
      </c>
      <c r="W304" t="s">
        <v>755</v>
      </c>
      <c r="X304" s="2">
        <f>IFERROR(VLOOKUP(I304,'Rate Sheet'!$D:$F,3,FALSE),0)</f>
        <v>14.333333333333334</v>
      </c>
      <c r="Y304" s="2">
        <f>IFERROR(VLOOKUP(J304,'Rate Sheet'!$D:$F,3,FALSE),0)</f>
        <v>0</v>
      </c>
      <c r="Z304" s="2">
        <f>IFERROR(VLOOKUP(K304,'Rate Sheet'!$D:$F,3,FALSE),0)</f>
        <v>0</v>
      </c>
      <c r="AA304" s="2">
        <f t="shared" si="4"/>
        <v>14.333333333333334</v>
      </c>
      <c r="AB304">
        <v>1</v>
      </c>
    </row>
    <row r="305" spans="1:28" x14ac:dyDescent="0.25">
      <c r="A305" t="s">
        <v>33</v>
      </c>
      <c r="B305" t="s">
        <v>1299</v>
      </c>
      <c r="C305" t="s">
        <v>21</v>
      </c>
      <c r="D305" t="s">
        <v>1299</v>
      </c>
      <c r="E305" t="s">
        <v>1300</v>
      </c>
      <c r="F305" t="s">
        <v>1301</v>
      </c>
      <c r="G305" t="s">
        <v>24</v>
      </c>
      <c r="H305" t="s">
        <v>1302</v>
      </c>
      <c r="N305" t="s">
        <v>327</v>
      </c>
      <c r="X305" s="2">
        <f>IFERROR(VLOOKUP(I305,'Rate Sheet'!$D:$F,3,FALSE),0)</f>
        <v>0</v>
      </c>
      <c r="Y305" s="2">
        <f>IFERROR(VLOOKUP(J305,'Rate Sheet'!$D:$F,3,FALSE),0)</f>
        <v>0</v>
      </c>
      <c r="Z305" s="2">
        <f>IFERROR(VLOOKUP(K305,'Rate Sheet'!$D:$F,3,FALSE),0)</f>
        <v>0</v>
      </c>
      <c r="AA305" s="2">
        <f t="shared" si="4"/>
        <v>0</v>
      </c>
    </row>
    <row r="306" spans="1:28" x14ac:dyDescent="0.25">
      <c r="A306" t="s">
        <v>33</v>
      </c>
      <c r="B306" t="s">
        <v>1303</v>
      </c>
      <c r="C306" t="s">
        <v>21</v>
      </c>
      <c r="D306" t="s">
        <v>1303</v>
      </c>
      <c r="E306" t="s">
        <v>135</v>
      </c>
      <c r="F306" t="s">
        <v>1304</v>
      </c>
      <c r="G306" t="s">
        <v>24</v>
      </c>
      <c r="H306" t="s">
        <v>1305</v>
      </c>
      <c r="N306" t="s">
        <v>181</v>
      </c>
      <c r="X306" s="2">
        <f>IFERROR(VLOOKUP(I306,'Rate Sheet'!$D:$F,3,FALSE),0)</f>
        <v>0</v>
      </c>
      <c r="Y306" s="2">
        <f>IFERROR(VLOOKUP(J306,'Rate Sheet'!$D:$F,3,FALSE),0)</f>
        <v>0</v>
      </c>
      <c r="Z306" s="2">
        <f>IFERROR(VLOOKUP(K306,'Rate Sheet'!$D:$F,3,FALSE),0)</f>
        <v>0</v>
      </c>
      <c r="AA306" s="2">
        <f t="shared" si="4"/>
        <v>0</v>
      </c>
    </row>
    <row r="307" spans="1:28" x14ac:dyDescent="0.25">
      <c r="A307" t="s">
        <v>33</v>
      </c>
      <c r="B307" t="s">
        <v>1306</v>
      </c>
      <c r="C307" t="s">
        <v>21</v>
      </c>
      <c r="D307" t="s">
        <v>1306</v>
      </c>
      <c r="E307" t="s">
        <v>1307</v>
      </c>
      <c r="F307" t="s">
        <v>1308</v>
      </c>
      <c r="G307" t="s">
        <v>24</v>
      </c>
      <c r="H307" t="s">
        <v>1309</v>
      </c>
      <c r="N307" t="s">
        <v>38</v>
      </c>
      <c r="X307" s="2">
        <f>IFERROR(VLOOKUP(I307,'Rate Sheet'!$D:$F,3,FALSE),0)</f>
        <v>0</v>
      </c>
      <c r="Y307" s="2">
        <f>IFERROR(VLOOKUP(J307,'Rate Sheet'!$D:$F,3,FALSE),0)</f>
        <v>0</v>
      </c>
      <c r="Z307" s="2">
        <f>IFERROR(VLOOKUP(K307,'Rate Sheet'!$D:$F,3,FALSE),0)</f>
        <v>0</v>
      </c>
      <c r="AA307" s="2">
        <f t="shared" si="4"/>
        <v>0</v>
      </c>
    </row>
    <row r="308" spans="1:28" x14ac:dyDescent="0.25">
      <c r="A308" t="s">
        <v>33</v>
      </c>
      <c r="B308" t="s">
        <v>1310</v>
      </c>
      <c r="C308" t="s">
        <v>21</v>
      </c>
      <c r="D308" t="s">
        <v>1310</v>
      </c>
      <c r="E308" t="s">
        <v>1311</v>
      </c>
      <c r="F308" t="s">
        <v>1312</v>
      </c>
      <c r="G308" t="s">
        <v>24</v>
      </c>
      <c r="H308" t="s">
        <v>1313</v>
      </c>
      <c r="I308" t="s">
        <v>46</v>
      </c>
      <c r="N308" t="s">
        <v>964</v>
      </c>
      <c r="S308" t="s">
        <v>48</v>
      </c>
      <c r="V308" t="s">
        <v>5675</v>
      </c>
      <c r="W308" t="s">
        <v>5676</v>
      </c>
      <c r="X308" s="2">
        <f>IFERROR(VLOOKUP(I308,'Rate Sheet'!$D:$F,3,FALSE),0)</f>
        <v>14.333333333333334</v>
      </c>
      <c r="Y308" s="2">
        <f>IFERROR(VLOOKUP(J308,'Rate Sheet'!$D:$F,3,FALSE),0)</f>
        <v>0</v>
      </c>
      <c r="Z308" s="2">
        <f>IFERROR(VLOOKUP(K308,'Rate Sheet'!$D:$F,3,FALSE),0)</f>
        <v>0</v>
      </c>
      <c r="AA308" s="2">
        <f t="shared" si="4"/>
        <v>14.333333333333334</v>
      </c>
      <c r="AB308">
        <v>1</v>
      </c>
    </row>
    <row r="309" spans="1:28" x14ac:dyDescent="0.25">
      <c r="A309" t="s">
        <v>33</v>
      </c>
      <c r="B309" t="s">
        <v>1314</v>
      </c>
      <c r="C309" t="s">
        <v>29</v>
      </c>
      <c r="D309" t="s">
        <v>1314</v>
      </c>
      <c r="E309" t="s">
        <v>1315</v>
      </c>
      <c r="F309" t="s">
        <v>1316</v>
      </c>
      <c r="G309" t="s">
        <v>24</v>
      </c>
      <c r="H309" t="s">
        <v>1317</v>
      </c>
      <c r="I309" t="s">
        <v>46</v>
      </c>
      <c r="N309" t="s">
        <v>397</v>
      </c>
      <c r="S309" t="s">
        <v>48</v>
      </c>
      <c r="V309" t="s">
        <v>5643</v>
      </c>
      <c r="W309" t="s">
        <v>5644</v>
      </c>
      <c r="X309" s="2">
        <f>IFERROR(VLOOKUP(I309,'Rate Sheet'!$D:$F,3,FALSE),0)</f>
        <v>14.333333333333334</v>
      </c>
      <c r="Y309" s="2">
        <f>IFERROR(VLOOKUP(J309,'Rate Sheet'!$D:$F,3,FALSE),0)</f>
        <v>0</v>
      </c>
      <c r="Z309" s="2">
        <f>IFERROR(VLOOKUP(K309,'Rate Sheet'!$D:$F,3,FALSE),0)</f>
        <v>0</v>
      </c>
      <c r="AA309" s="2">
        <f t="shared" si="4"/>
        <v>14.333333333333334</v>
      </c>
      <c r="AB309">
        <v>1</v>
      </c>
    </row>
    <row r="310" spans="1:28" x14ac:dyDescent="0.25">
      <c r="A310" t="s">
        <v>33</v>
      </c>
      <c r="B310" t="s">
        <v>1318</v>
      </c>
      <c r="C310" t="s">
        <v>21</v>
      </c>
      <c r="D310" t="s">
        <v>1318</v>
      </c>
      <c r="E310" t="s">
        <v>1319</v>
      </c>
      <c r="F310" t="s">
        <v>78</v>
      </c>
      <c r="G310" t="s">
        <v>24</v>
      </c>
      <c r="H310" s="1" t="s">
        <v>1320</v>
      </c>
      <c r="I310" t="s">
        <v>46</v>
      </c>
      <c r="N310" t="s">
        <v>1061</v>
      </c>
      <c r="S310" t="s">
        <v>48</v>
      </c>
      <c r="V310" t="s">
        <v>5679</v>
      </c>
      <c r="W310" t="s">
        <v>1061</v>
      </c>
      <c r="X310" s="2">
        <f>IFERROR(VLOOKUP(I310,'Rate Sheet'!$D:$F,3,FALSE),0)</f>
        <v>14.333333333333334</v>
      </c>
      <c r="Y310" s="2">
        <f>IFERROR(VLOOKUP(J310,'Rate Sheet'!$D:$F,3,FALSE),0)</f>
        <v>0</v>
      </c>
      <c r="Z310" s="2">
        <f>IFERROR(VLOOKUP(K310,'Rate Sheet'!$D:$F,3,FALSE),0)</f>
        <v>0</v>
      </c>
      <c r="AA310" s="2">
        <f t="shared" si="4"/>
        <v>14.333333333333334</v>
      </c>
      <c r="AB310">
        <v>1</v>
      </c>
    </row>
    <row r="311" spans="1:28" x14ac:dyDescent="0.25">
      <c r="A311" t="s">
        <v>33</v>
      </c>
      <c r="B311" t="s">
        <v>1321</v>
      </c>
      <c r="C311" t="s">
        <v>21</v>
      </c>
      <c r="D311" t="s">
        <v>1321</v>
      </c>
      <c r="E311" t="s">
        <v>1068</v>
      </c>
      <c r="F311" t="s">
        <v>1322</v>
      </c>
      <c r="G311" t="s">
        <v>24</v>
      </c>
      <c r="H311" t="s">
        <v>1323</v>
      </c>
      <c r="I311" t="s">
        <v>73</v>
      </c>
      <c r="N311" t="s">
        <v>47</v>
      </c>
      <c r="S311" t="s">
        <v>75</v>
      </c>
      <c r="V311" t="s">
        <v>5578</v>
      </c>
      <c r="W311" t="s">
        <v>5579</v>
      </c>
      <c r="X311" s="2">
        <f>IFERROR(VLOOKUP(I311,'Rate Sheet'!$D:$F,3,FALSE),0)</f>
        <v>8.6983333333333324</v>
      </c>
      <c r="Y311" s="2">
        <f>IFERROR(VLOOKUP(J311,'Rate Sheet'!$D:$F,3,FALSE),0)</f>
        <v>0</v>
      </c>
      <c r="Z311" s="2">
        <f>IFERROR(VLOOKUP(K311,'Rate Sheet'!$D:$F,3,FALSE),0)</f>
        <v>0</v>
      </c>
      <c r="AA311" s="2">
        <f t="shared" si="4"/>
        <v>8.6983333333333324</v>
      </c>
      <c r="AB311">
        <v>1</v>
      </c>
    </row>
    <row r="312" spans="1:28" x14ac:dyDescent="0.25">
      <c r="A312" t="s">
        <v>33</v>
      </c>
      <c r="B312" t="s">
        <v>1324</v>
      </c>
      <c r="C312" t="s">
        <v>29</v>
      </c>
      <c r="D312" t="s">
        <v>1324</v>
      </c>
      <c r="E312" t="s">
        <v>1325</v>
      </c>
      <c r="F312" t="s">
        <v>1326</v>
      </c>
      <c r="G312" t="s">
        <v>24</v>
      </c>
      <c r="H312" s="1" t="s">
        <v>1327</v>
      </c>
      <c r="I312" t="s">
        <v>46</v>
      </c>
      <c r="N312" t="s">
        <v>601</v>
      </c>
      <c r="S312" t="s">
        <v>48</v>
      </c>
      <c r="V312" t="s">
        <v>5695</v>
      </c>
      <c r="W312" t="s">
        <v>601</v>
      </c>
      <c r="X312" s="2">
        <f>IFERROR(VLOOKUP(I312,'Rate Sheet'!$D:$F,3,FALSE),0)</f>
        <v>14.333333333333334</v>
      </c>
      <c r="Y312" s="2">
        <f>IFERROR(VLOOKUP(J312,'Rate Sheet'!$D:$F,3,FALSE),0)</f>
        <v>0</v>
      </c>
      <c r="Z312" s="2">
        <f>IFERROR(VLOOKUP(K312,'Rate Sheet'!$D:$F,3,FALSE),0)</f>
        <v>0</v>
      </c>
      <c r="AA312" s="2">
        <f t="shared" si="4"/>
        <v>14.333333333333334</v>
      </c>
      <c r="AB312">
        <v>1</v>
      </c>
    </row>
    <row r="313" spans="1:28" x14ac:dyDescent="0.25">
      <c r="A313" t="s">
        <v>33</v>
      </c>
      <c r="B313" t="s">
        <v>1328</v>
      </c>
      <c r="C313" t="s">
        <v>29</v>
      </c>
      <c r="D313" t="s">
        <v>1328</v>
      </c>
      <c r="E313" t="s">
        <v>979</v>
      </c>
      <c r="F313" t="s">
        <v>1329</v>
      </c>
      <c r="G313" t="s">
        <v>24</v>
      </c>
      <c r="H313" t="s">
        <v>1330</v>
      </c>
      <c r="I313" t="s">
        <v>46</v>
      </c>
      <c r="N313" t="s">
        <v>1331</v>
      </c>
      <c r="S313" t="s">
        <v>48</v>
      </c>
      <c r="V313" t="s">
        <v>5656</v>
      </c>
      <c r="W313" t="s">
        <v>1331</v>
      </c>
      <c r="X313" s="2">
        <f>IFERROR(VLOOKUP(I313,'Rate Sheet'!$D:$F,3,FALSE),0)</f>
        <v>14.333333333333334</v>
      </c>
      <c r="Y313" s="2">
        <f>IFERROR(VLOOKUP(J313,'Rate Sheet'!$D:$F,3,FALSE),0)</f>
        <v>0</v>
      </c>
      <c r="Z313" s="2">
        <f>IFERROR(VLOOKUP(K313,'Rate Sheet'!$D:$F,3,FALSE),0)</f>
        <v>0</v>
      </c>
      <c r="AA313" s="2">
        <f t="shared" si="4"/>
        <v>14.333333333333334</v>
      </c>
      <c r="AB313">
        <v>1</v>
      </c>
    </row>
    <row r="314" spans="1:28" x14ac:dyDescent="0.25">
      <c r="A314" t="s">
        <v>33</v>
      </c>
      <c r="B314" t="s">
        <v>1332</v>
      </c>
      <c r="C314" t="s">
        <v>29</v>
      </c>
      <c r="D314" t="s">
        <v>1332</v>
      </c>
      <c r="E314" t="s">
        <v>363</v>
      </c>
      <c r="F314" t="s">
        <v>237</v>
      </c>
      <c r="G314" t="s">
        <v>24</v>
      </c>
      <c r="H314" t="s">
        <v>1333</v>
      </c>
      <c r="N314" t="s">
        <v>511</v>
      </c>
      <c r="X314" s="2">
        <f>IFERROR(VLOOKUP(I314,'Rate Sheet'!$D:$F,3,FALSE),0)</f>
        <v>0</v>
      </c>
      <c r="Y314" s="2">
        <f>IFERROR(VLOOKUP(J314,'Rate Sheet'!$D:$F,3,FALSE),0)</f>
        <v>0</v>
      </c>
      <c r="Z314" s="2">
        <f>IFERROR(VLOOKUP(K314,'Rate Sheet'!$D:$F,3,FALSE),0)</f>
        <v>0</v>
      </c>
      <c r="AA314" s="2">
        <f t="shared" si="4"/>
        <v>0</v>
      </c>
    </row>
    <row r="315" spans="1:28" x14ac:dyDescent="0.25">
      <c r="A315" t="s">
        <v>33</v>
      </c>
      <c r="B315" t="s">
        <v>1334</v>
      </c>
      <c r="C315" t="s">
        <v>21</v>
      </c>
      <c r="D315" t="s">
        <v>1334</v>
      </c>
      <c r="E315" t="s">
        <v>126</v>
      </c>
      <c r="F315" t="s">
        <v>1335</v>
      </c>
      <c r="G315" t="s">
        <v>24</v>
      </c>
      <c r="H315" t="s">
        <v>1336</v>
      </c>
      <c r="I315" t="s">
        <v>46</v>
      </c>
      <c r="N315" t="s">
        <v>185</v>
      </c>
      <c r="S315" t="s">
        <v>48</v>
      </c>
      <c r="V315" t="s">
        <v>5610</v>
      </c>
      <c r="W315" t="s">
        <v>5611</v>
      </c>
      <c r="X315" s="2">
        <f>IFERROR(VLOOKUP(I315,'Rate Sheet'!$D:$F,3,FALSE),0)</f>
        <v>14.333333333333334</v>
      </c>
      <c r="Y315" s="2">
        <f>IFERROR(VLOOKUP(J315,'Rate Sheet'!$D:$F,3,FALSE),0)</f>
        <v>0</v>
      </c>
      <c r="Z315" s="2">
        <f>IFERROR(VLOOKUP(K315,'Rate Sheet'!$D:$F,3,FALSE),0)</f>
        <v>0</v>
      </c>
      <c r="AA315" s="2">
        <f t="shared" si="4"/>
        <v>14.333333333333334</v>
      </c>
      <c r="AB315">
        <v>1</v>
      </c>
    </row>
    <row r="316" spans="1:28" x14ac:dyDescent="0.25">
      <c r="A316" t="s">
        <v>33</v>
      </c>
      <c r="B316" t="s">
        <v>1337</v>
      </c>
      <c r="C316" t="s">
        <v>21</v>
      </c>
      <c r="D316" t="s">
        <v>1337</v>
      </c>
      <c r="E316" t="s">
        <v>187</v>
      </c>
      <c r="F316" t="s">
        <v>1338</v>
      </c>
      <c r="G316" t="s">
        <v>24</v>
      </c>
      <c r="H316" t="s">
        <v>1339</v>
      </c>
      <c r="I316" t="s">
        <v>46</v>
      </c>
      <c r="N316" t="s">
        <v>38</v>
      </c>
      <c r="S316" t="s">
        <v>48</v>
      </c>
      <c r="V316" t="s">
        <v>5582</v>
      </c>
      <c r="W316" t="s">
        <v>5583</v>
      </c>
      <c r="X316" s="2">
        <f>IFERROR(VLOOKUP(I316,'Rate Sheet'!$D:$F,3,FALSE),0)</f>
        <v>14.333333333333334</v>
      </c>
      <c r="Y316" s="2">
        <f>IFERROR(VLOOKUP(J316,'Rate Sheet'!$D:$F,3,FALSE),0)</f>
        <v>0</v>
      </c>
      <c r="Z316" s="2">
        <f>IFERROR(VLOOKUP(K316,'Rate Sheet'!$D:$F,3,FALSE),0)</f>
        <v>0</v>
      </c>
      <c r="AA316" s="2">
        <f t="shared" si="4"/>
        <v>14.333333333333334</v>
      </c>
      <c r="AB316">
        <v>1</v>
      </c>
    </row>
    <row r="317" spans="1:28" x14ac:dyDescent="0.25">
      <c r="A317" t="s">
        <v>33</v>
      </c>
      <c r="B317" t="s">
        <v>1340</v>
      </c>
      <c r="C317" t="s">
        <v>21</v>
      </c>
      <c r="D317" t="s">
        <v>1341</v>
      </c>
      <c r="E317" t="s">
        <v>22</v>
      </c>
      <c r="F317" t="s">
        <v>1342</v>
      </c>
      <c r="G317" t="s">
        <v>24</v>
      </c>
      <c r="H317" t="s">
        <v>1343</v>
      </c>
      <c r="N317" t="s">
        <v>914</v>
      </c>
      <c r="X317" s="2">
        <f>IFERROR(VLOOKUP(I317,'Rate Sheet'!$D:$F,3,FALSE),0)</f>
        <v>0</v>
      </c>
      <c r="Y317" s="2">
        <f>IFERROR(VLOOKUP(J317,'Rate Sheet'!$D:$F,3,FALSE),0)</f>
        <v>0</v>
      </c>
      <c r="Z317" s="2">
        <f>IFERROR(VLOOKUP(K317,'Rate Sheet'!$D:$F,3,FALSE),0)</f>
        <v>0</v>
      </c>
      <c r="AA317" s="2">
        <f t="shared" si="4"/>
        <v>0</v>
      </c>
    </row>
    <row r="318" spans="1:28" x14ac:dyDescent="0.25">
      <c r="A318" t="s">
        <v>33</v>
      </c>
      <c r="B318" t="s">
        <v>1344</v>
      </c>
      <c r="C318" t="s">
        <v>21</v>
      </c>
      <c r="D318" t="s">
        <v>1344</v>
      </c>
      <c r="E318" t="s">
        <v>1345</v>
      </c>
      <c r="F318" t="s">
        <v>1346</v>
      </c>
      <c r="G318" t="s">
        <v>24</v>
      </c>
      <c r="H318" t="s">
        <v>1347</v>
      </c>
      <c r="N318" t="s">
        <v>90</v>
      </c>
      <c r="X318" s="2">
        <f>IFERROR(VLOOKUP(I318,'Rate Sheet'!$D:$F,3,FALSE),0)</f>
        <v>0</v>
      </c>
      <c r="Y318" s="2">
        <f>IFERROR(VLOOKUP(J318,'Rate Sheet'!$D:$F,3,FALSE),0)</f>
        <v>0</v>
      </c>
      <c r="Z318" s="2">
        <f>IFERROR(VLOOKUP(K318,'Rate Sheet'!$D:$F,3,FALSE),0)</f>
        <v>0</v>
      </c>
      <c r="AA318" s="2">
        <f t="shared" ref="AA318:AA381" si="5">SUM(X318:Z318)</f>
        <v>0</v>
      </c>
    </row>
    <row r="319" spans="1:28" x14ac:dyDescent="0.25">
      <c r="A319" t="s">
        <v>33</v>
      </c>
      <c r="B319" t="s">
        <v>1348</v>
      </c>
      <c r="C319" t="s">
        <v>21</v>
      </c>
      <c r="D319" t="s">
        <v>1349</v>
      </c>
      <c r="E319" t="s">
        <v>400</v>
      </c>
      <c r="F319" t="s">
        <v>1350</v>
      </c>
      <c r="G319" t="s">
        <v>24</v>
      </c>
      <c r="H319" t="s">
        <v>1351</v>
      </c>
      <c r="I319" t="s">
        <v>46</v>
      </c>
      <c r="N319" t="s">
        <v>181</v>
      </c>
      <c r="S319" t="s">
        <v>48</v>
      </c>
      <c r="V319" t="s">
        <v>5609</v>
      </c>
      <c r="W319" t="s">
        <v>181</v>
      </c>
      <c r="X319" s="2">
        <f>IFERROR(VLOOKUP(I319,'Rate Sheet'!$D:$F,3,FALSE),0)</f>
        <v>14.333333333333334</v>
      </c>
      <c r="Y319" s="2">
        <f>IFERROR(VLOOKUP(J319,'Rate Sheet'!$D:$F,3,FALSE),0)</f>
        <v>0</v>
      </c>
      <c r="Z319" s="2">
        <f>IFERROR(VLOOKUP(K319,'Rate Sheet'!$D:$F,3,FALSE),0)</f>
        <v>0</v>
      </c>
      <c r="AA319" s="2">
        <f t="shared" si="5"/>
        <v>14.333333333333334</v>
      </c>
      <c r="AB319">
        <v>1</v>
      </c>
    </row>
    <row r="320" spans="1:28" x14ac:dyDescent="0.25">
      <c r="A320" t="s">
        <v>33</v>
      </c>
      <c r="B320" t="s">
        <v>1352</v>
      </c>
      <c r="C320" t="s">
        <v>21</v>
      </c>
      <c r="D320" t="s">
        <v>1352</v>
      </c>
      <c r="E320" t="s">
        <v>1353</v>
      </c>
      <c r="F320" t="s">
        <v>1354</v>
      </c>
      <c r="G320" t="s">
        <v>24</v>
      </c>
      <c r="H320" t="s">
        <v>1355</v>
      </c>
      <c r="I320" t="s">
        <v>46</v>
      </c>
      <c r="N320" t="s">
        <v>138</v>
      </c>
      <c r="S320" t="s">
        <v>48</v>
      </c>
      <c r="V320" t="s">
        <v>5696</v>
      </c>
      <c r="W320" t="s">
        <v>5697</v>
      </c>
      <c r="X320" s="2">
        <f>IFERROR(VLOOKUP(I320,'Rate Sheet'!$D:$F,3,FALSE),0)</f>
        <v>14.333333333333334</v>
      </c>
      <c r="Y320" s="2">
        <f>IFERROR(VLOOKUP(J320,'Rate Sheet'!$D:$F,3,FALSE),0)</f>
        <v>0</v>
      </c>
      <c r="Z320" s="2">
        <f>IFERROR(VLOOKUP(K320,'Rate Sheet'!$D:$F,3,FALSE),0)</f>
        <v>0</v>
      </c>
      <c r="AA320" s="2">
        <f t="shared" si="5"/>
        <v>14.333333333333334</v>
      </c>
      <c r="AB320">
        <v>1</v>
      </c>
    </row>
    <row r="321" spans="1:28" x14ac:dyDescent="0.25">
      <c r="A321" t="s">
        <v>33</v>
      </c>
      <c r="B321" t="s">
        <v>1356</v>
      </c>
      <c r="C321" t="s">
        <v>21</v>
      </c>
      <c r="D321" t="s">
        <v>1356</v>
      </c>
      <c r="E321" t="s">
        <v>1357</v>
      </c>
      <c r="F321" t="s">
        <v>1358</v>
      </c>
      <c r="G321" t="s">
        <v>24</v>
      </c>
      <c r="H321" t="s">
        <v>1359</v>
      </c>
      <c r="I321" t="s">
        <v>46</v>
      </c>
      <c r="N321" t="s">
        <v>138</v>
      </c>
      <c r="S321" t="s">
        <v>48</v>
      </c>
      <c r="V321" t="s">
        <v>5696</v>
      </c>
      <c r="W321" t="s">
        <v>5697</v>
      </c>
      <c r="X321" s="2">
        <f>IFERROR(VLOOKUP(I321,'Rate Sheet'!$D:$F,3,FALSE),0)</f>
        <v>14.333333333333334</v>
      </c>
      <c r="Y321" s="2">
        <f>IFERROR(VLOOKUP(J321,'Rate Sheet'!$D:$F,3,FALSE),0)</f>
        <v>0</v>
      </c>
      <c r="Z321" s="2">
        <f>IFERROR(VLOOKUP(K321,'Rate Sheet'!$D:$F,3,FALSE),0)</f>
        <v>0</v>
      </c>
      <c r="AA321" s="2">
        <f t="shared" si="5"/>
        <v>14.333333333333334</v>
      </c>
      <c r="AB321">
        <v>1</v>
      </c>
    </row>
    <row r="322" spans="1:28" x14ac:dyDescent="0.25">
      <c r="A322" t="s">
        <v>33</v>
      </c>
      <c r="B322" t="s">
        <v>1360</v>
      </c>
      <c r="C322" t="s">
        <v>21</v>
      </c>
      <c r="D322" t="s">
        <v>1361</v>
      </c>
      <c r="E322" t="s">
        <v>1362</v>
      </c>
      <c r="F322" t="s">
        <v>1363</v>
      </c>
      <c r="G322" t="s">
        <v>24</v>
      </c>
      <c r="H322" t="s">
        <v>1364</v>
      </c>
      <c r="I322" t="s">
        <v>46</v>
      </c>
      <c r="N322" t="s">
        <v>181</v>
      </c>
      <c r="S322" t="s">
        <v>48</v>
      </c>
      <c r="V322" t="s">
        <v>5609</v>
      </c>
      <c r="W322" t="s">
        <v>181</v>
      </c>
      <c r="X322" s="2">
        <f>IFERROR(VLOOKUP(I322,'Rate Sheet'!$D:$F,3,FALSE),0)</f>
        <v>14.333333333333334</v>
      </c>
      <c r="Y322" s="2">
        <f>IFERROR(VLOOKUP(J322,'Rate Sheet'!$D:$F,3,FALSE),0)</f>
        <v>0</v>
      </c>
      <c r="Z322" s="2">
        <f>IFERROR(VLOOKUP(K322,'Rate Sheet'!$D:$F,3,FALSE),0)</f>
        <v>0</v>
      </c>
      <c r="AA322" s="2">
        <f t="shared" si="5"/>
        <v>14.333333333333334</v>
      </c>
      <c r="AB322">
        <v>1</v>
      </c>
    </row>
    <row r="323" spans="1:28" x14ac:dyDescent="0.25">
      <c r="A323" t="s">
        <v>33</v>
      </c>
      <c r="B323" t="s">
        <v>1365</v>
      </c>
      <c r="C323" t="s">
        <v>21</v>
      </c>
      <c r="D323" t="s">
        <v>1366</v>
      </c>
      <c r="E323" t="s">
        <v>894</v>
      </c>
      <c r="F323" t="s">
        <v>1367</v>
      </c>
      <c r="G323" t="s">
        <v>24</v>
      </c>
      <c r="H323" t="s">
        <v>1368</v>
      </c>
      <c r="I323" t="s">
        <v>46</v>
      </c>
      <c r="N323" t="s">
        <v>181</v>
      </c>
      <c r="S323" t="s">
        <v>48</v>
      </c>
      <c r="V323" t="s">
        <v>5609</v>
      </c>
      <c r="W323" t="s">
        <v>181</v>
      </c>
      <c r="X323" s="2">
        <f>IFERROR(VLOOKUP(I323,'Rate Sheet'!$D:$F,3,FALSE),0)</f>
        <v>14.333333333333334</v>
      </c>
      <c r="Y323" s="2">
        <f>IFERROR(VLOOKUP(J323,'Rate Sheet'!$D:$F,3,FALSE),0)</f>
        <v>0</v>
      </c>
      <c r="Z323" s="2">
        <f>IFERROR(VLOOKUP(K323,'Rate Sheet'!$D:$F,3,FALSE),0)</f>
        <v>0</v>
      </c>
      <c r="AA323" s="2">
        <f t="shared" si="5"/>
        <v>14.333333333333334</v>
      </c>
      <c r="AB323">
        <v>1</v>
      </c>
    </row>
    <row r="324" spans="1:28" x14ac:dyDescent="0.25">
      <c r="A324" t="s">
        <v>33</v>
      </c>
      <c r="B324" t="s">
        <v>1369</v>
      </c>
      <c r="C324" t="s">
        <v>21</v>
      </c>
      <c r="D324" t="s">
        <v>1370</v>
      </c>
      <c r="E324" t="s">
        <v>1048</v>
      </c>
      <c r="F324" t="s">
        <v>1371</v>
      </c>
      <c r="G324" t="s">
        <v>24</v>
      </c>
      <c r="H324" s="1" t="s">
        <v>1372</v>
      </c>
      <c r="N324" t="s">
        <v>181</v>
      </c>
      <c r="X324" s="2">
        <f>IFERROR(VLOOKUP(I324,'Rate Sheet'!$D:$F,3,FALSE),0)</f>
        <v>0</v>
      </c>
      <c r="Y324" s="2">
        <f>IFERROR(VLOOKUP(J324,'Rate Sheet'!$D:$F,3,FALSE),0)</f>
        <v>0</v>
      </c>
      <c r="Z324" s="2">
        <f>IFERROR(VLOOKUP(K324,'Rate Sheet'!$D:$F,3,FALSE),0)</f>
        <v>0</v>
      </c>
      <c r="AA324" s="2">
        <f t="shared" si="5"/>
        <v>0</v>
      </c>
    </row>
    <row r="325" spans="1:28" x14ac:dyDescent="0.25">
      <c r="A325" t="s">
        <v>33</v>
      </c>
      <c r="B325" t="s">
        <v>1373</v>
      </c>
      <c r="C325" t="s">
        <v>21</v>
      </c>
      <c r="D325" t="s">
        <v>1374</v>
      </c>
      <c r="E325" t="s">
        <v>1375</v>
      </c>
      <c r="F325" t="s">
        <v>1376</v>
      </c>
      <c r="G325" t="s">
        <v>24</v>
      </c>
      <c r="H325" t="s">
        <v>1377</v>
      </c>
      <c r="I325" t="s">
        <v>46</v>
      </c>
      <c r="N325" t="s">
        <v>181</v>
      </c>
      <c r="S325" t="s">
        <v>48</v>
      </c>
      <c r="V325" t="s">
        <v>5609</v>
      </c>
      <c r="W325" t="s">
        <v>181</v>
      </c>
      <c r="X325" s="2">
        <f>IFERROR(VLOOKUP(I325,'Rate Sheet'!$D:$F,3,FALSE),0)</f>
        <v>14.333333333333334</v>
      </c>
      <c r="Y325" s="2">
        <f>IFERROR(VLOOKUP(J325,'Rate Sheet'!$D:$F,3,FALSE),0)</f>
        <v>0</v>
      </c>
      <c r="Z325" s="2">
        <f>IFERROR(VLOOKUP(K325,'Rate Sheet'!$D:$F,3,FALSE),0)</f>
        <v>0</v>
      </c>
      <c r="AA325" s="2">
        <f t="shared" si="5"/>
        <v>14.333333333333334</v>
      </c>
      <c r="AB325">
        <v>1</v>
      </c>
    </row>
    <row r="326" spans="1:28" x14ac:dyDescent="0.25">
      <c r="A326" t="s">
        <v>33</v>
      </c>
      <c r="B326" t="s">
        <v>1378</v>
      </c>
      <c r="C326" t="s">
        <v>21</v>
      </c>
      <c r="D326" t="s">
        <v>1378</v>
      </c>
      <c r="E326" t="s">
        <v>519</v>
      </c>
      <c r="F326" t="s">
        <v>1379</v>
      </c>
      <c r="G326" t="s">
        <v>24</v>
      </c>
      <c r="H326" t="s">
        <v>1380</v>
      </c>
      <c r="I326" t="s">
        <v>96</v>
      </c>
      <c r="N326" t="s">
        <v>1381</v>
      </c>
      <c r="S326" t="s">
        <v>98</v>
      </c>
      <c r="V326" t="s">
        <v>5632</v>
      </c>
      <c r="W326" t="s">
        <v>5633</v>
      </c>
      <c r="X326" s="2">
        <f>IFERROR(VLOOKUP(I326,'Rate Sheet'!$D:$F,3,FALSE),0)</f>
        <v>82.24</v>
      </c>
      <c r="Y326" s="2">
        <f>IFERROR(VLOOKUP(J326,'Rate Sheet'!$D:$F,3,FALSE),0)</f>
        <v>0</v>
      </c>
      <c r="Z326" s="2">
        <f>IFERROR(VLOOKUP(K326,'Rate Sheet'!$D:$F,3,FALSE),0)</f>
        <v>0</v>
      </c>
      <c r="AA326" s="2">
        <f t="shared" si="5"/>
        <v>82.24</v>
      </c>
      <c r="AB326">
        <v>1</v>
      </c>
    </row>
    <row r="327" spans="1:28" x14ac:dyDescent="0.25">
      <c r="A327" t="s">
        <v>33</v>
      </c>
      <c r="B327" t="s">
        <v>1382</v>
      </c>
      <c r="C327" t="s">
        <v>21</v>
      </c>
      <c r="D327" t="s">
        <v>1382</v>
      </c>
      <c r="E327" t="s">
        <v>1383</v>
      </c>
      <c r="F327" t="s">
        <v>1384</v>
      </c>
      <c r="G327" t="s">
        <v>24</v>
      </c>
      <c r="H327" t="s">
        <v>1385</v>
      </c>
      <c r="I327" t="s">
        <v>46</v>
      </c>
      <c r="N327" t="s">
        <v>601</v>
      </c>
      <c r="S327" t="s">
        <v>48</v>
      </c>
      <c r="V327" t="s">
        <v>5695</v>
      </c>
      <c r="W327" t="s">
        <v>601</v>
      </c>
      <c r="X327" s="2">
        <f>IFERROR(VLOOKUP(I327,'Rate Sheet'!$D:$F,3,FALSE),0)</f>
        <v>14.333333333333334</v>
      </c>
      <c r="Y327" s="2">
        <f>IFERROR(VLOOKUP(J327,'Rate Sheet'!$D:$F,3,FALSE),0)</f>
        <v>0</v>
      </c>
      <c r="Z327" s="2">
        <f>IFERROR(VLOOKUP(K327,'Rate Sheet'!$D:$F,3,FALSE),0)</f>
        <v>0</v>
      </c>
      <c r="AA327" s="2">
        <f t="shared" si="5"/>
        <v>14.333333333333334</v>
      </c>
      <c r="AB327">
        <v>1</v>
      </c>
    </row>
    <row r="328" spans="1:28" x14ac:dyDescent="0.25">
      <c r="A328" t="s">
        <v>33</v>
      </c>
      <c r="B328" t="s">
        <v>1386</v>
      </c>
      <c r="C328" t="s">
        <v>29</v>
      </c>
      <c r="D328" t="s">
        <v>1386</v>
      </c>
      <c r="E328" t="s">
        <v>35</v>
      </c>
      <c r="F328" t="s">
        <v>1387</v>
      </c>
      <c r="G328" t="s">
        <v>24</v>
      </c>
      <c r="H328" s="1" t="s">
        <v>1388</v>
      </c>
      <c r="I328" t="s">
        <v>46</v>
      </c>
      <c r="N328" t="s">
        <v>1389</v>
      </c>
      <c r="S328" t="s">
        <v>48</v>
      </c>
      <c r="V328" t="s">
        <v>5698</v>
      </c>
      <c r="W328" t="s">
        <v>1389</v>
      </c>
      <c r="X328" s="2">
        <f>IFERROR(VLOOKUP(I328,'Rate Sheet'!$D:$F,3,FALSE),0)</f>
        <v>14.333333333333334</v>
      </c>
      <c r="Y328" s="2">
        <f>IFERROR(VLOOKUP(J328,'Rate Sheet'!$D:$F,3,FALSE),0)</f>
        <v>0</v>
      </c>
      <c r="Z328" s="2">
        <f>IFERROR(VLOOKUP(K328,'Rate Sheet'!$D:$F,3,FALSE),0)</f>
        <v>0</v>
      </c>
      <c r="AA328" s="2">
        <f t="shared" si="5"/>
        <v>14.333333333333334</v>
      </c>
      <c r="AB328">
        <v>1</v>
      </c>
    </row>
    <row r="329" spans="1:28" x14ac:dyDescent="0.25">
      <c r="A329" t="s">
        <v>33</v>
      </c>
      <c r="B329" t="s">
        <v>1390</v>
      </c>
      <c r="C329" t="s">
        <v>21</v>
      </c>
      <c r="D329" t="s">
        <v>1390</v>
      </c>
      <c r="E329" t="s">
        <v>606</v>
      </c>
      <c r="F329" t="s">
        <v>417</v>
      </c>
      <c r="G329" t="s">
        <v>24</v>
      </c>
      <c r="H329" t="s">
        <v>1391</v>
      </c>
      <c r="I329" t="s">
        <v>46</v>
      </c>
      <c r="N329" t="s">
        <v>181</v>
      </c>
      <c r="S329" t="s">
        <v>48</v>
      </c>
      <c r="V329" t="s">
        <v>5609</v>
      </c>
      <c r="W329" t="s">
        <v>181</v>
      </c>
      <c r="X329" s="2">
        <f>IFERROR(VLOOKUP(I329,'Rate Sheet'!$D:$F,3,FALSE),0)</f>
        <v>14.333333333333334</v>
      </c>
      <c r="Y329" s="2">
        <f>IFERROR(VLOOKUP(J329,'Rate Sheet'!$D:$F,3,FALSE),0)</f>
        <v>0</v>
      </c>
      <c r="Z329" s="2">
        <f>IFERROR(VLOOKUP(K329,'Rate Sheet'!$D:$F,3,FALSE),0)</f>
        <v>0</v>
      </c>
      <c r="AA329" s="2">
        <f t="shared" si="5"/>
        <v>14.333333333333334</v>
      </c>
      <c r="AB329">
        <v>1</v>
      </c>
    </row>
    <row r="330" spans="1:28" x14ac:dyDescent="0.25">
      <c r="A330" t="s">
        <v>33</v>
      </c>
      <c r="B330" t="s">
        <v>1392</v>
      </c>
      <c r="C330" t="s">
        <v>21</v>
      </c>
      <c r="D330" t="s">
        <v>1392</v>
      </c>
      <c r="E330" t="s">
        <v>1393</v>
      </c>
      <c r="F330" t="s">
        <v>899</v>
      </c>
      <c r="G330" t="s">
        <v>24</v>
      </c>
      <c r="H330" s="1" t="s">
        <v>1394</v>
      </c>
      <c r="I330" t="s">
        <v>46</v>
      </c>
      <c r="N330" t="s">
        <v>803</v>
      </c>
      <c r="S330" t="s">
        <v>48</v>
      </c>
      <c r="V330" t="s">
        <v>5665</v>
      </c>
      <c r="W330" t="s">
        <v>803</v>
      </c>
      <c r="X330" s="2">
        <f>IFERROR(VLOOKUP(I330,'Rate Sheet'!$D:$F,3,FALSE),0)</f>
        <v>14.333333333333334</v>
      </c>
      <c r="Y330" s="2">
        <f>IFERROR(VLOOKUP(J330,'Rate Sheet'!$D:$F,3,FALSE),0)</f>
        <v>0</v>
      </c>
      <c r="Z330" s="2">
        <f>IFERROR(VLOOKUP(K330,'Rate Sheet'!$D:$F,3,FALSE),0)</f>
        <v>0</v>
      </c>
      <c r="AA330" s="2">
        <f t="shared" si="5"/>
        <v>14.333333333333334</v>
      </c>
      <c r="AB330">
        <v>1</v>
      </c>
    </row>
    <row r="331" spans="1:28" x14ac:dyDescent="0.25">
      <c r="A331" t="s">
        <v>33</v>
      </c>
      <c r="B331" t="s">
        <v>1395</v>
      </c>
      <c r="C331" t="s">
        <v>21</v>
      </c>
      <c r="D331" t="s">
        <v>1396</v>
      </c>
      <c r="E331" t="s">
        <v>464</v>
      </c>
      <c r="F331" t="s">
        <v>1397</v>
      </c>
      <c r="G331" t="s">
        <v>24</v>
      </c>
      <c r="H331" t="s">
        <v>1398</v>
      </c>
      <c r="I331" t="s">
        <v>73</v>
      </c>
      <c r="N331" t="s">
        <v>914</v>
      </c>
      <c r="S331" t="s">
        <v>75</v>
      </c>
      <c r="V331" s="10" t="s">
        <v>5686</v>
      </c>
      <c r="W331" s="10" t="s">
        <v>5687</v>
      </c>
      <c r="X331" s="2">
        <f>IFERROR(VLOOKUP(I331,'Rate Sheet'!$D:$F,3,FALSE),0)</f>
        <v>8.6983333333333324</v>
      </c>
      <c r="Y331" s="2">
        <f>IFERROR(VLOOKUP(J331,'Rate Sheet'!$D:$F,3,FALSE),0)</f>
        <v>0</v>
      </c>
      <c r="Z331" s="2">
        <f>IFERROR(VLOOKUP(K331,'Rate Sheet'!$D:$F,3,FALSE),0)</f>
        <v>0</v>
      </c>
      <c r="AA331" s="2">
        <f t="shared" si="5"/>
        <v>8.6983333333333324</v>
      </c>
      <c r="AB331">
        <v>1</v>
      </c>
    </row>
    <row r="332" spans="1:28" x14ac:dyDescent="0.25">
      <c r="A332" t="s">
        <v>33</v>
      </c>
      <c r="B332" t="s">
        <v>1399</v>
      </c>
      <c r="C332" t="s">
        <v>21</v>
      </c>
      <c r="D332" t="s">
        <v>1399</v>
      </c>
      <c r="E332" t="s">
        <v>178</v>
      </c>
      <c r="F332" t="s">
        <v>1400</v>
      </c>
      <c r="G332" t="s">
        <v>24</v>
      </c>
      <c r="H332" t="s">
        <v>1401</v>
      </c>
      <c r="N332" t="s">
        <v>1402</v>
      </c>
      <c r="X332" s="2">
        <f>IFERROR(VLOOKUP(I332,'Rate Sheet'!$D:$F,3,FALSE),0)</f>
        <v>0</v>
      </c>
      <c r="Y332" s="2">
        <f>IFERROR(VLOOKUP(J332,'Rate Sheet'!$D:$F,3,FALSE),0)</f>
        <v>0</v>
      </c>
      <c r="Z332" s="2">
        <f>IFERROR(VLOOKUP(K332,'Rate Sheet'!$D:$F,3,FALSE),0)</f>
        <v>0</v>
      </c>
      <c r="AA332" s="2">
        <f t="shared" si="5"/>
        <v>0</v>
      </c>
    </row>
    <row r="333" spans="1:28" x14ac:dyDescent="0.25">
      <c r="A333" t="s">
        <v>33</v>
      </c>
      <c r="B333" t="s">
        <v>1403</v>
      </c>
      <c r="C333" t="s">
        <v>21</v>
      </c>
      <c r="D333" t="s">
        <v>1403</v>
      </c>
      <c r="E333" t="s">
        <v>1404</v>
      </c>
      <c r="F333" t="s">
        <v>1405</v>
      </c>
      <c r="G333" t="s">
        <v>24</v>
      </c>
      <c r="H333" t="s">
        <v>1406</v>
      </c>
      <c r="N333" t="s">
        <v>670</v>
      </c>
      <c r="X333" s="2">
        <f>IFERROR(VLOOKUP(I333,'Rate Sheet'!$D:$F,3,FALSE),0)</f>
        <v>0</v>
      </c>
      <c r="Y333" s="2">
        <f>IFERROR(VLOOKUP(J333,'Rate Sheet'!$D:$F,3,FALSE),0)</f>
        <v>0</v>
      </c>
      <c r="Z333" s="2">
        <f>IFERROR(VLOOKUP(K333,'Rate Sheet'!$D:$F,3,FALSE),0)</f>
        <v>0</v>
      </c>
      <c r="AA333" s="2">
        <f t="shared" si="5"/>
        <v>0</v>
      </c>
    </row>
    <row r="334" spans="1:28" x14ac:dyDescent="0.25">
      <c r="A334" t="s">
        <v>33</v>
      </c>
      <c r="B334" t="s">
        <v>1407</v>
      </c>
      <c r="C334" t="s">
        <v>21</v>
      </c>
      <c r="D334" t="s">
        <v>1407</v>
      </c>
      <c r="E334" t="s">
        <v>1408</v>
      </c>
      <c r="F334" t="s">
        <v>1409</v>
      </c>
      <c r="G334" t="s">
        <v>24</v>
      </c>
      <c r="H334" t="s">
        <v>1410</v>
      </c>
      <c r="I334" t="s">
        <v>46</v>
      </c>
      <c r="N334" t="s">
        <v>1152</v>
      </c>
      <c r="S334" t="s">
        <v>48</v>
      </c>
      <c r="V334" t="s">
        <v>5688</v>
      </c>
      <c r="W334" t="s">
        <v>1152</v>
      </c>
      <c r="X334" s="2">
        <f>IFERROR(VLOOKUP(I334,'Rate Sheet'!$D:$F,3,FALSE),0)</f>
        <v>14.333333333333334</v>
      </c>
      <c r="Y334" s="2">
        <f>IFERROR(VLOOKUP(J334,'Rate Sheet'!$D:$F,3,FALSE),0)</f>
        <v>0</v>
      </c>
      <c r="Z334" s="2">
        <f>IFERROR(VLOOKUP(K334,'Rate Sheet'!$D:$F,3,FALSE),0)</f>
        <v>0</v>
      </c>
      <c r="AA334" s="2">
        <f t="shared" si="5"/>
        <v>14.333333333333334</v>
      </c>
      <c r="AB334">
        <v>1</v>
      </c>
    </row>
    <row r="335" spans="1:28" x14ac:dyDescent="0.25">
      <c r="A335" t="s">
        <v>33</v>
      </c>
      <c r="B335" t="s">
        <v>1411</v>
      </c>
      <c r="C335" t="s">
        <v>21</v>
      </c>
      <c r="D335" t="s">
        <v>1411</v>
      </c>
      <c r="E335" t="s">
        <v>1412</v>
      </c>
      <c r="F335" t="s">
        <v>1413</v>
      </c>
      <c r="G335" t="s">
        <v>24</v>
      </c>
      <c r="H335" t="s">
        <v>1414</v>
      </c>
      <c r="N335" t="s">
        <v>1415</v>
      </c>
      <c r="X335" s="2">
        <f>IFERROR(VLOOKUP(I335,'Rate Sheet'!$D:$F,3,FALSE),0)</f>
        <v>0</v>
      </c>
      <c r="Y335" s="2">
        <f>IFERROR(VLOOKUP(J335,'Rate Sheet'!$D:$F,3,FALSE),0)</f>
        <v>0</v>
      </c>
      <c r="Z335" s="2">
        <f>IFERROR(VLOOKUP(K335,'Rate Sheet'!$D:$F,3,FALSE),0)</f>
        <v>0</v>
      </c>
      <c r="AA335" s="2">
        <f t="shared" si="5"/>
        <v>0</v>
      </c>
    </row>
    <row r="336" spans="1:28" x14ac:dyDescent="0.25">
      <c r="A336" t="s">
        <v>33</v>
      </c>
      <c r="B336" t="s">
        <v>1416</v>
      </c>
      <c r="C336" t="s">
        <v>21</v>
      </c>
      <c r="D336" t="s">
        <v>1416</v>
      </c>
      <c r="E336" t="s">
        <v>1417</v>
      </c>
      <c r="F336" t="s">
        <v>1418</v>
      </c>
      <c r="G336" t="s">
        <v>24</v>
      </c>
      <c r="H336" t="s">
        <v>1419</v>
      </c>
      <c r="I336" t="s">
        <v>46</v>
      </c>
      <c r="N336" t="s">
        <v>697</v>
      </c>
      <c r="S336" t="s">
        <v>48</v>
      </c>
      <c r="V336" t="s">
        <v>5692</v>
      </c>
      <c r="W336" t="s">
        <v>5693</v>
      </c>
      <c r="X336" s="2">
        <f>IFERROR(VLOOKUP(I336,'Rate Sheet'!$D:$F,3,FALSE),0)</f>
        <v>14.333333333333334</v>
      </c>
      <c r="Y336" s="2">
        <f>IFERROR(VLOOKUP(J336,'Rate Sheet'!$D:$F,3,FALSE),0)</f>
        <v>0</v>
      </c>
      <c r="Z336" s="2">
        <f>IFERROR(VLOOKUP(K336,'Rate Sheet'!$D:$F,3,FALSE),0)</f>
        <v>0</v>
      </c>
      <c r="AA336" s="2">
        <f t="shared" si="5"/>
        <v>14.333333333333334</v>
      </c>
      <c r="AB336">
        <v>1</v>
      </c>
    </row>
    <row r="337" spans="1:28" x14ac:dyDescent="0.25">
      <c r="A337" t="s">
        <v>33</v>
      </c>
      <c r="B337" t="s">
        <v>1420</v>
      </c>
      <c r="C337" t="s">
        <v>21</v>
      </c>
      <c r="D337" t="s">
        <v>1420</v>
      </c>
      <c r="E337" t="s">
        <v>723</v>
      </c>
      <c r="F337" t="s">
        <v>1421</v>
      </c>
      <c r="G337" t="s">
        <v>24</v>
      </c>
      <c r="H337" t="s">
        <v>1422</v>
      </c>
      <c r="I337" t="s">
        <v>46</v>
      </c>
      <c r="N337" t="s">
        <v>63</v>
      </c>
      <c r="S337" t="s">
        <v>48</v>
      </c>
      <c r="V337" t="s">
        <v>5584</v>
      </c>
      <c r="W337" t="s">
        <v>63</v>
      </c>
      <c r="X337" s="2">
        <f>IFERROR(VLOOKUP(I337,'Rate Sheet'!$D:$F,3,FALSE),0)</f>
        <v>14.333333333333334</v>
      </c>
      <c r="Y337" s="2">
        <f>IFERROR(VLOOKUP(J337,'Rate Sheet'!$D:$F,3,FALSE),0)</f>
        <v>0</v>
      </c>
      <c r="Z337" s="2">
        <f>IFERROR(VLOOKUP(K337,'Rate Sheet'!$D:$F,3,FALSE),0)</f>
        <v>0</v>
      </c>
      <c r="AA337" s="2">
        <f t="shared" si="5"/>
        <v>14.333333333333334</v>
      </c>
      <c r="AB337">
        <v>1</v>
      </c>
    </row>
    <row r="338" spans="1:28" x14ac:dyDescent="0.25">
      <c r="A338" t="s">
        <v>33</v>
      </c>
      <c r="B338" t="s">
        <v>1423</v>
      </c>
      <c r="C338" t="s">
        <v>21</v>
      </c>
      <c r="D338" t="s">
        <v>1423</v>
      </c>
      <c r="E338" t="s">
        <v>1424</v>
      </c>
      <c r="F338" t="s">
        <v>1069</v>
      </c>
      <c r="G338" t="s">
        <v>24</v>
      </c>
      <c r="H338" t="s">
        <v>1425</v>
      </c>
      <c r="I338" t="s">
        <v>46</v>
      </c>
      <c r="N338" t="s">
        <v>38</v>
      </c>
      <c r="S338" t="s">
        <v>48</v>
      </c>
      <c r="V338" t="s">
        <v>5582</v>
      </c>
      <c r="W338" t="s">
        <v>5583</v>
      </c>
      <c r="X338" s="2">
        <f>IFERROR(VLOOKUP(I338,'Rate Sheet'!$D:$F,3,FALSE),0)</f>
        <v>14.333333333333334</v>
      </c>
      <c r="Y338" s="2">
        <f>IFERROR(VLOOKUP(J338,'Rate Sheet'!$D:$F,3,FALSE),0)</f>
        <v>0</v>
      </c>
      <c r="Z338" s="2">
        <f>IFERROR(VLOOKUP(K338,'Rate Sheet'!$D:$F,3,FALSE),0)</f>
        <v>0</v>
      </c>
      <c r="AA338" s="2">
        <f t="shared" si="5"/>
        <v>14.333333333333334</v>
      </c>
      <c r="AB338">
        <v>1</v>
      </c>
    </row>
    <row r="339" spans="1:28" x14ac:dyDescent="0.25">
      <c r="A339" t="s">
        <v>33</v>
      </c>
      <c r="B339" t="s">
        <v>1426</v>
      </c>
      <c r="C339" t="s">
        <v>29</v>
      </c>
      <c r="D339" t="s">
        <v>1426</v>
      </c>
      <c r="E339" t="s">
        <v>796</v>
      </c>
      <c r="F339" t="s">
        <v>1427</v>
      </c>
      <c r="G339" t="s">
        <v>24</v>
      </c>
      <c r="H339" t="s">
        <v>1428</v>
      </c>
      <c r="I339" t="s">
        <v>46</v>
      </c>
      <c r="N339" t="s">
        <v>246</v>
      </c>
      <c r="S339" t="s">
        <v>48</v>
      </c>
      <c r="V339" t="s">
        <v>5661</v>
      </c>
      <c r="W339" t="s">
        <v>246</v>
      </c>
      <c r="X339" s="2">
        <f>IFERROR(VLOOKUP(I339,'Rate Sheet'!$D:$F,3,FALSE),0)</f>
        <v>14.333333333333334</v>
      </c>
      <c r="Y339" s="2">
        <f>IFERROR(VLOOKUP(J339,'Rate Sheet'!$D:$F,3,FALSE),0)</f>
        <v>0</v>
      </c>
      <c r="Z339" s="2">
        <f>IFERROR(VLOOKUP(K339,'Rate Sheet'!$D:$F,3,FALSE),0)</f>
        <v>0</v>
      </c>
      <c r="AA339" s="2">
        <f t="shared" si="5"/>
        <v>14.333333333333334</v>
      </c>
      <c r="AB339">
        <v>1</v>
      </c>
    </row>
    <row r="340" spans="1:28" x14ac:dyDescent="0.25">
      <c r="A340" t="s">
        <v>33</v>
      </c>
      <c r="B340" t="s">
        <v>1429</v>
      </c>
      <c r="C340" t="s">
        <v>21</v>
      </c>
      <c r="D340" t="s">
        <v>1429</v>
      </c>
      <c r="E340" t="s">
        <v>1430</v>
      </c>
      <c r="F340" t="s">
        <v>1431</v>
      </c>
      <c r="G340" t="s">
        <v>24</v>
      </c>
      <c r="H340" t="s">
        <v>1432</v>
      </c>
      <c r="N340" t="s">
        <v>1433</v>
      </c>
      <c r="X340" s="2">
        <f>IFERROR(VLOOKUP(I340,'Rate Sheet'!$D:$F,3,FALSE),0)</f>
        <v>0</v>
      </c>
      <c r="Y340" s="2">
        <f>IFERROR(VLOOKUP(J340,'Rate Sheet'!$D:$F,3,FALSE),0)</f>
        <v>0</v>
      </c>
      <c r="Z340" s="2">
        <f>IFERROR(VLOOKUP(K340,'Rate Sheet'!$D:$F,3,FALSE),0)</f>
        <v>0</v>
      </c>
      <c r="AA340" s="2">
        <f t="shared" si="5"/>
        <v>0</v>
      </c>
    </row>
    <row r="341" spans="1:28" x14ac:dyDescent="0.25">
      <c r="A341" t="s">
        <v>33</v>
      </c>
      <c r="B341" t="s">
        <v>1434</v>
      </c>
      <c r="C341" t="s">
        <v>21</v>
      </c>
      <c r="D341" t="s">
        <v>1434</v>
      </c>
      <c r="E341" t="s">
        <v>334</v>
      </c>
      <c r="F341" t="s">
        <v>1435</v>
      </c>
      <c r="G341" t="s">
        <v>24</v>
      </c>
      <c r="H341" t="s">
        <v>1436</v>
      </c>
      <c r="I341" t="s">
        <v>73</v>
      </c>
      <c r="N341" t="s">
        <v>415</v>
      </c>
      <c r="S341" t="s">
        <v>75</v>
      </c>
      <c r="V341" t="s">
        <v>5635</v>
      </c>
      <c r="W341" t="s">
        <v>415</v>
      </c>
      <c r="X341" s="2">
        <f>IFERROR(VLOOKUP(I341,'Rate Sheet'!$D:$F,3,FALSE),0)</f>
        <v>8.6983333333333324</v>
      </c>
      <c r="Y341" s="2">
        <f>IFERROR(VLOOKUP(J341,'Rate Sheet'!$D:$F,3,FALSE),0)</f>
        <v>0</v>
      </c>
      <c r="Z341" s="2">
        <f>IFERROR(VLOOKUP(K341,'Rate Sheet'!$D:$F,3,FALSE),0)</f>
        <v>0</v>
      </c>
      <c r="AA341" s="2">
        <f t="shared" si="5"/>
        <v>8.6983333333333324</v>
      </c>
      <c r="AB341">
        <v>1</v>
      </c>
    </row>
    <row r="342" spans="1:28" x14ac:dyDescent="0.25">
      <c r="A342" t="s">
        <v>33</v>
      </c>
      <c r="B342" t="s">
        <v>1437</v>
      </c>
      <c r="C342" t="s">
        <v>21</v>
      </c>
      <c r="D342" t="s">
        <v>1437</v>
      </c>
      <c r="E342" t="s">
        <v>1438</v>
      </c>
      <c r="F342" t="s">
        <v>1439</v>
      </c>
      <c r="G342" t="s">
        <v>24</v>
      </c>
      <c r="H342" t="s">
        <v>1440</v>
      </c>
      <c r="I342" t="s">
        <v>73</v>
      </c>
      <c r="N342" t="s">
        <v>1441</v>
      </c>
      <c r="S342" t="s">
        <v>75</v>
      </c>
      <c r="V342" t="s">
        <v>5699</v>
      </c>
      <c r="W342" t="s">
        <v>5700</v>
      </c>
      <c r="X342" s="2">
        <f>IFERROR(VLOOKUP(I342,'Rate Sheet'!$D:$F,3,FALSE),0)</f>
        <v>8.6983333333333324</v>
      </c>
      <c r="Y342" s="2">
        <f>IFERROR(VLOOKUP(J342,'Rate Sheet'!$D:$F,3,FALSE),0)</f>
        <v>0</v>
      </c>
      <c r="Z342" s="2">
        <f>IFERROR(VLOOKUP(K342,'Rate Sheet'!$D:$F,3,FALSE),0)</f>
        <v>0</v>
      </c>
      <c r="AA342" s="2">
        <f t="shared" si="5"/>
        <v>8.6983333333333324</v>
      </c>
      <c r="AB342">
        <v>1</v>
      </c>
    </row>
    <row r="343" spans="1:28" x14ac:dyDescent="0.25">
      <c r="A343" t="s">
        <v>33</v>
      </c>
      <c r="B343" t="s">
        <v>1442</v>
      </c>
      <c r="C343" t="s">
        <v>21</v>
      </c>
      <c r="D343" t="s">
        <v>1442</v>
      </c>
      <c r="E343" t="s">
        <v>1443</v>
      </c>
      <c r="F343" t="s">
        <v>110</v>
      </c>
      <c r="G343" t="s">
        <v>24</v>
      </c>
      <c r="H343" t="s">
        <v>1444</v>
      </c>
      <c r="N343" t="s">
        <v>224</v>
      </c>
      <c r="X343" s="2">
        <f>IFERROR(VLOOKUP(I343,'Rate Sheet'!$D:$F,3,FALSE),0)</f>
        <v>0</v>
      </c>
      <c r="Y343" s="2">
        <f>IFERROR(VLOOKUP(J343,'Rate Sheet'!$D:$F,3,FALSE),0)</f>
        <v>0</v>
      </c>
      <c r="Z343" s="2">
        <f>IFERROR(VLOOKUP(K343,'Rate Sheet'!$D:$F,3,FALSE),0)</f>
        <v>0</v>
      </c>
      <c r="AA343" s="2">
        <f t="shared" si="5"/>
        <v>0</v>
      </c>
    </row>
    <row r="344" spans="1:28" x14ac:dyDescent="0.25">
      <c r="A344" t="s">
        <v>33</v>
      </c>
      <c r="B344" t="s">
        <v>1445</v>
      </c>
      <c r="C344" t="s">
        <v>21</v>
      </c>
      <c r="D344" t="s">
        <v>1445</v>
      </c>
      <c r="E344" t="s">
        <v>796</v>
      </c>
      <c r="F344" t="s">
        <v>1446</v>
      </c>
      <c r="G344" t="s">
        <v>24</v>
      </c>
      <c r="H344" t="s">
        <v>1447</v>
      </c>
      <c r="I344" t="s">
        <v>73</v>
      </c>
      <c r="N344" t="s">
        <v>856</v>
      </c>
      <c r="S344" t="s">
        <v>75</v>
      </c>
      <c r="V344" t="s">
        <v>5672</v>
      </c>
      <c r="W344" t="s">
        <v>2329</v>
      </c>
      <c r="X344" s="2">
        <f>IFERROR(VLOOKUP(I344,'Rate Sheet'!$D:$F,3,FALSE),0)</f>
        <v>8.6983333333333324</v>
      </c>
      <c r="Y344" s="2">
        <f>IFERROR(VLOOKUP(J344,'Rate Sheet'!$D:$F,3,FALSE),0)</f>
        <v>0</v>
      </c>
      <c r="Z344" s="2">
        <f>IFERROR(VLOOKUP(K344,'Rate Sheet'!$D:$F,3,FALSE),0)</f>
        <v>0</v>
      </c>
      <c r="AA344" s="2">
        <f t="shared" si="5"/>
        <v>8.6983333333333324</v>
      </c>
      <c r="AB344">
        <v>1</v>
      </c>
    </row>
    <row r="345" spans="1:28" x14ac:dyDescent="0.25">
      <c r="A345" t="s">
        <v>33</v>
      </c>
      <c r="B345" t="s">
        <v>1448</v>
      </c>
      <c r="C345" t="s">
        <v>21</v>
      </c>
      <c r="D345" t="s">
        <v>1448</v>
      </c>
      <c r="E345" t="s">
        <v>1449</v>
      </c>
      <c r="F345" t="s">
        <v>1450</v>
      </c>
      <c r="G345" t="s">
        <v>24</v>
      </c>
      <c r="H345" t="s">
        <v>1451</v>
      </c>
      <c r="I345" t="s">
        <v>73</v>
      </c>
      <c r="N345" t="s">
        <v>415</v>
      </c>
      <c r="S345" t="s">
        <v>75</v>
      </c>
      <c r="V345" t="s">
        <v>5635</v>
      </c>
      <c r="W345" t="s">
        <v>415</v>
      </c>
      <c r="X345" s="2">
        <f>IFERROR(VLOOKUP(I345,'Rate Sheet'!$D:$F,3,FALSE),0)</f>
        <v>8.6983333333333324</v>
      </c>
      <c r="Y345" s="2">
        <f>IFERROR(VLOOKUP(J345,'Rate Sheet'!$D:$F,3,FALSE),0)</f>
        <v>0</v>
      </c>
      <c r="Z345" s="2">
        <f>IFERROR(VLOOKUP(K345,'Rate Sheet'!$D:$F,3,FALSE),0)</f>
        <v>0</v>
      </c>
      <c r="AA345" s="2">
        <f t="shared" si="5"/>
        <v>8.6983333333333324</v>
      </c>
      <c r="AB345">
        <v>1</v>
      </c>
    </row>
    <row r="346" spans="1:28" x14ac:dyDescent="0.25">
      <c r="A346" t="s">
        <v>33</v>
      </c>
      <c r="B346" t="s">
        <v>1452</v>
      </c>
      <c r="C346" t="s">
        <v>21</v>
      </c>
      <c r="D346" t="s">
        <v>1452</v>
      </c>
      <c r="E346" t="s">
        <v>1453</v>
      </c>
      <c r="F346" t="s">
        <v>1454</v>
      </c>
      <c r="G346" t="s">
        <v>24</v>
      </c>
      <c r="H346" t="s">
        <v>1455</v>
      </c>
      <c r="I346" t="s">
        <v>46</v>
      </c>
      <c r="N346" t="s">
        <v>185</v>
      </c>
      <c r="S346" t="s">
        <v>48</v>
      </c>
      <c r="V346" t="s">
        <v>5610</v>
      </c>
      <c r="W346" t="s">
        <v>5611</v>
      </c>
      <c r="X346" s="2">
        <f>IFERROR(VLOOKUP(I346,'Rate Sheet'!$D:$F,3,FALSE),0)</f>
        <v>14.333333333333334</v>
      </c>
      <c r="Y346" s="2">
        <f>IFERROR(VLOOKUP(J346,'Rate Sheet'!$D:$F,3,FALSE),0)</f>
        <v>0</v>
      </c>
      <c r="Z346" s="2">
        <f>IFERROR(VLOOKUP(K346,'Rate Sheet'!$D:$F,3,FALSE),0)</f>
        <v>0</v>
      </c>
      <c r="AA346" s="2">
        <f t="shared" si="5"/>
        <v>14.333333333333334</v>
      </c>
      <c r="AB346">
        <v>1</v>
      </c>
    </row>
    <row r="347" spans="1:28" x14ac:dyDescent="0.25">
      <c r="A347" t="s">
        <v>33</v>
      </c>
      <c r="B347" t="s">
        <v>1456</v>
      </c>
      <c r="C347" t="s">
        <v>21</v>
      </c>
      <c r="D347" t="s">
        <v>1456</v>
      </c>
      <c r="E347" t="s">
        <v>1457</v>
      </c>
      <c r="F347" t="s">
        <v>1458</v>
      </c>
      <c r="G347" t="s">
        <v>24</v>
      </c>
      <c r="H347" t="s">
        <v>1459</v>
      </c>
      <c r="N347" t="s">
        <v>914</v>
      </c>
      <c r="X347" s="2">
        <f>IFERROR(VLOOKUP(I347,'Rate Sheet'!$D:$F,3,FALSE),0)</f>
        <v>0</v>
      </c>
      <c r="Y347" s="2">
        <f>IFERROR(VLOOKUP(J347,'Rate Sheet'!$D:$F,3,FALSE),0)</f>
        <v>0</v>
      </c>
      <c r="Z347" s="2">
        <f>IFERROR(VLOOKUP(K347,'Rate Sheet'!$D:$F,3,FALSE),0)</f>
        <v>0</v>
      </c>
      <c r="AA347" s="2">
        <f t="shared" si="5"/>
        <v>0</v>
      </c>
    </row>
    <row r="348" spans="1:28" x14ac:dyDescent="0.25">
      <c r="A348" t="s">
        <v>33</v>
      </c>
      <c r="B348" t="s">
        <v>1460</v>
      </c>
      <c r="C348" t="s">
        <v>21</v>
      </c>
      <c r="D348" t="s">
        <v>1460</v>
      </c>
      <c r="E348" t="s">
        <v>699</v>
      </c>
      <c r="F348" t="s">
        <v>432</v>
      </c>
      <c r="G348" t="s">
        <v>24</v>
      </c>
      <c r="H348" t="s">
        <v>1461</v>
      </c>
      <c r="I348" t="s">
        <v>46</v>
      </c>
      <c r="N348" t="s">
        <v>692</v>
      </c>
      <c r="S348" t="s">
        <v>48</v>
      </c>
      <c r="V348" t="s">
        <v>5628</v>
      </c>
      <c r="W348" t="s">
        <v>5629</v>
      </c>
      <c r="X348" s="2">
        <f>IFERROR(VLOOKUP(I348,'Rate Sheet'!$D:$F,3,FALSE),0)</f>
        <v>14.333333333333334</v>
      </c>
      <c r="Y348" s="2">
        <f>IFERROR(VLOOKUP(J348,'Rate Sheet'!$D:$F,3,FALSE),0)</f>
        <v>0</v>
      </c>
      <c r="Z348" s="2">
        <f>IFERROR(VLOOKUP(K348,'Rate Sheet'!$D:$F,3,FALSE),0)</f>
        <v>0</v>
      </c>
      <c r="AA348" s="2">
        <f t="shared" si="5"/>
        <v>14.333333333333334</v>
      </c>
      <c r="AB348">
        <v>1</v>
      </c>
    </row>
    <row r="349" spans="1:28" x14ac:dyDescent="0.25">
      <c r="A349" t="s">
        <v>33</v>
      </c>
      <c r="B349" t="s">
        <v>1462</v>
      </c>
      <c r="C349" t="s">
        <v>21</v>
      </c>
      <c r="D349" t="s">
        <v>1462</v>
      </c>
      <c r="E349" t="s">
        <v>22</v>
      </c>
      <c r="F349" t="s">
        <v>1463</v>
      </c>
      <c r="G349" t="s">
        <v>24</v>
      </c>
      <c r="H349" t="s">
        <v>1464</v>
      </c>
      <c r="I349" t="s">
        <v>46</v>
      </c>
      <c r="N349" t="s">
        <v>1013</v>
      </c>
      <c r="S349" t="s">
        <v>48</v>
      </c>
      <c r="V349" t="s">
        <v>5701</v>
      </c>
      <c r="W349" t="s">
        <v>1013</v>
      </c>
      <c r="X349" s="2">
        <f>IFERROR(VLOOKUP(I349,'Rate Sheet'!$D:$F,3,FALSE),0)</f>
        <v>14.333333333333334</v>
      </c>
      <c r="Y349" s="2">
        <f>IFERROR(VLOOKUP(J349,'Rate Sheet'!$D:$F,3,FALSE),0)</f>
        <v>0</v>
      </c>
      <c r="Z349" s="2">
        <f>IFERROR(VLOOKUP(K349,'Rate Sheet'!$D:$F,3,FALSE),0)</f>
        <v>0</v>
      </c>
      <c r="AA349" s="2">
        <f t="shared" si="5"/>
        <v>14.333333333333334</v>
      </c>
      <c r="AB349">
        <v>1</v>
      </c>
    </row>
    <row r="350" spans="1:28" x14ac:dyDescent="0.25">
      <c r="A350" t="s">
        <v>33</v>
      </c>
      <c r="B350" t="s">
        <v>1465</v>
      </c>
      <c r="C350" t="s">
        <v>21</v>
      </c>
      <c r="D350" t="s">
        <v>1465</v>
      </c>
      <c r="E350" t="s">
        <v>1466</v>
      </c>
      <c r="F350" t="s">
        <v>1467</v>
      </c>
      <c r="G350" t="s">
        <v>24</v>
      </c>
      <c r="H350" t="s">
        <v>1468</v>
      </c>
      <c r="N350" t="s">
        <v>224</v>
      </c>
      <c r="X350" s="2">
        <f>IFERROR(VLOOKUP(I350,'Rate Sheet'!$D:$F,3,FALSE),0)</f>
        <v>0</v>
      </c>
      <c r="Y350" s="2">
        <f>IFERROR(VLOOKUP(J350,'Rate Sheet'!$D:$F,3,FALSE),0)</f>
        <v>0</v>
      </c>
      <c r="Z350" s="2">
        <f>IFERROR(VLOOKUP(K350,'Rate Sheet'!$D:$F,3,FALSE),0)</f>
        <v>0</v>
      </c>
      <c r="AA350" s="2">
        <f t="shared" si="5"/>
        <v>0</v>
      </c>
    </row>
    <row r="351" spans="1:28" x14ac:dyDescent="0.25">
      <c r="A351" t="s">
        <v>33</v>
      </c>
      <c r="B351" t="s">
        <v>1469</v>
      </c>
      <c r="C351" t="s">
        <v>21</v>
      </c>
      <c r="D351" t="s">
        <v>1469</v>
      </c>
      <c r="E351" t="s">
        <v>400</v>
      </c>
      <c r="F351" t="s">
        <v>1470</v>
      </c>
      <c r="G351" t="s">
        <v>24</v>
      </c>
      <c r="H351" t="s">
        <v>1471</v>
      </c>
      <c r="N351" t="s">
        <v>620</v>
      </c>
      <c r="X351" s="2">
        <f>IFERROR(VLOOKUP(I351,'Rate Sheet'!$D:$F,3,FALSE),0)</f>
        <v>0</v>
      </c>
      <c r="Y351" s="2">
        <f>IFERROR(VLOOKUP(J351,'Rate Sheet'!$D:$F,3,FALSE),0)</f>
        <v>0</v>
      </c>
      <c r="Z351" s="2">
        <f>IFERROR(VLOOKUP(K351,'Rate Sheet'!$D:$F,3,FALSE),0)</f>
        <v>0</v>
      </c>
      <c r="AA351" s="2">
        <f t="shared" si="5"/>
        <v>0</v>
      </c>
    </row>
    <row r="352" spans="1:28" x14ac:dyDescent="0.25">
      <c r="A352" t="s">
        <v>33</v>
      </c>
      <c r="B352" t="s">
        <v>1472</v>
      </c>
      <c r="C352" t="s">
        <v>21</v>
      </c>
      <c r="D352" t="s">
        <v>1472</v>
      </c>
      <c r="E352" t="s">
        <v>1473</v>
      </c>
      <c r="F352" t="s">
        <v>1474</v>
      </c>
      <c r="G352" t="s">
        <v>24</v>
      </c>
      <c r="H352" t="s">
        <v>1475</v>
      </c>
      <c r="N352" t="s">
        <v>317</v>
      </c>
      <c r="X352" s="2">
        <f>IFERROR(VLOOKUP(I352,'Rate Sheet'!$D:$F,3,FALSE),0)</f>
        <v>0</v>
      </c>
      <c r="Y352" s="2">
        <f>IFERROR(VLOOKUP(J352,'Rate Sheet'!$D:$F,3,FALSE),0)</f>
        <v>0</v>
      </c>
      <c r="Z352" s="2">
        <f>IFERROR(VLOOKUP(K352,'Rate Sheet'!$D:$F,3,FALSE),0)</f>
        <v>0</v>
      </c>
      <c r="AA352" s="2">
        <f t="shared" si="5"/>
        <v>0</v>
      </c>
    </row>
    <row r="353" spans="1:28" x14ac:dyDescent="0.25">
      <c r="A353" t="s">
        <v>33</v>
      </c>
      <c r="B353" t="s">
        <v>1476</v>
      </c>
      <c r="C353" t="s">
        <v>21</v>
      </c>
      <c r="D353" t="s">
        <v>1476</v>
      </c>
      <c r="E353" t="s">
        <v>1477</v>
      </c>
      <c r="F353" t="s">
        <v>797</v>
      </c>
      <c r="G353" t="s">
        <v>24</v>
      </c>
      <c r="H353" t="s">
        <v>1478</v>
      </c>
      <c r="I353" t="s">
        <v>46</v>
      </c>
      <c r="N353" t="s">
        <v>856</v>
      </c>
      <c r="S353" t="s">
        <v>48</v>
      </c>
      <c r="V353" t="s">
        <v>5672</v>
      </c>
      <c r="W353" t="s">
        <v>2329</v>
      </c>
      <c r="X353" s="2">
        <f>IFERROR(VLOOKUP(I353,'Rate Sheet'!$D:$F,3,FALSE),0)</f>
        <v>14.333333333333334</v>
      </c>
      <c r="Y353" s="2">
        <f>IFERROR(VLOOKUP(J353,'Rate Sheet'!$D:$F,3,FALSE),0)</f>
        <v>0</v>
      </c>
      <c r="Z353" s="2">
        <f>IFERROR(VLOOKUP(K353,'Rate Sheet'!$D:$F,3,FALSE),0)</f>
        <v>0</v>
      </c>
      <c r="AA353" s="2">
        <f t="shared" si="5"/>
        <v>14.333333333333334</v>
      </c>
      <c r="AB353">
        <v>1</v>
      </c>
    </row>
    <row r="354" spans="1:28" x14ac:dyDescent="0.25">
      <c r="A354" t="s">
        <v>33</v>
      </c>
      <c r="B354" t="s">
        <v>1479</v>
      </c>
      <c r="C354" t="s">
        <v>21</v>
      </c>
      <c r="D354" t="s">
        <v>1479</v>
      </c>
      <c r="E354" t="s">
        <v>1480</v>
      </c>
      <c r="F354" t="s">
        <v>1481</v>
      </c>
      <c r="G354" t="s">
        <v>24</v>
      </c>
      <c r="H354" t="s">
        <v>1482</v>
      </c>
      <c r="I354" t="s">
        <v>46</v>
      </c>
      <c r="N354" t="s">
        <v>273</v>
      </c>
      <c r="S354" t="s">
        <v>48</v>
      </c>
      <c r="V354" t="s">
        <v>5621</v>
      </c>
      <c r="W354" t="s">
        <v>5622</v>
      </c>
      <c r="X354" s="2">
        <f>IFERROR(VLOOKUP(I354,'Rate Sheet'!$D:$F,3,FALSE),0)</f>
        <v>14.333333333333334</v>
      </c>
      <c r="Y354" s="2">
        <f>IFERROR(VLOOKUP(J354,'Rate Sheet'!$D:$F,3,FALSE),0)</f>
        <v>0</v>
      </c>
      <c r="Z354" s="2">
        <f>IFERROR(VLOOKUP(K354,'Rate Sheet'!$D:$F,3,FALSE),0)</f>
        <v>0</v>
      </c>
      <c r="AA354" s="2">
        <f t="shared" si="5"/>
        <v>14.333333333333334</v>
      </c>
      <c r="AB354">
        <v>1</v>
      </c>
    </row>
    <row r="355" spans="1:28" x14ac:dyDescent="0.25">
      <c r="A355" t="s">
        <v>33</v>
      </c>
      <c r="B355" t="s">
        <v>1483</v>
      </c>
      <c r="C355" t="s">
        <v>21</v>
      </c>
      <c r="D355" t="s">
        <v>1483</v>
      </c>
      <c r="E355" t="s">
        <v>1484</v>
      </c>
      <c r="F355" t="s">
        <v>1485</v>
      </c>
      <c r="G355" t="s">
        <v>24</v>
      </c>
      <c r="H355" t="s">
        <v>1486</v>
      </c>
      <c r="N355" t="s">
        <v>1402</v>
      </c>
      <c r="X355" s="2">
        <f>IFERROR(VLOOKUP(I355,'Rate Sheet'!$D:$F,3,FALSE),0)</f>
        <v>0</v>
      </c>
      <c r="Y355" s="2">
        <f>IFERROR(VLOOKUP(J355,'Rate Sheet'!$D:$F,3,FALSE),0)</f>
        <v>0</v>
      </c>
      <c r="Z355" s="2">
        <f>IFERROR(VLOOKUP(K355,'Rate Sheet'!$D:$F,3,FALSE),0)</f>
        <v>0</v>
      </c>
      <c r="AA355" s="2">
        <f t="shared" si="5"/>
        <v>0</v>
      </c>
    </row>
    <row r="356" spans="1:28" x14ac:dyDescent="0.25">
      <c r="A356" t="s">
        <v>33</v>
      </c>
      <c r="B356" t="s">
        <v>1487</v>
      </c>
      <c r="C356" t="s">
        <v>21</v>
      </c>
      <c r="D356" t="s">
        <v>1487</v>
      </c>
      <c r="E356" t="s">
        <v>1488</v>
      </c>
      <c r="F356" t="s">
        <v>1173</v>
      </c>
      <c r="G356" t="s">
        <v>24</v>
      </c>
      <c r="H356" t="s">
        <v>1489</v>
      </c>
      <c r="I356" t="s">
        <v>46</v>
      </c>
      <c r="N356" t="s">
        <v>38</v>
      </c>
      <c r="S356" t="s">
        <v>48</v>
      </c>
      <c r="V356" t="s">
        <v>5582</v>
      </c>
      <c r="W356" t="s">
        <v>5583</v>
      </c>
      <c r="X356" s="2">
        <f>IFERROR(VLOOKUP(I356,'Rate Sheet'!$D:$F,3,FALSE),0)</f>
        <v>14.333333333333334</v>
      </c>
      <c r="Y356" s="2">
        <f>IFERROR(VLOOKUP(J356,'Rate Sheet'!$D:$F,3,FALSE),0)</f>
        <v>0</v>
      </c>
      <c r="Z356" s="2">
        <f>IFERROR(VLOOKUP(K356,'Rate Sheet'!$D:$F,3,FALSE),0)</f>
        <v>0</v>
      </c>
      <c r="AA356" s="2">
        <f t="shared" si="5"/>
        <v>14.333333333333334</v>
      </c>
      <c r="AB356">
        <v>1</v>
      </c>
    </row>
    <row r="357" spans="1:28" x14ac:dyDescent="0.25">
      <c r="A357" t="s">
        <v>33</v>
      </c>
      <c r="B357" t="s">
        <v>1490</v>
      </c>
      <c r="C357" t="s">
        <v>21</v>
      </c>
      <c r="D357" t="s">
        <v>1490</v>
      </c>
      <c r="E357" t="s">
        <v>545</v>
      </c>
      <c r="F357" t="s">
        <v>899</v>
      </c>
      <c r="G357" t="s">
        <v>24</v>
      </c>
      <c r="H357" t="s">
        <v>1491</v>
      </c>
      <c r="N357" t="s">
        <v>507</v>
      </c>
      <c r="X357" s="2">
        <f>IFERROR(VLOOKUP(I357,'Rate Sheet'!$D:$F,3,FALSE),0)</f>
        <v>0</v>
      </c>
      <c r="Y357" s="2">
        <f>IFERROR(VLOOKUP(J357,'Rate Sheet'!$D:$F,3,FALSE),0)</f>
        <v>0</v>
      </c>
      <c r="Z357" s="2">
        <f>IFERROR(VLOOKUP(K357,'Rate Sheet'!$D:$F,3,FALSE),0)</f>
        <v>0</v>
      </c>
      <c r="AA357" s="2">
        <f t="shared" si="5"/>
        <v>0</v>
      </c>
    </row>
    <row r="358" spans="1:28" x14ac:dyDescent="0.25">
      <c r="A358" t="s">
        <v>33</v>
      </c>
      <c r="B358" t="s">
        <v>1492</v>
      </c>
      <c r="C358" t="s">
        <v>21</v>
      </c>
      <c r="D358" t="s">
        <v>1492</v>
      </c>
      <c r="E358" t="s">
        <v>178</v>
      </c>
      <c r="F358" t="s">
        <v>1493</v>
      </c>
      <c r="G358" t="s">
        <v>24</v>
      </c>
      <c r="H358" t="s">
        <v>1494</v>
      </c>
      <c r="I358" t="s">
        <v>46</v>
      </c>
      <c r="N358" t="s">
        <v>1495</v>
      </c>
      <c r="S358" t="s">
        <v>48</v>
      </c>
      <c r="V358" s="10" t="s">
        <v>5761</v>
      </c>
      <c r="W358" s="10" t="s">
        <v>5762</v>
      </c>
      <c r="X358" s="2">
        <f>IFERROR(VLOOKUP(I358,'Rate Sheet'!$D:$F,3,FALSE),0)</f>
        <v>14.333333333333334</v>
      </c>
      <c r="Y358" s="2">
        <f>IFERROR(VLOOKUP(J358,'Rate Sheet'!$D:$F,3,FALSE),0)</f>
        <v>0</v>
      </c>
      <c r="Z358" s="2">
        <f>IFERROR(VLOOKUP(K358,'Rate Sheet'!$D:$F,3,FALSE),0)</f>
        <v>0</v>
      </c>
      <c r="AA358" s="2">
        <f t="shared" si="5"/>
        <v>14.333333333333334</v>
      </c>
      <c r="AB358">
        <v>1</v>
      </c>
    </row>
    <row r="359" spans="1:28" x14ac:dyDescent="0.25">
      <c r="A359" t="s">
        <v>33</v>
      </c>
      <c r="B359" t="s">
        <v>1496</v>
      </c>
      <c r="C359" t="s">
        <v>21</v>
      </c>
      <c r="D359" t="s">
        <v>1496</v>
      </c>
      <c r="E359" t="s">
        <v>159</v>
      </c>
      <c r="F359" t="s">
        <v>482</v>
      </c>
      <c r="G359" t="s">
        <v>24</v>
      </c>
      <c r="H359" t="s">
        <v>1497</v>
      </c>
      <c r="N359" t="s">
        <v>479</v>
      </c>
      <c r="X359" s="2">
        <f>IFERROR(VLOOKUP(I359,'Rate Sheet'!$D:$F,3,FALSE),0)</f>
        <v>0</v>
      </c>
      <c r="Y359" s="2">
        <f>IFERROR(VLOOKUP(J359,'Rate Sheet'!$D:$F,3,FALSE),0)</f>
        <v>0</v>
      </c>
      <c r="Z359" s="2">
        <f>IFERROR(VLOOKUP(K359,'Rate Sheet'!$D:$F,3,FALSE),0)</f>
        <v>0</v>
      </c>
      <c r="AA359" s="2">
        <f t="shared" si="5"/>
        <v>0</v>
      </c>
    </row>
    <row r="360" spans="1:28" x14ac:dyDescent="0.25">
      <c r="A360" t="s">
        <v>33</v>
      </c>
      <c r="B360" t="s">
        <v>1498</v>
      </c>
      <c r="C360" t="s">
        <v>21</v>
      </c>
      <c r="D360" t="s">
        <v>1498</v>
      </c>
      <c r="E360" t="s">
        <v>342</v>
      </c>
      <c r="F360" t="s">
        <v>1499</v>
      </c>
      <c r="G360" t="s">
        <v>24</v>
      </c>
      <c r="H360" t="s">
        <v>1500</v>
      </c>
      <c r="I360" t="s">
        <v>46</v>
      </c>
      <c r="N360" t="s">
        <v>794</v>
      </c>
      <c r="S360" t="s">
        <v>48</v>
      </c>
      <c r="V360" t="s">
        <v>5702</v>
      </c>
      <c r="W360" t="s">
        <v>2507</v>
      </c>
      <c r="X360" s="2">
        <f>IFERROR(VLOOKUP(I360,'Rate Sheet'!$D:$F,3,FALSE),0)</f>
        <v>14.333333333333334</v>
      </c>
      <c r="Y360" s="2">
        <f>IFERROR(VLOOKUP(J360,'Rate Sheet'!$D:$F,3,FALSE),0)</f>
        <v>0</v>
      </c>
      <c r="Z360" s="2">
        <f>IFERROR(VLOOKUP(K360,'Rate Sheet'!$D:$F,3,FALSE),0)</f>
        <v>0</v>
      </c>
      <c r="AA360" s="2">
        <f t="shared" si="5"/>
        <v>14.333333333333334</v>
      </c>
      <c r="AB360">
        <v>1</v>
      </c>
    </row>
    <row r="361" spans="1:28" x14ac:dyDescent="0.25">
      <c r="A361" t="s">
        <v>33</v>
      </c>
      <c r="B361" t="s">
        <v>1501</v>
      </c>
      <c r="C361" t="s">
        <v>29</v>
      </c>
      <c r="D361" t="s">
        <v>1501</v>
      </c>
      <c r="E361" t="s">
        <v>135</v>
      </c>
      <c r="F361" t="s">
        <v>1502</v>
      </c>
      <c r="G361" t="s">
        <v>24</v>
      </c>
      <c r="H361" t="s">
        <v>1503</v>
      </c>
      <c r="I361" t="s">
        <v>46</v>
      </c>
      <c r="N361" t="s">
        <v>511</v>
      </c>
      <c r="S361" t="s">
        <v>48</v>
      </c>
      <c r="V361" s="10" t="s">
        <v>5617</v>
      </c>
      <c r="W361" s="10" t="s">
        <v>511</v>
      </c>
      <c r="X361" s="2">
        <f>IFERROR(VLOOKUP(I361,'Rate Sheet'!$D:$F,3,FALSE),0)</f>
        <v>14.333333333333334</v>
      </c>
      <c r="Y361" s="2">
        <f>IFERROR(VLOOKUP(J361,'Rate Sheet'!$D:$F,3,FALSE),0)</f>
        <v>0</v>
      </c>
      <c r="Z361" s="2">
        <f>IFERROR(VLOOKUP(K361,'Rate Sheet'!$D:$F,3,FALSE),0)</f>
        <v>0</v>
      </c>
      <c r="AA361" s="2">
        <f t="shared" si="5"/>
        <v>14.333333333333334</v>
      </c>
      <c r="AB361">
        <v>1</v>
      </c>
    </row>
    <row r="362" spans="1:28" x14ac:dyDescent="0.25">
      <c r="A362" t="s">
        <v>33</v>
      </c>
      <c r="B362" t="s">
        <v>1504</v>
      </c>
      <c r="C362" t="s">
        <v>21</v>
      </c>
      <c r="D362" t="s">
        <v>1504</v>
      </c>
      <c r="E362" t="s">
        <v>135</v>
      </c>
      <c r="F362" t="s">
        <v>1505</v>
      </c>
      <c r="G362" t="s">
        <v>24</v>
      </c>
      <c r="H362" t="s">
        <v>1506</v>
      </c>
      <c r="I362" t="s">
        <v>46</v>
      </c>
      <c r="N362" t="s">
        <v>1184</v>
      </c>
      <c r="S362" t="s">
        <v>48</v>
      </c>
      <c r="V362" t="s">
        <v>5614</v>
      </c>
      <c r="W362" t="s">
        <v>1184</v>
      </c>
      <c r="X362" s="2">
        <f>IFERROR(VLOOKUP(I362,'Rate Sheet'!$D:$F,3,FALSE),0)</f>
        <v>14.333333333333334</v>
      </c>
      <c r="Y362" s="2">
        <f>IFERROR(VLOOKUP(J362,'Rate Sheet'!$D:$F,3,FALSE),0)</f>
        <v>0</v>
      </c>
      <c r="Z362" s="2">
        <f>IFERROR(VLOOKUP(K362,'Rate Sheet'!$D:$F,3,FALSE),0)</f>
        <v>0</v>
      </c>
      <c r="AA362" s="2">
        <f t="shared" si="5"/>
        <v>14.333333333333334</v>
      </c>
      <c r="AB362">
        <v>1</v>
      </c>
    </row>
    <row r="363" spans="1:28" x14ac:dyDescent="0.25">
      <c r="A363" t="s">
        <v>33</v>
      </c>
      <c r="B363" t="s">
        <v>1507</v>
      </c>
      <c r="C363" t="s">
        <v>21</v>
      </c>
      <c r="D363" t="s">
        <v>1507</v>
      </c>
      <c r="E363" t="s">
        <v>1508</v>
      </c>
      <c r="F363" t="s">
        <v>1509</v>
      </c>
      <c r="G363" t="s">
        <v>24</v>
      </c>
      <c r="H363" t="s">
        <v>1510</v>
      </c>
      <c r="N363" t="s">
        <v>90</v>
      </c>
      <c r="X363" s="2">
        <f>IFERROR(VLOOKUP(I363,'Rate Sheet'!$D:$F,3,FALSE),0)</f>
        <v>0</v>
      </c>
      <c r="Y363" s="2">
        <f>IFERROR(VLOOKUP(J363,'Rate Sheet'!$D:$F,3,FALSE),0)</f>
        <v>0</v>
      </c>
      <c r="Z363" s="2">
        <f>IFERROR(VLOOKUP(K363,'Rate Sheet'!$D:$F,3,FALSE),0)</f>
        <v>0</v>
      </c>
      <c r="AA363" s="2">
        <f t="shared" si="5"/>
        <v>0</v>
      </c>
    </row>
    <row r="364" spans="1:28" x14ac:dyDescent="0.25">
      <c r="A364" t="s">
        <v>33</v>
      </c>
      <c r="B364" t="s">
        <v>1511</v>
      </c>
      <c r="C364" t="s">
        <v>21</v>
      </c>
      <c r="D364" t="s">
        <v>1511</v>
      </c>
      <c r="E364" t="s">
        <v>1512</v>
      </c>
      <c r="F364" t="s">
        <v>1513</v>
      </c>
      <c r="G364" t="s">
        <v>24</v>
      </c>
      <c r="H364" t="s">
        <v>1514</v>
      </c>
      <c r="N364" t="s">
        <v>479</v>
      </c>
      <c r="X364" s="2">
        <f>IFERROR(VLOOKUP(I364,'Rate Sheet'!$D:$F,3,FALSE),0)</f>
        <v>0</v>
      </c>
      <c r="Y364" s="2">
        <f>IFERROR(VLOOKUP(J364,'Rate Sheet'!$D:$F,3,FALSE),0)</f>
        <v>0</v>
      </c>
      <c r="Z364" s="2">
        <f>IFERROR(VLOOKUP(K364,'Rate Sheet'!$D:$F,3,FALSE),0)</f>
        <v>0</v>
      </c>
      <c r="AA364" s="2">
        <f t="shared" si="5"/>
        <v>0</v>
      </c>
    </row>
    <row r="365" spans="1:28" x14ac:dyDescent="0.25">
      <c r="A365" t="s">
        <v>33</v>
      </c>
      <c r="B365" t="s">
        <v>1515</v>
      </c>
      <c r="C365" t="s">
        <v>21</v>
      </c>
      <c r="D365" t="s">
        <v>1515</v>
      </c>
      <c r="E365" t="s">
        <v>1516</v>
      </c>
      <c r="F365" t="s">
        <v>1517</v>
      </c>
      <c r="G365" t="s">
        <v>24</v>
      </c>
      <c r="H365" t="s">
        <v>1518</v>
      </c>
      <c r="I365" t="s">
        <v>46</v>
      </c>
      <c r="N365" t="s">
        <v>692</v>
      </c>
      <c r="S365" t="s">
        <v>48</v>
      </c>
      <c r="V365" t="s">
        <v>5640</v>
      </c>
      <c r="W365" t="s">
        <v>5641</v>
      </c>
      <c r="X365" s="2">
        <f>IFERROR(VLOOKUP(I365,'Rate Sheet'!$D:$F,3,FALSE),0)</f>
        <v>14.333333333333334</v>
      </c>
      <c r="Y365" s="2">
        <f>IFERROR(VLOOKUP(J365,'Rate Sheet'!$D:$F,3,FALSE),0)</f>
        <v>0</v>
      </c>
      <c r="Z365" s="2">
        <f>IFERROR(VLOOKUP(K365,'Rate Sheet'!$D:$F,3,FALSE),0)</f>
        <v>0</v>
      </c>
      <c r="AA365" s="2">
        <f t="shared" si="5"/>
        <v>14.333333333333334</v>
      </c>
      <c r="AB365">
        <v>1</v>
      </c>
    </row>
    <row r="366" spans="1:28" x14ac:dyDescent="0.25">
      <c r="A366" t="s">
        <v>33</v>
      </c>
      <c r="B366" t="s">
        <v>1519</v>
      </c>
      <c r="C366" t="s">
        <v>21</v>
      </c>
      <c r="D366" t="s">
        <v>1519</v>
      </c>
      <c r="E366" t="s">
        <v>1520</v>
      </c>
      <c r="F366" t="s">
        <v>792</v>
      </c>
      <c r="G366" t="s">
        <v>24</v>
      </c>
      <c r="H366" t="s">
        <v>1521</v>
      </c>
      <c r="N366" t="s">
        <v>1061</v>
      </c>
      <c r="X366" s="2">
        <f>IFERROR(VLOOKUP(I366,'Rate Sheet'!$D:$F,3,FALSE),0)</f>
        <v>0</v>
      </c>
      <c r="Y366" s="2">
        <f>IFERROR(VLOOKUP(J366,'Rate Sheet'!$D:$F,3,FALSE),0)</f>
        <v>0</v>
      </c>
      <c r="Z366" s="2">
        <f>IFERROR(VLOOKUP(K366,'Rate Sheet'!$D:$F,3,FALSE),0)</f>
        <v>0</v>
      </c>
      <c r="AA366" s="2">
        <f t="shared" si="5"/>
        <v>0</v>
      </c>
    </row>
    <row r="367" spans="1:28" x14ac:dyDescent="0.25">
      <c r="A367" t="s">
        <v>33</v>
      </c>
      <c r="B367" t="s">
        <v>1522</v>
      </c>
      <c r="C367" t="s">
        <v>21</v>
      </c>
      <c r="D367" t="s">
        <v>1522</v>
      </c>
      <c r="E367" t="s">
        <v>635</v>
      </c>
      <c r="F367" t="s">
        <v>1523</v>
      </c>
      <c r="G367" t="s">
        <v>24</v>
      </c>
      <c r="H367" t="s">
        <v>1524</v>
      </c>
      <c r="I367" t="s">
        <v>46</v>
      </c>
      <c r="N367" t="s">
        <v>47</v>
      </c>
      <c r="S367" t="s">
        <v>48</v>
      </c>
      <c r="V367" t="s">
        <v>5578</v>
      </c>
      <c r="W367" t="s">
        <v>5579</v>
      </c>
      <c r="X367" s="2">
        <f>IFERROR(VLOOKUP(I367,'Rate Sheet'!$D:$F,3,FALSE),0)</f>
        <v>14.333333333333334</v>
      </c>
      <c r="Y367" s="2">
        <f>IFERROR(VLOOKUP(J367,'Rate Sheet'!$D:$F,3,FALSE),0)</f>
        <v>0</v>
      </c>
      <c r="Z367" s="2">
        <f>IFERROR(VLOOKUP(K367,'Rate Sheet'!$D:$F,3,FALSE),0)</f>
        <v>0</v>
      </c>
      <c r="AA367" s="2">
        <f t="shared" si="5"/>
        <v>14.333333333333334</v>
      </c>
      <c r="AB367">
        <v>1</v>
      </c>
    </row>
    <row r="368" spans="1:28" x14ac:dyDescent="0.25">
      <c r="A368" t="s">
        <v>33</v>
      </c>
      <c r="B368" t="s">
        <v>1525</v>
      </c>
      <c r="C368" t="s">
        <v>21</v>
      </c>
      <c r="D368" t="s">
        <v>1525</v>
      </c>
      <c r="E368" t="s">
        <v>1526</v>
      </c>
      <c r="F368" t="s">
        <v>1527</v>
      </c>
      <c r="G368" t="s">
        <v>24</v>
      </c>
      <c r="H368" t="s">
        <v>1528</v>
      </c>
      <c r="I368" t="s">
        <v>46</v>
      </c>
      <c r="N368" t="s">
        <v>1061</v>
      </c>
      <c r="S368" t="s">
        <v>48</v>
      </c>
      <c r="V368" t="s">
        <v>5652</v>
      </c>
      <c r="W368" t="s">
        <v>565</v>
      </c>
      <c r="X368" s="2">
        <f>IFERROR(VLOOKUP(I368,'Rate Sheet'!$D:$F,3,FALSE),0)</f>
        <v>14.333333333333334</v>
      </c>
      <c r="Y368" s="2">
        <f>IFERROR(VLOOKUP(J368,'Rate Sheet'!$D:$F,3,FALSE),0)</f>
        <v>0</v>
      </c>
      <c r="Z368" s="2">
        <f>IFERROR(VLOOKUP(K368,'Rate Sheet'!$D:$F,3,FALSE),0)</f>
        <v>0</v>
      </c>
      <c r="AA368" s="2">
        <f t="shared" si="5"/>
        <v>14.333333333333334</v>
      </c>
      <c r="AB368">
        <v>1</v>
      </c>
    </row>
    <row r="369" spans="1:28" x14ac:dyDescent="0.25">
      <c r="A369" t="s">
        <v>33</v>
      </c>
      <c r="B369" t="s">
        <v>1529</v>
      </c>
      <c r="C369" t="s">
        <v>21</v>
      </c>
      <c r="D369" t="s">
        <v>1529</v>
      </c>
      <c r="E369" t="s">
        <v>1530</v>
      </c>
      <c r="F369" t="s">
        <v>1094</v>
      </c>
      <c r="G369" t="s">
        <v>24</v>
      </c>
      <c r="H369" t="s">
        <v>1531</v>
      </c>
      <c r="I369" t="s">
        <v>46</v>
      </c>
      <c r="N369" t="s">
        <v>856</v>
      </c>
      <c r="S369" t="s">
        <v>48</v>
      </c>
      <c r="V369" t="s">
        <v>5672</v>
      </c>
      <c r="W369" t="s">
        <v>2329</v>
      </c>
      <c r="X369" s="2">
        <f>IFERROR(VLOOKUP(I369,'Rate Sheet'!$D:$F,3,FALSE),0)</f>
        <v>14.333333333333334</v>
      </c>
      <c r="Y369" s="2">
        <f>IFERROR(VLOOKUP(J369,'Rate Sheet'!$D:$F,3,FALSE),0)</f>
        <v>0</v>
      </c>
      <c r="Z369" s="2">
        <f>IFERROR(VLOOKUP(K369,'Rate Sheet'!$D:$F,3,FALSE),0)</f>
        <v>0</v>
      </c>
      <c r="AA369" s="2">
        <f t="shared" si="5"/>
        <v>14.333333333333334</v>
      </c>
      <c r="AB369">
        <v>1</v>
      </c>
    </row>
    <row r="370" spans="1:28" x14ac:dyDescent="0.25">
      <c r="A370" t="s">
        <v>33</v>
      </c>
      <c r="B370" t="s">
        <v>1532</v>
      </c>
      <c r="C370" t="s">
        <v>21</v>
      </c>
      <c r="D370" t="s">
        <v>1533</v>
      </c>
      <c r="E370" t="s">
        <v>606</v>
      </c>
      <c r="F370" t="s">
        <v>1534</v>
      </c>
      <c r="G370" t="s">
        <v>24</v>
      </c>
      <c r="H370" t="s">
        <v>1535</v>
      </c>
      <c r="I370" t="s">
        <v>73</v>
      </c>
      <c r="N370" t="s">
        <v>914</v>
      </c>
      <c r="S370" t="s">
        <v>75</v>
      </c>
      <c r="V370" s="10" t="s">
        <v>5686</v>
      </c>
      <c r="W370" s="10" t="s">
        <v>5687</v>
      </c>
      <c r="X370" s="2">
        <f>IFERROR(VLOOKUP(I370,'Rate Sheet'!$D:$F,3,FALSE),0)</f>
        <v>8.6983333333333324</v>
      </c>
      <c r="Y370" s="2">
        <f>IFERROR(VLOOKUP(J370,'Rate Sheet'!$D:$F,3,FALSE),0)</f>
        <v>0</v>
      </c>
      <c r="Z370" s="2">
        <f>IFERROR(VLOOKUP(K370,'Rate Sheet'!$D:$F,3,FALSE),0)</f>
        <v>0</v>
      </c>
      <c r="AA370" s="2">
        <f t="shared" si="5"/>
        <v>8.6983333333333324</v>
      </c>
      <c r="AB370">
        <v>1</v>
      </c>
    </row>
    <row r="371" spans="1:28" x14ac:dyDescent="0.25">
      <c r="A371" t="s">
        <v>33</v>
      </c>
      <c r="B371" t="s">
        <v>1536</v>
      </c>
      <c r="C371" t="s">
        <v>92</v>
      </c>
      <c r="D371" t="s">
        <v>1536</v>
      </c>
      <c r="E371" t="s">
        <v>1537</v>
      </c>
      <c r="F371" t="s">
        <v>1538</v>
      </c>
      <c r="G371" t="s">
        <v>24</v>
      </c>
      <c r="H371" t="s">
        <v>1539</v>
      </c>
      <c r="I371" t="s">
        <v>46</v>
      </c>
      <c r="N371" t="s">
        <v>1540</v>
      </c>
      <c r="S371" t="s">
        <v>48</v>
      </c>
      <c r="V371" t="s">
        <v>5685</v>
      </c>
      <c r="W371" t="s">
        <v>1115</v>
      </c>
      <c r="X371" s="2">
        <f>IFERROR(VLOOKUP(I371,'Rate Sheet'!$D:$F,3,FALSE),0)</f>
        <v>14.333333333333334</v>
      </c>
      <c r="Y371" s="2">
        <f>IFERROR(VLOOKUP(J371,'Rate Sheet'!$D:$F,3,FALSE),0)</f>
        <v>0</v>
      </c>
      <c r="Z371" s="2">
        <f>IFERROR(VLOOKUP(K371,'Rate Sheet'!$D:$F,3,FALSE),0)</f>
        <v>0</v>
      </c>
      <c r="AA371" s="2">
        <f t="shared" si="5"/>
        <v>14.333333333333334</v>
      </c>
      <c r="AB371">
        <v>1</v>
      </c>
    </row>
    <row r="372" spans="1:28" x14ac:dyDescent="0.25">
      <c r="A372" t="s">
        <v>33</v>
      </c>
      <c r="B372" t="s">
        <v>1541</v>
      </c>
      <c r="C372" t="s">
        <v>21</v>
      </c>
      <c r="D372" t="s">
        <v>1541</v>
      </c>
      <c r="E372" t="s">
        <v>1542</v>
      </c>
      <c r="F372" t="s">
        <v>71</v>
      </c>
      <c r="G372" t="s">
        <v>24</v>
      </c>
      <c r="H372" t="s">
        <v>1543</v>
      </c>
      <c r="I372" t="s">
        <v>46</v>
      </c>
      <c r="N372" t="s">
        <v>38</v>
      </c>
      <c r="S372" t="s">
        <v>48</v>
      </c>
      <c r="V372" t="s">
        <v>5582</v>
      </c>
      <c r="W372" t="s">
        <v>5583</v>
      </c>
      <c r="X372" s="2">
        <f>IFERROR(VLOOKUP(I372,'Rate Sheet'!$D:$F,3,FALSE),0)</f>
        <v>14.333333333333334</v>
      </c>
      <c r="Y372" s="2">
        <f>IFERROR(VLOOKUP(J372,'Rate Sheet'!$D:$F,3,FALSE),0)</f>
        <v>0</v>
      </c>
      <c r="Z372" s="2">
        <f>IFERROR(VLOOKUP(K372,'Rate Sheet'!$D:$F,3,FALSE),0)</f>
        <v>0</v>
      </c>
      <c r="AA372" s="2">
        <f t="shared" si="5"/>
        <v>14.333333333333334</v>
      </c>
      <c r="AB372">
        <v>1</v>
      </c>
    </row>
    <row r="373" spans="1:28" x14ac:dyDescent="0.25">
      <c r="A373" t="s">
        <v>33</v>
      </c>
      <c r="B373" t="s">
        <v>1544</v>
      </c>
      <c r="C373" t="s">
        <v>21</v>
      </c>
      <c r="D373" t="s">
        <v>1544</v>
      </c>
      <c r="E373" t="s">
        <v>1545</v>
      </c>
      <c r="F373" t="s">
        <v>1546</v>
      </c>
      <c r="G373" t="s">
        <v>24</v>
      </c>
      <c r="H373" t="s">
        <v>1547</v>
      </c>
      <c r="I373" t="s">
        <v>46</v>
      </c>
      <c r="N373" t="s">
        <v>74</v>
      </c>
      <c r="S373" t="s">
        <v>48</v>
      </c>
      <c r="V373" t="s">
        <v>5586</v>
      </c>
      <c r="W373" t="s">
        <v>5587</v>
      </c>
      <c r="X373" s="2">
        <f>IFERROR(VLOOKUP(I373,'Rate Sheet'!$D:$F,3,FALSE),0)</f>
        <v>14.333333333333334</v>
      </c>
      <c r="Y373" s="2">
        <f>IFERROR(VLOOKUP(J373,'Rate Sheet'!$D:$F,3,FALSE),0)</f>
        <v>0</v>
      </c>
      <c r="Z373" s="2">
        <f>IFERROR(VLOOKUP(K373,'Rate Sheet'!$D:$F,3,FALSE),0)</f>
        <v>0</v>
      </c>
      <c r="AA373" s="2">
        <f t="shared" si="5"/>
        <v>14.333333333333334</v>
      </c>
      <c r="AB373">
        <v>1</v>
      </c>
    </row>
    <row r="374" spans="1:28" x14ac:dyDescent="0.25">
      <c r="A374" t="s">
        <v>33</v>
      </c>
      <c r="B374" t="s">
        <v>1548</v>
      </c>
      <c r="C374" t="s">
        <v>21</v>
      </c>
      <c r="D374" t="s">
        <v>1548</v>
      </c>
      <c r="E374" t="s">
        <v>1549</v>
      </c>
      <c r="F374" t="s">
        <v>1550</v>
      </c>
      <c r="G374" t="s">
        <v>24</v>
      </c>
      <c r="H374" t="s">
        <v>1551</v>
      </c>
      <c r="I374" t="s">
        <v>46</v>
      </c>
      <c r="N374" t="s">
        <v>1552</v>
      </c>
      <c r="S374" t="s">
        <v>48</v>
      </c>
      <c r="V374" t="s">
        <v>5703</v>
      </c>
      <c r="W374" t="s">
        <v>5704</v>
      </c>
      <c r="X374" s="2">
        <f>IFERROR(VLOOKUP(I374,'Rate Sheet'!$D:$F,3,FALSE),0)</f>
        <v>14.333333333333334</v>
      </c>
      <c r="Y374" s="2">
        <f>IFERROR(VLOOKUP(J374,'Rate Sheet'!$D:$F,3,FALSE),0)</f>
        <v>0</v>
      </c>
      <c r="Z374" s="2">
        <f>IFERROR(VLOOKUP(K374,'Rate Sheet'!$D:$F,3,FALSE),0)</f>
        <v>0</v>
      </c>
      <c r="AA374" s="2">
        <f t="shared" si="5"/>
        <v>14.333333333333334</v>
      </c>
      <c r="AB374">
        <v>1</v>
      </c>
    </row>
    <row r="375" spans="1:28" x14ac:dyDescent="0.25">
      <c r="A375" t="s">
        <v>33</v>
      </c>
      <c r="B375" t="s">
        <v>1553</v>
      </c>
      <c r="C375" t="s">
        <v>21</v>
      </c>
      <c r="D375" t="s">
        <v>1553</v>
      </c>
      <c r="E375" t="s">
        <v>1554</v>
      </c>
      <c r="F375" t="s">
        <v>432</v>
      </c>
      <c r="G375" t="s">
        <v>24</v>
      </c>
      <c r="H375" t="s">
        <v>1555</v>
      </c>
      <c r="I375" t="s">
        <v>46</v>
      </c>
      <c r="N375" t="s">
        <v>181</v>
      </c>
      <c r="S375" t="s">
        <v>48</v>
      </c>
      <c r="V375" t="s">
        <v>5609</v>
      </c>
      <c r="W375" t="s">
        <v>181</v>
      </c>
      <c r="X375" s="2">
        <f>IFERROR(VLOOKUP(I375,'Rate Sheet'!$D:$F,3,FALSE),0)</f>
        <v>14.333333333333334</v>
      </c>
      <c r="Y375" s="2">
        <f>IFERROR(VLOOKUP(J375,'Rate Sheet'!$D:$F,3,FALSE),0)</f>
        <v>0</v>
      </c>
      <c r="Z375" s="2">
        <f>IFERROR(VLOOKUP(K375,'Rate Sheet'!$D:$F,3,FALSE),0)</f>
        <v>0</v>
      </c>
      <c r="AA375" s="2">
        <f t="shared" si="5"/>
        <v>14.333333333333334</v>
      </c>
      <c r="AB375">
        <v>1</v>
      </c>
    </row>
    <row r="376" spans="1:28" x14ac:dyDescent="0.25">
      <c r="A376" t="s">
        <v>33</v>
      </c>
      <c r="B376" t="s">
        <v>1556</v>
      </c>
      <c r="C376" t="s">
        <v>21</v>
      </c>
      <c r="D376" t="s">
        <v>1556</v>
      </c>
      <c r="E376" t="s">
        <v>1557</v>
      </c>
      <c r="F376" t="s">
        <v>1558</v>
      </c>
      <c r="G376" t="s">
        <v>24</v>
      </c>
      <c r="H376" t="s">
        <v>1559</v>
      </c>
      <c r="I376" t="s">
        <v>46</v>
      </c>
      <c r="N376" t="s">
        <v>38</v>
      </c>
      <c r="S376" t="s">
        <v>48</v>
      </c>
      <c r="V376" t="s">
        <v>5582</v>
      </c>
      <c r="W376" t="s">
        <v>5583</v>
      </c>
      <c r="X376" s="2">
        <f>IFERROR(VLOOKUP(I376,'Rate Sheet'!$D:$F,3,FALSE),0)</f>
        <v>14.333333333333334</v>
      </c>
      <c r="Y376" s="2">
        <f>IFERROR(VLOOKUP(J376,'Rate Sheet'!$D:$F,3,FALSE),0)</f>
        <v>0</v>
      </c>
      <c r="Z376" s="2">
        <f>IFERROR(VLOOKUP(K376,'Rate Sheet'!$D:$F,3,FALSE),0)</f>
        <v>0</v>
      </c>
      <c r="AA376" s="2">
        <f t="shared" si="5"/>
        <v>14.333333333333334</v>
      </c>
      <c r="AB376">
        <v>1</v>
      </c>
    </row>
    <row r="377" spans="1:28" x14ac:dyDescent="0.25">
      <c r="A377" t="s">
        <v>33</v>
      </c>
      <c r="B377" t="s">
        <v>1560</v>
      </c>
      <c r="C377" t="s">
        <v>21</v>
      </c>
      <c r="D377" t="s">
        <v>1560</v>
      </c>
      <c r="E377" t="s">
        <v>1561</v>
      </c>
      <c r="F377" t="s">
        <v>1562</v>
      </c>
      <c r="G377" t="s">
        <v>24</v>
      </c>
      <c r="H377" t="s">
        <v>1563</v>
      </c>
      <c r="L377" t="s">
        <v>26</v>
      </c>
      <c r="N377" t="s">
        <v>27</v>
      </c>
      <c r="X377" s="2">
        <f>IFERROR(VLOOKUP(I377,'Rate Sheet'!$D:$F,3,FALSE),0)</f>
        <v>0</v>
      </c>
      <c r="Y377" s="2">
        <f>IFERROR(VLOOKUP(J377,'Rate Sheet'!$D:$F,3,FALSE),0)</f>
        <v>0</v>
      </c>
      <c r="Z377" s="2">
        <f>IFERROR(VLOOKUP(K377,'Rate Sheet'!$D:$F,3,FALSE),0)</f>
        <v>0</v>
      </c>
      <c r="AA377" s="2">
        <f t="shared" si="5"/>
        <v>0</v>
      </c>
    </row>
    <row r="378" spans="1:28" x14ac:dyDescent="0.25">
      <c r="A378" t="s">
        <v>33</v>
      </c>
      <c r="B378" t="s">
        <v>1564</v>
      </c>
      <c r="C378" t="s">
        <v>21</v>
      </c>
      <c r="D378" t="s">
        <v>1564</v>
      </c>
      <c r="E378" t="s">
        <v>100</v>
      </c>
      <c r="F378" t="s">
        <v>1565</v>
      </c>
      <c r="G378" t="s">
        <v>24</v>
      </c>
      <c r="H378" t="s">
        <v>1566</v>
      </c>
      <c r="I378" t="s">
        <v>46</v>
      </c>
      <c r="N378" t="s">
        <v>53</v>
      </c>
      <c r="S378" t="s">
        <v>48</v>
      </c>
      <c r="V378" t="s">
        <v>5580</v>
      </c>
      <c r="W378" t="s">
        <v>5581</v>
      </c>
      <c r="X378" s="2">
        <f>IFERROR(VLOOKUP(I378,'Rate Sheet'!$D:$F,3,FALSE),0)</f>
        <v>14.333333333333334</v>
      </c>
      <c r="Y378" s="2">
        <f>IFERROR(VLOOKUP(J378,'Rate Sheet'!$D:$F,3,FALSE),0)</f>
        <v>0</v>
      </c>
      <c r="Z378" s="2">
        <f>IFERROR(VLOOKUP(K378,'Rate Sheet'!$D:$F,3,FALSE),0)</f>
        <v>0</v>
      </c>
      <c r="AA378" s="2">
        <f t="shared" si="5"/>
        <v>14.333333333333334</v>
      </c>
      <c r="AB378">
        <v>1</v>
      </c>
    </row>
    <row r="379" spans="1:28" x14ac:dyDescent="0.25">
      <c r="A379" t="s">
        <v>33</v>
      </c>
      <c r="B379" t="s">
        <v>1567</v>
      </c>
      <c r="C379" t="s">
        <v>21</v>
      </c>
      <c r="D379" t="s">
        <v>1567</v>
      </c>
      <c r="E379" t="s">
        <v>1568</v>
      </c>
      <c r="F379" t="s">
        <v>1569</v>
      </c>
      <c r="G379" t="s">
        <v>24</v>
      </c>
      <c r="H379" t="s">
        <v>1570</v>
      </c>
      <c r="I379" t="s">
        <v>73</v>
      </c>
      <c r="N379" t="s">
        <v>883</v>
      </c>
      <c r="S379" t="s">
        <v>75</v>
      </c>
      <c r="V379" t="s">
        <v>5699</v>
      </c>
      <c r="W379" t="s">
        <v>5700</v>
      </c>
      <c r="X379" s="2">
        <f>IFERROR(VLOOKUP(I379,'Rate Sheet'!$D:$F,3,FALSE),0)</f>
        <v>8.6983333333333324</v>
      </c>
      <c r="Y379" s="2">
        <f>IFERROR(VLOOKUP(J379,'Rate Sheet'!$D:$F,3,FALSE),0)</f>
        <v>0</v>
      </c>
      <c r="Z379" s="2">
        <f>IFERROR(VLOOKUP(K379,'Rate Sheet'!$D:$F,3,FALSE),0)</f>
        <v>0</v>
      </c>
      <c r="AA379" s="2">
        <f t="shared" si="5"/>
        <v>8.6983333333333324</v>
      </c>
      <c r="AB379">
        <v>1</v>
      </c>
    </row>
    <row r="380" spans="1:28" x14ac:dyDescent="0.25">
      <c r="A380" t="s">
        <v>33</v>
      </c>
      <c r="B380" t="s">
        <v>1571</v>
      </c>
      <c r="C380" t="s">
        <v>21</v>
      </c>
      <c r="D380" t="s">
        <v>1571</v>
      </c>
      <c r="E380" t="s">
        <v>723</v>
      </c>
      <c r="F380" t="s">
        <v>1572</v>
      </c>
      <c r="G380" t="s">
        <v>24</v>
      </c>
      <c r="H380" t="s">
        <v>1573</v>
      </c>
      <c r="I380" t="s">
        <v>46</v>
      </c>
      <c r="N380" t="s">
        <v>171</v>
      </c>
      <c r="S380" t="s">
        <v>48</v>
      </c>
      <c r="V380" t="s">
        <v>5602</v>
      </c>
      <c r="W380" t="s">
        <v>5603</v>
      </c>
      <c r="X380" s="2">
        <f>IFERROR(VLOOKUP(I380,'Rate Sheet'!$D:$F,3,FALSE),0)</f>
        <v>14.333333333333334</v>
      </c>
      <c r="Y380" s="2">
        <f>IFERROR(VLOOKUP(J380,'Rate Sheet'!$D:$F,3,FALSE),0)</f>
        <v>0</v>
      </c>
      <c r="Z380" s="2">
        <f>IFERROR(VLOOKUP(K380,'Rate Sheet'!$D:$F,3,FALSE),0)</f>
        <v>0</v>
      </c>
      <c r="AA380" s="2">
        <f t="shared" si="5"/>
        <v>14.333333333333334</v>
      </c>
      <c r="AB380">
        <v>1</v>
      </c>
    </row>
    <row r="381" spans="1:28" x14ac:dyDescent="0.25">
      <c r="A381" t="s">
        <v>33</v>
      </c>
      <c r="B381" t="s">
        <v>1574</v>
      </c>
      <c r="C381" t="s">
        <v>92</v>
      </c>
      <c r="D381" t="s">
        <v>1574</v>
      </c>
      <c r="E381" t="s">
        <v>1488</v>
      </c>
      <c r="F381" t="s">
        <v>1575</v>
      </c>
      <c r="G381" t="s">
        <v>24</v>
      </c>
      <c r="H381" t="s">
        <v>1576</v>
      </c>
      <c r="I381" t="s">
        <v>46</v>
      </c>
      <c r="N381" t="s">
        <v>1577</v>
      </c>
      <c r="S381" t="s">
        <v>48</v>
      </c>
      <c r="V381" t="s">
        <v>5705</v>
      </c>
      <c r="W381" t="s">
        <v>1577</v>
      </c>
      <c r="X381" s="2">
        <f>IFERROR(VLOOKUP(I381,'Rate Sheet'!$D:$F,3,FALSE),0)</f>
        <v>14.333333333333334</v>
      </c>
      <c r="Y381" s="2">
        <f>IFERROR(VLOOKUP(J381,'Rate Sheet'!$D:$F,3,FALSE),0)</f>
        <v>0</v>
      </c>
      <c r="Z381" s="2">
        <f>IFERROR(VLOOKUP(K381,'Rate Sheet'!$D:$F,3,FALSE),0)</f>
        <v>0</v>
      </c>
      <c r="AA381" s="2">
        <f t="shared" si="5"/>
        <v>14.333333333333334</v>
      </c>
      <c r="AB381">
        <v>1</v>
      </c>
    </row>
    <row r="382" spans="1:28" x14ac:dyDescent="0.25">
      <c r="A382" t="s">
        <v>33</v>
      </c>
      <c r="B382" t="s">
        <v>1578</v>
      </c>
      <c r="C382" t="s">
        <v>21</v>
      </c>
      <c r="D382" t="s">
        <v>1578</v>
      </c>
      <c r="E382" t="s">
        <v>1579</v>
      </c>
      <c r="F382" t="s">
        <v>1580</v>
      </c>
      <c r="G382" t="s">
        <v>24</v>
      </c>
      <c r="H382" t="s">
        <v>1581</v>
      </c>
      <c r="I382" t="s">
        <v>96</v>
      </c>
      <c r="N382" t="s">
        <v>53</v>
      </c>
      <c r="S382" t="s">
        <v>98</v>
      </c>
      <c r="V382" t="s">
        <v>5580</v>
      </c>
      <c r="W382" t="s">
        <v>5581</v>
      </c>
      <c r="X382" s="2">
        <f>IFERROR(VLOOKUP(I382,'Rate Sheet'!$D:$F,3,FALSE),0)</f>
        <v>82.24</v>
      </c>
      <c r="Y382" s="2">
        <f>IFERROR(VLOOKUP(J382,'Rate Sheet'!$D:$F,3,FALSE),0)</f>
        <v>0</v>
      </c>
      <c r="Z382" s="2">
        <f>IFERROR(VLOOKUP(K382,'Rate Sheet'!$D:$F,3,FALSE),0)</f>
        <v>0</v>
      </c>
      <c r="AA382" s="2">
        <f t="shared" ref="AA382:AA445" si="6">SUM(X382:Z382)</f>
        <v>82.24</v>
      </c>
      <c r="AB382">
        <v>1</v>
      </c>
    </row>
    <row r="383" spans="1:28" x14ac:dyDescent="0.25">
      <c r="A383" t="s">
        <v>33</v>
      </c>
      <c r="B383" t="s">
        <v>1582</v>
      </c>
      <c r="C383" t="s">
        <v>29</v>
      </c>
      <c r="D383" t="s">
        <v>1582</v>
      </c>
      <c r="E383" t="s">
        <v>1583</v>
      </c>
      <c r="F383" t="s">
        <v>1584</v>
      </c>
      <c r="G383" t="s">
        <v>24</v>
      </c>
      <c r="H383" t="s">
        <v>1585</v>
      </c>
      <c r="I383" t="s">
        <v>46</v>
      </c>
      <c r="N383" t="s">
        <v>1586</v>
      </c>
      <c r="S383" t="s">
        <v>48</v>
      </c>
      <c r="V383" t="s">
        <v>5706</v>
      </c>
      <c r="W383" t="s">
        <v>1586</v>
      </c>
      <c r="X383" s="2">
        <f>IFERROR(VLOOKUP(I383,'Rate Sheet'!$D:$F,3,FALSE),0)</f>
        <v>14.333333333333334</v>
      </c>
      <c r="Y383" s="2">
        <f>IFERROR(VLOOKUP(J383,'Rate Sheet'!$D:$F,3,FALSE),0)</f>
        <v>0</v>
      </c>
      <c r="Z383" s="2">
        <f>IFERROR(VLOOKUP(K383,'Rate Sheet'!$D:$F,3,FALSE),0)</f>
        <v>0</v>
      </c>
      <c r="AA383" s="2">
        <f t="shared" si="6"/>
        <v>14.333333333333334</v>
      </c>
      <c r="AB383">
        <v>1</v>
      </c>
    </row>
    <row r="384" spans="1:28" x14ac:dyDescent="0.25">
      <c r="A384" t="s">
        <v>33</v>
      </c>
      <c r="B384" t="s">
        <v>1587</v>
      </c>
      <c r="C384" t="s">
        <v>21</v>
      </c>
      <c r="D384" t="s">
        <v>1587</v>
      </c>
      <c r="E384" t="s">
        <v>610</v>
      </c>
      <c r="F384" t="s">
        <v>1588</v>
      </c>
      <c r="G384" t="s">
        <v>24</v>
      </c>
      <c r="H384" t="s">
        <v>1589</v>
      </c>
      <c r="I384" t="s">
        <v>46</v>
      </c>
      <c r="N384" t="s">
        <v>349</v>
      </c>
      <c r="S384" t="s">
        <v>48</v>
      </c>
      <c r="V384" t="s">
        <v>5630</v>
      </c>
      <c r="W384" t="s">
        <v>5631</v>
      </c>
      <c r="X384" s="2">
        <f>IFERROR(VLOOKUP(I384,'Rate Sheet'!$D:$F,3,FALSE),0)</f>
        <v>14.333333333333334</v>
      </c>
      <c r="Y384" s="2">
        <f>IFERROR(VLOOKUP(J384,'Rate Sheet'!$D:$F,3,FALSE),0)</f>
        <v>0</v>
      </c>
      <c r="Z384" s="2">
        <f>IFERROR(VLOOKUP(K384,'Rate Sheet'!$D:$F,3,FALSE),0)</f>
        <v>0</v>
      </c>
      <c r="AA384" s="2">
        <f t="shared" si="6"/>
        <v>14.333333333333334</v>
      </c>
      <c r="AB384">
        <v>1</v>
      </c>
    </row>
    <row r="385" spans="1:28" x14ac:dyDescent="0.25">
      <c r="A385" t="s">
        <v>33</v>
      </c>
      <c r="B385" t="s">
        <v>1590</v>
      </c>
      <c r="C385" t="s">
        <v>21</v>
      </c>
      <c r="D385" t="s">
        <v>1590</v>
      </c>
      <c r="E385" t="s">
        <v>1591</v>
      </c>
      <c r="F385" t="s">
        <v>1592</v>
      </c>
      <c r="G385" t="s">
        <v>24</v>
      </c>
      <c r="H385" t="s">
        <v>1593</v>
      </c>
      <c r="N385" t="s">
        <v>502</v>
      </c>
      <c r="X385" s="2">
        <f>IFERROR(VLOOKUP(I385,'Rate Sheet'!$D:$F,3,FALSE),0)</f>
        <v>0</v>
      </c>
      <c r="Y385" s="2">
        <f>IFERROR(VLOOKUP(J385,'Rate Sheet'!$D:$F,3,FALSE),0)</f>
        <v>0</v>
      </c>
      <c r="Z385" s="2">
        <f>IFERROR(VLOOKUP(K385,'Rate Sheet'!$D:$F,3,FALSE),0)</f>
        <v>0</v>
      </c>
      <c r="AA385" s="2">
        <f t="shared" si="6"/>
        <v>0</v>
      </c>
    </row>
    <row r="386" spans="1:28" x14ac:dyDescent="0.25">
      <c r="A386" t="s">
        <v>33</v>
      </c>
      <c r="B386" t="s">
        <v>1594</v>
      </c>
      <c r="C386" t="s">
        <v>21</v>
      </c>
      <c r="D386" t="s">
        <v>1594</v>
      </c>
      <c r="E386" t="s">
        <v>367</v>
      </c>
      <c r="F386" t="s">
        <v>1595</v>
      </c>
      <c r="G386" t="s">
        <v>24</v>
      </c>
      <c r="H386" t="s">
        <v>1596</v>
      </c>
      <c r="I386" t="s">
        <v>46</v>
      </c>
      <c r="N386" t="s">
        <v>185</v>
      </c>
      <c r="S386" t="s">
        <v>48</v>
      </c>
      <c r="V386" t="s">
        <v>5610</v>
      </c>
      <c r="W386" t="s">
        <v>5611</v>
      </c>
      <c r="X386" s="2">
        <f>IFERROR(VLOOKUP(I386,'Rate Sheet'!$D:$F,3,FALSE),0)</f>
        <v>14.333333333333334</v>
      </c>
      <c r="Y386" s="2">
        <f>IFERROR(VLOOKUP(J386,'Rate Sheet'!$D:$F,3,FALSE),0)</f>
        <v>0</v>
      </c>
      <c r="Z386" s="2">
        <f>IFERROR(VLOOKUP(K386,'Rate Sheet'!$D:$F,3,FALSE),0)</f>
        <v>0</v>
      </c>
      <c r="AA386" s="2">
        <f t="shared" si="6"/>
        <v>14.333333333333334</v>
      </c>
      <c r="AB386">
        <v>1</v>
      </c>
    </row>
    <row r="387" spans="1:28" x14ac:dyDescent="0.25">
      <c r="A387" t="s">
        <v>33</v>
      </c>
      <c r="B387" t="s">
        <v>1597</v>
      </c>
      <c r="C387" t="s">
        <v>21</v>
      </c>
      <c r="D387" t="s">
        <v>1597</v>
      </c>
      <c r="E387" t="s">
        <v>1591</v>
      </c>
      <c r="F387" t="s">
        <v>1598</v>
      </c>
      <c r="G387" t="s">
        <v>24</v>
      </c>
      <c r="H387" t="s">
        <v>1599</v>
      </c>
      <c r="I387" t="s">
        <v>46</v>
      </c>
      <c r="N387" t="s">
        <v>647</v>
      </c>
      <c r="S387" t="s">
        <v>48</v>
      </c>
      <c r="V387" t="s">
        <v>5707</v>
      </c>
      <c r="W387" t="s">
        <v>2014</v>
      </c>
      <c r="X387" s="2">
        <f>IFERROR(VLOOKUP(I387,'Rate Sheet'!$D:$F,3,FALSE),0)</f>
        <v>14.333333333333334</v>
      </c>
      <c r="Y387" s="2">
        <f>IFERROR(VLOOKUP(J387,'Rate Sheet'!$D:$F,3,FALSE),0)</f>
        <v>0</v>
      </c>
      <c r="Z387" s="2">
        <f>IFERROR(VLOOKUP(K387,'Rate Sheet'!$D:$F,3,FALSE),0)</f>
        <v>0</v>
      </c>
      <c r="AA387" s="2">
        <f t="shared" si="6"/>
        <v>14.333333333333334</v>
      </c>
      <c r="AB387">
        <v>1</v>
      </c>
    </row>
    <row r="388" spans="1:28" x14ac:dyDescent="0.25">
      <c r="A388" t="s">
        <v>33</v>
      </c>
      <c r="B388" t="s">
        <v>1600</v>
      </c>
      <c r="C388" t="s">
        <v>21</v>
      </c>
      <c r="D388" t="s">
        <v>1600</v>
      </c>
      <c r="E388" t="s">
        <v>412</v>
      </c>
      <c r="F388" t="s">
        <v>1601</v>
      </c>
      <c r="G388" t="s">
        <v>24</v>
      </c>
      <c r="H388" t="s">
        <v>1602</v>
      </c>
      <c r="I388" t="s">
        <v>46</v>
      </c>
      <c r="N388" t="s">
        <v>273</v>
      </c>
      <c r="S388" t="s">
        <v>48</v>
      </c>
      <c r="V388" t="s">
        <v>5708</v>
      </c>
      <c r="W388" t="s">
        <v>5709</v>
      </c>
      <c r="X388" s="2">
        <f>IFERROR(VLOOKUP(I388,'Rate Sheet'!$D:$F,3,FALSE),0)</f>
        <v>14.333333333333334</v>
      </c>
      <c r="Y388" s="2">
        <f>IFERROR(VLOOKUP(J388,'Rate Sheet'!$D:$F,3,FALSE),0)</f>
        <v>0</v>
      </c>
      <c r="Z388" s="2">
        <f>IFERROR(VLOOKUP(K388,'Rate Sheet'!$D:$F,3,FALSE),0)</f>
        <v>0</v>
      </c>
      <c r="AA388" s="2">
        <f t="shared" si="6"/>
        <v>14.333333333333334</v>
      </c>
      <c r="AB388">
        <v>1</v>
      </c>
    </row>
    <row r="389" spans="1:28" x14ac:dyDescent="0.25">
      <c r="A389" t="s">
        <v>33</v>
      </c>
      <c r="B389" t="s">
        <v>1603</v>
      </c>
      <c r="C389" t="s">
        <v>21</v>
      </c>
      <c r="D389" t="s">
        <v>1603</v>
      </c>
      <c r="E389" t="s">
        <v>1604</v>
      </c>
      <c r="F389" t="s">
        <v>1605</v>
      </c>
      <c r="G389" t="s">
        <v>24</v>
      </c>
      <c r="H389" t="s">
        <v>1606</v>
      </c>
      <c r="I389" t="s">
        <v>46</v>
      </c>
      <c r="N389" t="s">
        <v>1061</v>
      </c>
      <c r="S389" t="s">
        <v>48</v>
      </c>
      <c r="V389" t="s">
        <v>5679</v>
      </c>
      <c r="W389" t="s">
        <v>1061</v>
      </c>
      <c r="X389" s="2">
        <f>IFERROR(VLOOKUP(I389,'Rate Sheet'!$D:$F,3,FALSE),0)</f>
        <v>14.333333333333334</v>
      </c>
      <c r="Y389" s="2">
        <f>IFERROR(VLOOKUP(J389,'Rate Sheet'!$D:$F,3,FALSE),0)</f>
        <v>0</v>
      </c>
      <c r="Z389" s="2">
        <f>IFERROR(VLOOKUP(K389,'Rate Sheet'!$D:$F,3,FALSE),0)</f>
        <v>0</v>
      </c>
      <c r="AA389" s="2">
        <f t="shared" si="6"/>
        <v>14.333333333333334</v>
      </c>
      <c r="AB389">
        <v>1</v>
      </c>
    </row>
    <row r="390" spans="1:28" x14ac:dyDescent="0.25">
      <c r="A390" t="s">
        <v>33</v>
      </c>
      <c r="B390" t="s">
        <v>1607</v>
      </c>
      <c r="C390" t="s">
        <v>21</v>
      </c>
      <c r="D390" t="s">
        <v>1607</v>
      </c>
      <c r="E390" t="s">
        <v>367</v>
      </c>
      <c r="F390" t="s">
        <v>1608</v>
      </c>
      <c r="G390" t="s">
        <v>24</v>
      </c>
      <c r="H390" t="s">
        <v>1609</v>
      </c>
      <c r="I390" t="s">
        <v>46</v>
      </c>
      <c r="N390" t="s">
        <v>63</v>
      </c>
      <c r="S390" t="s">
        <v>48</v>
      </c>
      <c r="V390" t="s">
        <v>5584</v>
      </c>
      <c r="W390" t="s">
        <v>63</v>
      </c>
      <c r="X390" s="2">
        <f>IFERROR(VLOOKUP(I390,'Rate Sheet'!$D:$F,3,FALSE),0)</f>
        <v>14.333333333333334</v>
      </c>
      <c r="Y390" s="2">
        <f>IFERROR(VLOOKUP(J390,'Rate Sheet'!$D:$F,3,FALSE),0)</f>
        <v>0</v>
      </c>
      <c r="Z390" s="2">
        <f>IFERROR(VLOOKUP(K390,'Rate Sheet'!$D:$F,3,FALSE),0)</f>
        <v>0</v>
      </c>
      <c r="AA390" s="2">
        <f t="shared" si="6"/>
        <v>14.333333333333334</v>
      </c>
      <c r="AB390">
        <v>1</v>
      </c>
    </row>
    <row r="391" spans="1:28" x14ac:dyDescent="0.25">
      <c r="A391" t="s">
        <v>33</v>
      </c>
      <c r="B391" t="s">
        <v>1610</v>
      </c>
      <c r="C391" t="s">
        <v>92</v>
      </c>
      <c r="D391" t="s">
        <v>1610</v>
      </c>
      <c r="E391" t="s">
        <v>126</v>
      </c>
      <c r="F391" t="s">
        <v>1611</v>
      </c>
      <c r="G391" t="s">
        <v>24</v>
      </c>
      <c r="H391" t="s">
        <v>1612</v>
      </c>
      <c r="I391" t="s">
        <v>46</v>
      </c>
      <c r="N391" t="s">
        <v>1577</v>
      </c>
      <c r="S391" t="s">
        <v>48</v>
      </c>
      <c r="V391" t="s">
        <v>5598</v>
      </c>
      <c r="W391" t="s">
        <v>119</v>
      </c>
      <c r="X391" s="2">
        <f>IFERROR(VLOOKUP(I391,'Rate Sheet'!$D:$F,3,FALSE),0)</f>
        <v>14.333333333333334</v>
      </c>
      <c r="Y391" s="2">
        <f>IFERROR(VLOOKUP(J391,'Rate Sheet'!$D:$F,3,FALSE),0)</f>
        <v>0</v>
      </c>
      <c r="Z391" s="2">
        <f>IFERROR(VLOOKUP(K391,'Rate Sheet'!$D:$F,3,FALSE),0)</f>
        <v>0</v>
      </c>
      <c r="AA391" s="2">
        <f t="shared" si="6"/>
        <v>14.333333333333334</v>
      </c>
      <c r="AB391">
        <v>1</v>
      </c>
    </row>
    <row r="392" spans="1:28" x14ac:dyDescent="0.25">
      <c r="A392" t="s">
        <v>33</v>
      </c>
      <c r="B392" t="s">
        <v>1613</v>
      </c>
      <c r="C392" t="s">
        <v>21</v>
      </c>
      <c r="D392" t="s">
        <v>1613</v>
      </c>
      <c r="E392" t="s">
        <v>1614</v>
      </c>
      <c r="F392" t="s">
        <v>1615</v>
      </c>
      <c r="G392" t="s">
        <v>24</v>
      </c>
      <c r="H392" t="s">
        <v>1616</v>
      </c>
      <c r="I392" t="s">
        <v>46</v>
      </c>
      <c r="N392" t="s">
        <v>63</v>
      </c>
      <c r="S392" t="s">
        <v>48</v>
      </c>
      <c r="V392" t="s">
        <v>5584</v>
      </c>
      <c r="W392" t="s">
        <v>63</v>
      </c>
      <c r="X392" s="2">
        <f>IFERROR(VLOOKUP(I392,'Rate Sheet'!$D:$F,3,FALSE),0)</f>
        <v>14.333333333333334</v>
      </c>
      <c r="Y392" s="2">
        <f>IFERROR(VLOOKUP(J392,'Rate Sheet'!$D:$F,3,FALSE),0)</f>
        <v>0</v>
      </c>
      <c r="Z392" s="2">
        <f>IFERROR(VLOOKUP(K392,'Rate Sheet'!$D:$F,3,FALSE),0)</f>
        <v>0</v>
      </c>
      <c r="AA392" s="2">
        <f t="shared" si="6"/>
        <v>14.333333333333334</v>
      </c>
      <c r="AB392">
        <v>1</v>
      </c>
    </row>
    <row r="393" spans="1:28" x14ac:dyDescent="0.25">
      <c r="A393" t="s">
        <v>33</v>
      </c>
      <c r="B393" t="s">
        <v>1617</v>
      </c>
      <c r="C393" t="s">
        <v>21</v>
      </c>
      <c r="D393" t="s">
        <v>1617</v>
      </c>
      <c r="E393" t="s">
        <v>1618</v>
      </c>
      <c r="F393" t="s">
        <v>1619</v>
      </c>
      <c r="G393" t="s">
        <v>24</v>
      </c>
      <c r="H393" t="s">
        <v>1620</v>
      </c>
      <c r="I393" t="s">
        <v>46</v>
      </c>
      <c r="N393" t="s">
        <v>1415</v>
      </c>
      <c r="S393" t="s">
        <v>48</v>
      </c>
      <c r="V393" s="10" t="s">
        <v>5779</v>
      </c>
      <c r="W393" s="10" t="s">
        <v>5780</v>
      </c>
      <c r="X393" s="2">
        <f>IFERROR(VLOOKUP(I393,'Rate Sheet'!$D:$F,3,FALSE),0)</f>
        <v>14.333333333333334</v>
      </c>
      <c r="Y393" s="2">
        <f>IFERROR(VLOOKUP(J393,'Rate Sheet'!$D:$F,3,FALSE),0)</f>
        <v>0</v>
      </c>
      <c r="Z393" s="2">
        <f>IFERROR(VLOOKUP(K393,'Rate Sheet'!$D:$F,3,FALSE),0)</f>
        <v>0</v>
      </c>
      <c r="AA393" s="2">
        <f t="shared" si="6"/>
        <v>14.333333333333334</v>
      </c>
      <c r="AB393">
        <v>1</v>
      </c>
    </row>
    <row r="394" spans="1:28" x14ac:dyDescent="0.25">
      <c r="A394" t="s">
        <v>33</v>
      </c>
      <c r="B394" t="s">
        <v>1621</v>
      </c>
      <c r="C394" t="s">
        <v>21</v>
      </c>
      <c r="D394" t="s">
        <v>1621</v>
      </c>
      <c r="E394" t="s">
        <v>1457</v>
      </c>
      <c r="F394" t="s">
        <v>1622</v>
      </c>
      <c r="G394" t="s">
        <v>24</v>
      </c>
      <c r="H394" t="s">
        <v>1623</v>
      </c>
      <c r="I394" t="s">
        <v>46</v>
      </c>
      <c r="N394" t="s">
        <v>1624</v>
      </c>
      <c r="S394" t="s">
        <v>48</v>
      </c>
      <c r="V394" t="s">
        <v>5610</v>
      </c>
      <c r="W394" t="s">
        <v>5611</v>
      </c>
      <c r="X394" s="2">
        <f>IFERROR(VLOOKUP(I394,'Rate Sheet'!$D:$F,3,FALSE),0)</f>
        <v>14.333333333333334</v>
      </c>
      <c r="Y394" s="2">
        <f>IFERROR(VLOOKUP(J394,'Rate Sheet'!$D:$F,3,FALSE),0)</f>
        <v>0</v>
      </c>
      <c r="Z394" s="2">
        <f>IFERROR(VLOOKUP(K394,'Rate Sheet'!$D:$F,3,FALSE),0)</f>
        <v>0</v>
      </c>
      <c r="AA394" s="2">
        <f t="shared" si="6"/>
        <v>14.333333333333334</v>
      </c>
      <c r="AB394">
        <v>1</v>
      </c>
    </row>
    <row r="395" spans="1:28" x14ac:dyDescent="0.25">
      <c r="A395" t="s">
        <v>33</v>
      </c>
      <c r="B395" t="s">
        <v>1625</v>
      </c>
      <c r="C395" t="s">
        <v>21</v>
      </c>
      <c r="D395" t="s">
        <v>1625</v>
      </c>
      <c r="E395" t="s">
        <v>1626</v>
      </c>
      <c r="F395" t="s">
        <v>1627</v>
      </c>
      <c r="G395" t="s">
        <v>24</v>
      </c>
      <c r="H395" t="s">
        <v>1628</v>
      </c>
      <c r="I395" t="s">
        <v>46</v>
      </c>
      <c r="N395" t="s">
        <v>185</v>
      </c>
      <c r="S395" t="s">
        <v>48</v>
      </c>
      <c r="V395" t="s">
        <v>5610</v>
      </c>
      <c r="W395" t="s">
        <v>5611</v>
      </c>
      <c r="X395" s="2">
        <f>IFERROR(VLOOKUP(I395,'Rate Sheet'!$D:$F,3,FALSE),0)</f>
        <v>14.333333333333334</v>
      </c>
      <c r="Y395" s="2">
        <f>IFERROR(VLOOKUP(J395,'Rate Sheet'!$D:$F,3,FALSE),0)</f>
        <v>0</v>
      </c>
      <c r="Z395" s="2">
        <f>IFERROR(VLOOKUP(K395,'Rate Sheet'!$D:$F,3,FALSE),0)</f>
        <v>0</v>
      </c>
      <c r="AA395" s="2">
        <f t="shared" si="6"/>
        <v>14.333333333333334</v>
      </c>
      <c r="AB395">
        <v>1</v>
      </c>
    </row>
    <row r="396" spans="1:28" x14ac:dyDescent="0.25">
      <c r="A396" t="s">
        <v>33</v>
      </c>
      <c r="B396" t="s">
        <v>1629</v>
      </c>
      <c r="C396" t="s">
        <v>21</v>
      </c>
      <c r="D396" t="s">
        <v>1629</v>
      </c>
      <c r="E396" t="s">
        <v>1146</v>
      </c>
      <c r="F396" t="s">
        <v>1630</v>
      </c>
      <c r="G396" t="s">
        <v>24</v>
      </c>
      <c r="H396" t="s">
        <v>1631</v>
      </c>
      <c r="N396" t="s">
        <v>1632</v>
      </c>
      <c r="X396" s="2">
        <f>IFERROR(VLOOKUP(I396,'Rate Sheet'!$D:$F,3,FALSE),0)</f>
        <v>0</v>
      </c>
      <c r="Y396" s="2">
        <f>IFERROR(VLOOKUP(J396,'Rate Sheet'!$D:$F,3,FALSE),0)</f>
        <v>0</v>
      </c>
      <c r="Z396" s="2">
        <f>IFERROR(VLOOKUP(K396,'Rate Sheet'!$D:$F,3,FALSE),0)</f>
        <v>0</v>
      </c>
      <c r="AA396" s="2">
        <f t="shared" si="6"/>
        <v>0</v>
      </c>
    </row>
    <row r="397" spans="1:28" x14ac:dyDescent="0.25">
      <c r="A397" t="s">
        <v>33</v>
      </c>
      <c r="B397" t="s">
        <v>1633</v>
      </c>
      <c r="C397" t="s">
        <v>21</v>
      </c>
      <c r="D397" t="s">
        <v>1633</v>
      </c>
      <c r="E397" t="s">
        <v>1634</v>
      </c>
      <c r="F397" t="s">
        <v>801</v>
      </c>
      <c r="G397" t="s">
        <v>24</v>
      </c>
      <c r="H397" t="s">
        <v>1635</v>
      </c>
      <c r="I397" t="s">
        <v>46</v>
      </c>
      <c r="N397" t="s">
        <v>185</v>
      </c>
      <c r="S397" t="s">
        <v>48</v>
      </c>
      <c r="V397" t="s">
        <v>5610</v>
      </c>
      <c r="W397" t="s">
        <v>5611</v>
      </c>
      <c r="X397" s="2">
        <f>IFERROR(VLOOKUP(I397,'Rate Sheet'!$D:$F,3,FALSE),0)</f>
        <v>14.333333333333334</v>
      </c>
      <c r="Y397" s="2">
        <f>IFERROR(VLOOKUP(J397,'Rate Sheet'!$D:$F,3,FALSE),0)</f>
        <v>0</v>
      </c>
      <c r="Z397" s="2">
        <f>IFERROR(VLOOKUP(K397,'Rate Sheet'!$D:$F,3,FALSE),0)</f>
        <v>0</v>
      </c>
      <c r="AA397" s="2">
        <f t="shared" si="6"/>
        <v>14.333333333333334</v>
      </c>
      <c r="AB397">
        <v>1</v>
      </c>
    </row>
    <row r="398" spans="1:28" x14ac:dyDescent="0.25">
      <c r="A398" t="s">
        <v>33</v>
      </c>
      <c r="B398" t="s">
        <v>1636</v>
      </c>
      <c r="C398" t="s">
        <v>21</v>
      </c>
      <c r="D398" t="s">
        <v>1636</v>
      </c>
      <c r="E398" t="s">
        <v>1637</v>
      </c>
      <c r="F398" t="s">
        <v>265</v>
      </c>
      <c r="G398" t="s">
        <v>24</v>
      </c>
      <c r="H398" t="s">
        <v>1638</v>
      </c>
      <c r="I398" t="s">
        <v>46</v>
      </c>
      <c r="N398" t="s">
        <v>185</v>
      </c>
      <c r="S398" t="s">
        <v>48</v>
      </c>
      <c r="V398" t="s">
        <v>5610</v>
      </c>
      <c r="W398" t="s">
        <v>5611</v>
      </c>
      <c r="X398" s="2">
        <f>IFERROR(VLOOKUP(I398,'Rate Sheet'!$D:$F,3,FALSE),0)</f>
        <v>14.333333333333334</v>
      </c>
      <c r="Y398" s="2">
        <f>IFERROR(VLOOKUP(J398,'Rate Sheet'!$D:$F,3,FALSE),0)</f>
        <v>0</v>
      </c>
      <c r="Z398" s="2">
        <f>IFERROR(VLOOKUP(K398,'Rate Sheet'!$D:$F,3,FALSE),0)</f>
        <v>0</v>
      </c>
      <c r="AA398" s="2">
        <f t="shared" si="6"/>
        <v>14.333333333333334</v>
      </c>
      <c r="AB398">
        <v>1</v>
      </c>
    </row>
    <row r="399" spans="1:28" x14ac:dyDescent="0.25">
      <c r="A399" t="s">
        <v>33</v>
      </c>
      <c r="B399" t="s">
        <v>1639</v>
      </c>
      <c r="C399" t="s">
        <v>21</v>
      </c>
      <c r="D399" t="s">
        <v>1639</v>
      </c>
      <c r="E399" t="s">
        <v>1640</v>
      </c>
      <c r="F399" t="s">
        <v>1641</v>
      </c>
      <c r="G399" t="s">
        <v>24</v>
      </c>
      <c r="H399" t="s">
        <v>1642</v>
      </c>
      <c r="I399" t="s">
        <v>46</v>
      </c>
      <c r="N399" t="s">
        <v>53</v>
      </c>
      <c r="S399" t="s">
        <v>48</v>
      </c>
      <c r="V399" t="s">
        <v>5708</v>
      </c>
      <c r="W399" t="s">
        <v>5709</v>
      </c>
      <c r="X399" s="2">
        <f>IFERROR(VLOOKUP(I399,'Rate Sheet'!$D:$F,3,FALSE),0)</f>
        <v>14.333333333333334</v>
      </c>
      <c r="Y399" s="2">
        <f>IFERROR(VLOOKUP(J399,'Rate Sheet'!$D:$F,3,FALSE),0)</f>
        <v>0</v>
      </c>
      <c r="Z399" s="2">
        <f>IFERROR(VLOOKUP(K399,'Rate Sheet'!$D:$F,3,FALSE),0)</f>
        <v>0</v>
      </c>
      <c r="AA399" s="2">
        <f t="shared" si="6"/>
        <v>14.333333333333334</v>
      </c>
      <c r="AB399">
        <v>1</v>
      </c>
    </row>
    <row r="400" spans="1:28" x14ac:dyDescent="0.25">
      <c r="A400" t="s">
        <v>33</v>
      </c>
      <c r="B400" t="s">
        <v>1643</v>
      </c>
      <c r="C400" t="s">
        <v>29</v>
      </c>
      <c r="D400" t="s">
        <v>1643</v>
      </c>
      <c r="E400" t="s">
        <v>464</v>
      </c>
      <c r="F400" t="s">
        <v>792</v>
      </c>
      <c r="G400" t="s">
        <v>24</v>
      </c>
      <c r="H400" t="s">
        <v>1644</v>
      </c>
      <c r="I400" t="s">
        <v>46</v>
      </c>
      <c r="N400" t="s">
        <v>176</v>
      </c>
      <c r="S400" t="s">
        <v>48</v>
      </c>
      <c r="V400" t="s">
        <v>5607</v>
      </c>
      <c r="W400" t="s">
        <v>5608</v>
      </c>
      <c r="X400" s="2">
        <f>IFERROR(VLOOKUP(I400,'Rate Sheet'!$D:$F,3,FALSE),0)</f>
        <v>14.333333333333334</v>
      </c>
      <c r="Y400" s="2">
        <f>IFERROR(VLOOKUP(J400,'Rate Sheet'!$D:$F,3,FALSE),0)</f>
        <v>0</v>
      </c>
      <c r="Z400" s="2">
        <f>IFERROR(VLOOKUP(K400,'Rate Sheet'!$D:$F,3,FALSE),0)</f>
        <v>0</v>
      </c>
      <c r="AA400" s="2">
        <f t="shared" si="6"/>
        <v>14.333333333333334</v>
      </c>
      <c r="AB400">
        <v>1</v>
      </c>
    </row>
    <row r="401" spans="1:28" x14ac:dyDescent="0.25">
      <c r="A401" t="s">
        <v>33</v>
      </c>
      <c r="B401" t="s">
        <v>1645</v>
      </c>
      <c r="C401" t="s">
        <v>29</v>
      </c>
      <c r="D401" t="s">
        <v>1645</v>
      </c>
      <c r="E401" t="s">
        <v>1646</v>
      </c>
      <c r="F401" t="s">
        <v>1647</v>
      </c>
      <c r="G401" t="s">
        <v>24</v>
      </c>
      <c r="H401" t="s">
        <v>1648</v>
      </c>
      <c r="I401" t="s">
        <v>46</v>
      </c>
      <c r="N401" t="s">
        <v>176</v>
      </c>
      <c r="S401" t="s">
        <v>48</v>
      </c>
      <c r="V401" t="s">
        <v>5607</v>
      </c>
      <c r="W401" t="s">
        <v>5608</v>
      </c>
      <c r="X401" s="2">
        <f>IFERROR(VLOOKUP(I401,'Rate Sheet'!$D:$F,3,FALSE),0)</f>
        <v>14.333333333333334</v>
      </c>
      <c r="Y401" s="2">
        <f>IFERROR(VLOOKUP(J401,'Rate Sheet'!$D:$F,3,FALSE),0)</f>
        <v>0</v>
      </c>
      <c r="Z401" s="2">
        <f>IFERROR(VLOOKUP(K401,'Rate Sheet'!$D:$F,3,FALSE),0)</f>
        <v>0</v>
      </c>
      <c r="AA401" s="2">
        <f t="shared" si="6"/>
        <v>14.333333333333334</v>
      </c>
      <c r="AB401">
        <v>1</v>
      </c>
    </row>
    <row r="402" spans="1:28" x14ac:dyDescent="0.25">
      <c r="A402" t="s">
        <v>33</v>
      </c>
      <c r="B402" t="s">
        <v>1649</v>
      </c>
      <c r="C402" t="s">
        <v>21</v>
      </c>
      <c r="D402" t="s">
        <v>1649</v>
      </c>
      <c r="E402" t="s">
        <v>1650</v>
      </c>
      <c r="F402" t="s">
        <v>1651</v>
      </c>
      <c r="G402" t="s">
        <v>24</v>
      </c>
      <c r="H402" t="s">
        <v>1652</v>
      </c>
      <c r="N402" t="s">
        <v>1415</v>
      </c>
      <c r="X402" s="2">
        <f>IFERROR(VLOOKUP(I402,'Rate Sheet'!$D:$F,3,FALSE),0)</f>
        <v>0</v>
      </c>
      <c r="Y402" s="2">
        <f>IFERROR(VLOOKUP(J402,'Rate Sheet'!$D:$F,3,FALSE),0)</f>
        <v>0</v>
      </c>
      <c r="Z402" s="2">
        <f>IFERROR(VLOOKUP(K402,'Rate Sheet'!$D:$F,3,FALSE),0)</f>
        <v>0</v>
      </c>
      <c r="AA402" s="2">
        <f t="shared" si="6"/>
        <v>0</v>
      </c>
    </row>
    <row r="403" spans="1:28" x14ac:dyDescent="0.25">
      <c r="A403" t="s">
        <v>33</v>
      </c>
      <c r="B403" t="s">
        <v>1653</v>
      </c>
      <c r="C403" t="s">
        <v>21</v>
      </c>
      <c r="D403" t="s">
        <v>1653</v>
      </c>
      <c r="E403" t="s">
        <v>1654</v>
      </c>
      <c r="F403" t="s">
        <v>1655</v>
      </c>
      <c r="G403" t="s">
        <v>24</v>
      </c>
      <c r="H403" t="s">
        <v>1656</v>
      </c>
      <c r="I403" t="s">
        <v>46</v>
      </c>
      <c r="N403" t="s">
        <v>53</v>
      </c>
      <c r="S403" t="s">
        <v>48</v>
      </c>
      <c r="V403" t="s">
        <v>5580</v>
      </c>
      <c r="W403" t="s">
        <v>5581</v>
      </c>
      <c r="X403" s="2">
        <f>IFERROR(VLOOKUP(I403,'Rate Sheet'!$D:$F,3,FALSE),0)</f>
        <v>14.333333333333334</v>
      </c>
      <c r="Y403" s="2">
        <f>IFERROR(VLOOKUP(J403,'Rate Sheet'!$D:$F,3,FALSE),0)</f>
        <v>0</v>
      </c>
      <c r="Z403" s="2">
        <f>IFERROR(VLOOKUP(K403,'Rate Sheet'!$D:$F,3,FALSE),0)</f>
        <v>0</v>
      </c>
      <c r="AA403" s="2">
        <f t="shared" si="6"/>
        <v>14.333333333333334</v>
      </c>
      <c r="AB403">
        <v>1</v>
      </c>
    </row>
    <row r="404" spans="1:28" x14ac:dyDescent="0.25">
      <c r="A404" t="s">
        <v>33</v>
      </c>
      <c r="B404" t="s">
        <v>1657</v>
      </c>
      <c r="C404" t="s">
        <v>21</v>
      </c>
      <c r="D404" t="s">
        <v>1657</v>
      </c>
      <c r="E404" t="s">
        <v>1658</v>
      </c>
      <c r="F404" t="s">
        <v>285</v>
      </c>
      <c r="G404" t="s">
        <v>24</v>
      </c>
      <c r="H404" t="s">
        <v>1659</v>
      </c>
      <c r="I404" t="s">
        <v>46</v>
      </c>
      <c r="N404" t="s">
        <v>185</v>
      </c>
      <c r="S404" t="s">
        <v>48</v>
      </c>
      <c r="V404" t="s">
        <v>5610</v>
      </c>
      <c r="W404" t="s">
        <v>5611</v>
      </c>
      <c r="X404" s="2">
        <f>IFERROR(VLOOKUP(I404,'Rate Sheet'!$D:$F,3,FALSE),0)</f>
        <v>14.333333333333334</v>
      </c>
      <c r="Y404" s="2">
        <f>IFERROR(VLOOKUP(J404,'Rate Sheet'!$D:$F,3,FALSE),0)</f>
        <v>0</v>
      </c>
      <c r="Z404" s="2">
        <f>IFERROR(VLOOKUP(K404,'Rate Sheet'!$D:$F,3,FALSE),0)</f>
        <v>0</v>
      </c>
      <c r="AA404" s="2">
        <f t="shared" si="6"/>
        <v>14.333333333333334</v>
      </c>
      <c r="AB404">
        <v>1</v>
      </c>
    </row>
    <row r="405" spans="1:28" x14ac:dyDescent="0.25">
      <c r="A405" t="s">
        <v>33</v>
      </c>
      <c r="B405" t="s">
        <v>1660</v>
      </c>
      <c r="C405" t="s">
        <v>21</v>
      </c>
      <c r="D405" t="s">
        <v>1660</v>
      </c>
      <c r="E405" t="s">
        <v>159</v>
      </c>
      <c r="F405" t="s">
        <v>1661</v>
      </c>
      <c r="G405" t="s">
        <v>24</v>
      </c>
      <c r="H405" t="s">
        <v>1662</v>
      </c>
      <c r="I405" t="s">
        <v>46</v>
      </c>
      <c r="N405" t="s">
        <v>143</v>
      </c>
      <c r="S405" t="s">
        <v>48</v>
      </c>
      <c r="V405" t="s">
        <v>5640</v>
      </c>
      <c r="W405" t="s">
        <v>5641</v>
      </c>
      <c r="X405" s="2">
        <f>IFERROR(VLOOKUP(I405,'Rate Sheet'!$D:$F,3,FALSE),0)</f>
        <v>14.333333333333334</v>
      </c>
      <c r="Y405" s="2">
        <f>IFERROR(VLOOKUP(J405,'Rate Sheet'!$D:$F,3,FALSE),0)</f>
        <v>0</v>
      </c>
      <c r="Z405" s="2">
        <f>IFERROR(VLOOKUP(K405,'Rate Sheet'!$D:$F,3,FALSE),0)</f>
        <v>0</v>
      </c>
      <c r="AA405" s="2">
        <f t="shared" si="6"/>
        <v>14.333333333333334</v>
      </c>
      <c r="AB405">
        <v>1</v>
      </c>
    </row>
    <row r="406" spans="1:28" x14ac:dyDescent="0.25">
      <c r="A406" t="s">
        <v>33</v>
      </c>
      <c r="B406" t="s">
        <v>1663</v>
      </c>
      <c r="C406" t="s">
        <v>21</v>
      </c>
      <c r="D406" t="s">
        <v>1663</v>
      </c>
      <c r="E406" t="s">
        <v>1664</v>
      </c>
      <c r="F406" t="s">
        <v>1665</v>
      </c>
      <c r="G406" t="s">
        <v>24</v>
      </c>
      <c r="H406" t="s">
        <v>1666</v>
      </c>
      <c r="I406" t="s">
        <v>46</v>
      </c>
      <c r="N406" t="s">
        <v>185</v>
      </c>
      <c r="S406" t="s">
        <v>48</v>
      </c>
      <c r="V406" t="s">
        <v>5610</v>
      </c>
      <c r="W406" t="s">
        <v>5611</v>
      </c>
      <c r="X406" s="2">
        <f>IFERROR(VLOOKUP(I406,'Rate Sheet'!$D:$F,3,FALSE),0)</f>
        <v>14.333333333333334</v>
      </c>
      <c r="Y406" s="2">
        <f>IFERROR(VLOOKUP(J406,'Rate Sheet'!$D:$F,3,FALSE),0)</f>
        <v>0</v>
      </c>
      <c r="Z406" s="2">
        <f>IFERROR(VLOOKUP(K406,'Rate Sheet'!$D:$F,3,FALSE),0)</f>
        <v>0</v>
      </c>
      <c r="AA406" s="2">
        <f t="shared" si="6"/>
        <v>14.333333333333334</v>
      </c>
      <c r="AB406">
        <v>1</v>
      </c>
    </row>
    <row r="407" spans="1:28" x14ac:dyDescent="0.25">
      <c r="A407" t="s">
        <v>33</v>
      </c>
      <c r="B407" t="s">
        <v>1667</v>
      </c>
      <c r="C407" t="s">
        <v>21</v>
      </c>
      <c r="D407" t="s">
        <v>1667</v>
      </c>
      <c r="E407" t="s">
        <v>1668</v>
      </c>
      <c r="F407" t="s">
        <v>1669</v>
      </c>
      <c r="G407" t="s">
        <v>24</v>
      </c>
      <c r="H407" t="s">
        <v>1670</v>
      </c>
      <c r="I407" t="s">
        <v>46</v>
      </c>
      <c r="N407" t="s">
        <v>1152</v>
      </c>
      <c r="S407" t="s">
        <v>48</v>
      </c>
      <c r="V407" t="s">
        <v>5688</v>
      </c>
      <c r="W407" t="s">
        <v>1152</v>
      </c>
      <c r="X407" s="2">
        <f>IFERROR(VLOOKUP(I407,'Rate Sheet'!$D:$F,3,FALSE),0)</f>
        <v>14.333333333333334</v>
      </c>
      <c r="Y407" s="2">
        <f>IFERROR(VLOOKUP(J407,'Rate Sheet'!$D:$F,3,FALSE),0)</f>
        <v>0</v>
      </c>
      <c r="Z407" s="2">
        <f>IFERROR(VLOOKUP(K407,'Rate Sheet'!$D:$F,3,FALSE),0)</f>
        <v>0</v>
      </c>
      <c r="AA407" s="2">
        <f t="shared" si="6"/>
        <v>14.333333333333334</v>
      </c>
      <c r="AB407">
        <v>1</v>
      </c>
    </row>
    <row r="408" spans="1:28" x14ac:dyDescent="0.25">
      <c r="A408" t="s">
        <v>33</v>
      </c>
      <c r="B408" t="s">
        <v>1671</v>
      </c>
      <c r="C408" t="s">
        <v>21</v>
      </c>
      <c r="D408" t="s">
        <v>1671</v>
      </c>
      <c r="E408" t="s">
        <v>334</v>
      </c>
      <c r="F408" t="s">
        <v>505</v>
      </c>
      <c r="G408" t="s">
        <v>24</v>
      </c>
      <c r="H408" t="s">
        <v>1672</v>
      </c>
      <c r="I408" t="s">
        <v>46</v>
      </c>
      <c r="N408" t="s">
        <v>287</v>
      </c>
      <c r="S408" t="s">
        <v>48</v>
      </c>
      <c r="V408" t="s">
        <v>5623</v>
      </c>
      <c r="W408" t="s">
        <v>287</v>
      </c>
      <c r="X408" s="2">
        <f>IFERROR(VLOOKUP(I408,'Rate Sheet'!$D:$F,3,FALSE),0)</f>
        <v>14.333333333333334</v>
      </c>
      <c r="Y408" s="2">
        <f>IFERROR(VLOOKUP(J408,'Rate Sheet'!$D:$F,3,FALSE),0)</f>
        <v>0</v>
      </c>
      <c r="Z408" s="2">
        <f>IFERROR(VLOOKUP(K408,'Rate Sheet'!$D:$F,3,FALSE),0)</f>
        <v>0</v>
      </c>
      <c r="AA408" s="2">
        <f t="shared" si="6"/>
        <v>14.333333333333334</v>
      </c>
      <c r="AB408">
        <v>1</v>
      </c>
    </row>
    <row r="409" spans="1:28" x14ac:dyDescent="0.25">
      <c r="A409" t="s">
        <v>33</v>
      </c>
      <c r="B409" t="s">
        <v>1673</v>
      </c>
      <c r="C409" t="s">
        <v>29</v>
      </c>
      <c r="D409" t="s">
        <v>1673</v>
      </c>
      <c r="E409" t="s">
        <v>667</v>
      </c>
      <c r="F409" t="s">
        <v>1674</v>
      </c>
      <c r="G409" t="s">
        <v>24</v>
      </c>
      <c r="H409" t="s">
        <v>1675</v>
      </c>
      <c r="I409" t="s">
        <v>46</v>
      </c>
      <c r="N409" t="s">
        <v>246</v>
      </c>
      <c r="S409" t="s">
        <v>48</v>
      </c>
      <c r="V409" t="s">
        <v>5661</v>
      </c>
      <c r="W409" t="s">
        <v>246</v>
      </c>
      <c r="X409" s="2">
        <f>IFERROR(VLOOKUP(I409,'Rate Sheet'!$D:$F,3,FALSE),0)</f>
        <v>14.333333333333334</v>
      </c>
      <c r="Y409" s="2">
        <f>IFERROR(VLOOKUP(J409,'Rate Sheet'!$D:$F,3,FALSE),0)</f>
        <v>0</v>
      </c>
      <c r="Z409" s="2">
        <f>IFERROR(VLOOKUP(K409,'Rate Sheet'!$D:$F,3,FALSE),0)</f>
        <v>0</v>
      </c>
      <c r="AA409" s="2">
        <f t="shared" si="6"/>
        <v>14.333333333333334</v>
      </c>
      <c r="AB409">
        <v>1</v>
      </c>
    </row>
    <row r="410" spans="1:28" x14ac:dyDescent="0.25">
      <c r="A410" t="s">
        <v>33</v>
      </c>
      <c r="B410" t="s">
        <v>1676</v>
      </c>
      <c r="C410" t="s">
        <v>21</v>
      </c>
      <c r="D410" t="s">
        <v>1676</v>
      </c>
      <c r="E410" t="s">
        <v>424</v>
      </c>
      <c r="F410" t="s">
        <v>1677</v>
      </c>
      <c r="G410" t="s">
        <v>24</v>
      </c>
      <c r="H410" t="s">
        <v>1678</v>
      </c>
      <c r="I410" t="s">
        <v>46</v>
      </c>
      <c r="N410" t="s">
        <v>53</v>
      </c>
      <c r="S410" t="s">
        <v>48</v>
      </c>
      <c r="V410" t="s">
        <v>5640</v>
      </c>
      <c r="W410" t="s">
        <v>5641</v>
      </c>
      <c r="X410" s="2">
        <f>IFERROR(VLOOKUP(I410,'Rate Sheet'!$D:$F,3,FALSE),0)</f>
        <v>14.333333333333334</v>
      </c>
      <c r="Y410" s="2">
        <f>IFERROR(VLOOKUP(J410,'Rate Sheet'!$D:$F,3,FALSE),0)</f>
        <v>0</v>
      </c>
      <c r="Z410" s="2">
        <f>IFERROR(VLOOKUP(K410,'Rate Sheet'!$D:$F,3,FALSE),0)</f>
        <v>0</v>
      </c>
      <c r="AA410" s="2">
        <f t="shared" si="6"/>
        <v>14.333333333333334</v>
      </c>
      <c r="AB410">
        <v>1</v>
      </c>
    </row>
    <row r="411" spans="1:28" x14ac:dyDescent="0.25">
      <c r="A411" t="s">
        <v>33</v>
      </c>
      <c r="B411" t="s">
        <v>1679</v>
      </c>
      <c r="C411" t="s">
        <v>21</v>
      </c>
      <c r="D411" t="s">
        <v>1679</v>
      </c>
      <c r="E411" t="s">
        <v>1680</v>
      </c>
      <c r="F411" t="s">
        <v>1681</v>
      </c>
      <c r="G411" t="s">
        <v>24</v>
      </c>
      <c r="H411" t="s">
        <v>1682</v>
      </c>
      <c r="N411" t="s">
        <v>185</v>
      </c>
      <c r="X411" s="2">
        <f>IFERROR(VLOOKUP(I411,'Rate Sheet'!$D:$F,3,FALSE),0)</f>
        <v>0</v>
      </c>
      <c r="Y411" s="2">
        <f>IFERROR(VLOOKUP(J411,'Rate Sheet'!$D:$F,3,FALSE),0)</f>
        <v>0</v>
      </c>
      <c r="Z411" s="2">
        <f>IFERROR(VLOOKUP(K411,'Rate Sheet'!$D:$F,3,FALSE),0)</f>
        <v>0</v>
      </c>
      <c r="AA411" s="2">
        <f t="shared" si="6"/>
        <v>0</v>
      </c>
    </row>
    <row r="412" spans="1:28" x14ac:dyDescent="0.25">
      <c r="A412" t="s">
        <v>33</v>
      </c>
      <c r="B412" t="s">
        <v>1683</v>
      </c>
      <c r="C412" t="s">
        <v>21</v>
      </c>
      <c r="D412" t="s">
        <v>1683</v>
      </c>
      <c r="E412" t="s">
        <v>1684</v>
      </c>
      <c r="F412" t="s">
        <v>1685</v>
      </c>
      <c r="G412" t="s">
        <v>24</v>
      </c>
      <c r="H412" t="s">
        <v>1686</v>
      </c>
      <c r="I412" t="s">
        <v>46</v>
      </c>
      <c r="N412" t="s">
        <v>647</v>
      </c>
      <c r="S412" t="s">
        <v>48</v>
      </c>
      <c r="V412" t="s">
        <v>5707</v>
      </c>
      <c r="W412" t="s">
        <v>2014</v>
      </c>
      <c r="X412" s="2">
        <f>IFERROR(VLOOKUP(I412,'Rate Sheet'!$D:$F,3,FALSE),0)</f>
        <v>14.333333333333334</v>
      </c>
      <c r="Y412" s="2">
        <f>IFERROR(VLOOKUP(J412,'Rate Sheet'!$D:$F,3,FALSE),0)</f>
        <v>0</v>
      </c>
      <c r="Z412" s="2">
        <f>IFERROR(VLOOKUP(K412,'Rate Sheet'!$D:$F,3,FALSE),0)</f>
        <v>0</v>
      </c>
      <c r="AA412" s="2">
        <f t="shared" si="6"/>
        <v>14.333333333333334</v>
      </c>
      <c r="AB412">
        <v>1</v>
      </c>
    </row>
    <row r="413" spans="1:28" x14ac:dyDescent="0.25">
      <c r="A413" t="s">
        <v>33</v>
      </c>
      <c r="B413" t="s">
        <v>1687</v>
      </c>
      <c r="C413" t="s">
        <v>21</v>
      </c>
      <c r="D413" t="s">
        <v>1687</v>
      </c>
      <c r="E413" t="s">
        <v>816</v>
      </c>
      <c r="F413" t="s">
        <v>1688</v>
      </c>
      <c r="G413" t="s">
        <v>24</v>
      </c>
      <c r="H413" t="s">
        <v>1689</v>
      </c>
      <c r="I413" t="s">
        <v>46</v>
      </c>
      <c r="N413" t="s">
        <v>63</v>
      </c>
      <c r="S413" t="s">
        <v>48</v>
      </c>
      <c r="V413" t="s">
        <v>5584</v>
      </c>
      <c r="W413" t="s">
        <v>63</v>
      </c>
      <c r="X413" s="2">
        <f>IFERROR(VLOOKUP(I413,'Rate Sheet'!$D:$F,3,FALSE),0)</f>
        <v>14.333333333333334</v>
      </c>
      <c r="Y413" s="2">
        <f>IFERROR(VLOOKUP(J413,'Rate Sheet'!$D:$F,3,FALSE),0)</f>
        <v>0</v>
      </c>
      <c r="Z413" s="2">
        <f>IFERROR(VLOOKUP(K413,'Rate Sheet'!$D:$F,3,FALSE),0)</f>
        <v>0</v>
      </c>
      <c r="AA413" s="2">
        <f t="shared" si="6"/>
        <v>14.333333333333334</v>
      </c>
      <c r="AB413">
        <v>1</v>
      </c>
    </row>
    <row r="414" spans="1:28" x14ac:dyDescent="0.25">
      <c r="A414" t="s">
        <v>33</v>
      </c>
      <c r="B414" t="s">
        <v>1690</v>
      </c>
      <c r="C414" t="s">
        <v>21</v>
      </c>
      <c r="D414" t="s">
        <v>1690</v>
      </c>
      <c r="E414" t="s">
        <v>22</v>
      </c>
      <c r="F414" t="s">
        <v>1691</v>
      </c>
      <c r="G414" t="s">
        <v>24</v>
      </c>
      <c r="H414" t="s">
        <v>1692</v>
      </c>
      <c r="I414" t="s">
        <v>46</v>
      </c>
      <c r="N414" t="s">
        <v>185</v>
      </c>
      <c r="S414" t="s">
        <v>48</v>
      </c>
      <c r="V414" t="s">
        <v>5610</v>
      </c>
      <c r="W414" t="s">
        <v>5611</v>
      </c>
      <c r="X414" s="2">
        <f>IFERROR(VLOOKUP(I414,'Rate Sheet'!$D:$F,3,FALSE),0)</f>
        <v>14.333333333333334</v>
      </c>
      <c r="Y414" s="2">
        <f>IFERROR(VLOOKUP(J414,'Rate Sheet'!$D:$F,3,FALSE),0)</f>
        <v>0</v>
      </c>
      <c r="Z414" s="2">
        <f>IFERROR(VLOOKUP(K414,'Rate Sheet'!$D:$F,3,FALSE),0)</f>
        <v>0</v>
      </c>
      <c r="AA414" s="2">
        <f t="shared" si="6"/>
        <v>14.333333333333334</v>
      </c>
      <c r="AB414">
        <v>1</v>
      </c>
    </row>
    <row r="415" spans="1:28" x14ac:dyDescent="0.25">
      <c r="A415" t="s">
        <v>33</v>
      </c>
      <c r="B415" t="s">
        <v>1693</v>
      </c>
      <c r="C415" t="s">
        <v>21</v>
      </c>
      <c r="D415" t="s">
        <v>1693</v>
      </c>
      <c r="E415" t="s">
        <v>1694</v>
      </c>
      <c r="F415" t="s">
        <v>1695</v>
      </c>
      <c r="G415" t="s">
        <v>24</v>
      </c>
      <c r="H415" t="s">
        <v>1696</v>
      </c>
      <c r="N415" t="s">
        <v>1697</v>
      </c>
      <c r="X415" s="2">
        <f>IFERROR(VLOOKUP(I415,'Rate Sheet'!$D:$F,3,FALSE),0)</f>
        <v>0</v>
      </c>
      <c r="Y415" s="2">
        <f>IFERROR(VLOOKUP(J415,'Rate Sheet'!$D:$F,3,FALSE),0)</f>
        <v>0</v>
      </c>
      <c r="Z415" s="2">
        <f>IFERROR(VLOOKUP(K415,'Rate Sheet'!$D:$F,3,FALSE),0)</f>
        <v>0</v>
      </c>
      <c r="AA415" s="2">
        <f t="shared" si="6"/>
        <v>0</v>
      </c>
    </row>
    <row r="416" spans="1:28" x14ac:dyDescent="0.25">
      <c r="A416" t="s">
        <v>33</v>
      </c>
      <c r="B416" t="s">
        <v>1698</v>
      </c>
      <c r="C416" t="s">
        <v>21</v>
      </c>
      <c r="D416" t="s">
        <v>1698</v>
      </c>
      <c r="E416" t="s">
        <v>1699</v>
      </c>
      <c r="F416" t="s">
        <v>1512</v>
      </c>
      <c r="G416" t="s">
        <v>24</v>
      </c>
      <c r="H416" s="1" t="s">
        <v>1700</v>
      </c>
      <c r="I416" t="s">
        <v>46</v>
      </c>
      <c r="N416" t="s">
        <v>1624</v>
      </c>
      <c r="S416" t="s">
        <v>48</v>
      </c>
      <c r="V416" t="s">
        <v>5610</v>
      </c>
      <c r="W416" t="s">
        <v>5611</v>
      </c>
      <c r="X416" s="2">
        <f>IFERROR(VLOOKUP(I416,'Rate Sheet'!$D:$F,3,FALSE),0)</f>
        <v>14.333333333333334</v>
      </c>
      <c r="Y416" s="2">
        <f>IFERROR(VLOOKUP(J416,'Rate Sheet'!$D:$F,3,FALSE),0)</f>
        <v>0</v>
      </c>
      <c r="Z416" s="2">
        <f>IFERROR(VLOOKUP(K416,'Rate Sheet'!$D:$F,3,FALSE),0)</f>
        <v>0</v>
      </c>
      <c r="AA416" s="2">
        <f t="shared" si="6"/>
        <v>14.333333333333334</v>
      </c>
      <c r="AB416">
        <v>1</v>
      </c>
    </row>
    <row r="417" spans="1:28" x14ac:dyDescent="0.25">
      <c r="A417" t="s">
        <v>33</v>
      </c>
      <c r="B417" t="s">
        <v>1701</v>
      </c>
      <c r="C417" t="s">
        <v>21</v>
      </c>
      <c r="D417" t="s">
        <v>1701</v>
      </c>
      <c r="E417" t="s">
        <v>1283</v>
      </c>
      <c r="F417" t="s">
        <v>1702</v>
      </c>
      <c r="G417" t="s">
        <v>24</v>
      </c>
      <c r="H417" t="s">
        <v>1703</v>
      </c>
      <c r="I417" t="s">
        <v>46</v>
      </c>
      <c r="N417" t="s">
        <v>1624</v>
      </c>
      <c r="S417" t="s">
        <v>48</v>
      </c>
      <c r="V417" t="s">
        <v>5610</v>
      </c>
      <c r="W417" t="s">
        <v>5611</v>
      </c>
      <c r="X417" s="2">
        <f>IFERROR(VLOOKUP(I417,'Rate Sheet'!$D:$F,3,FALSE),0)</f>
        <v>14.333333333333334</v>
      </c>
      <c r="Y417" s="2">
        <f>IFERROR(VLOOKUP(J417,'Rate Sheet'!$D:$F,3,FALSE),0)</f>
        <v>0</v>
      </c>
      <c r="Z417" s="2">
        <f>IFERROR(VLOOKUP(K417,'Rate Sheet'!$D:$F,3,FALSE),0)</f>
        <v>0</v>
      </c>
      <c r="AA417" s="2">
        <f t="shared" si="6"/>
        <v>14.333333333333334</v>
      </c>
      <c r="AB417">
        <v>1</v>
      </c>
    </row>
    <row r="418" spans="1:28" x14ac:dyDescent="0.25">
      <c r="A418" t="s">
        <v>33</v>
      </c>
      <c r="B418" t="s">
        <v>1704</v>
      </c>
      <c r="C418" t="s">
        <v>21</v>
      </c>
      <c r="D418" t="s">
        <v>1704</v>
      </c>
      <c r="E418" t="s">
        <v>1705</v>
      </c>
      <c r="F418" t="s">
        <v>1706</v>
      </c>
      <c r="G418" t="s">
        <v>24</v>
      </c>
      <c r="H418" s="1" t="s">
        <v>1707</v>
      </c>
      <c r="N418" t="s">
        <v>138</v>
      </c>
      <c r="X418" s="2">
        <f>IFERROR(VLOOKUP(I418,'Rate Sheet'!$D:$F,3,FALSE),0)</f>
        <v>0</v>
      </c>
      <c r="Y418" s="2">
        <f>IFERROR(VLOOKUP(J418,'Rate Sheet'!$D:$F,3,FALSE),0)</f>
        <v>0</v>
      </c>
      <c r="Z418" s="2">
        <f>IFERROR(VLOOKUP(K418,'Rate Sheet'!$D:$F,3,FALSE),0)</f>
        <v>0</v>
      </c>
      <c r="AA418" s="2">
        <f t="shared" si="6"/>
        <v>0</v>
      </c>
    </row>
    <row r="419" spans="1:28" x14ac:dyDescent="0.25">
      <c r="A419" t="s">
        <v>33</v>
      </c>
      <c r="B419" t="s">
        <v>1708</v>
      </c>
      <c r="C419" t="s">
        <v>21</v>
      </c>
      <c r="D419" t="s">
        <v>1708</v>
      </c>
      <c r="E419" t="s">
        <v>1063</v>
      </c>
      <c r="F419" t="s">
        <v>1709</v>
      </c>
      <c r="G419" t="s">
        <v>24</v>
      </c>
      <c r="H419" t="s">
        <v>1710</v>
      </c>
      <c r="N419" t="s">
        <v>138</v>
      </c>
      <c r="X419" s="2">
        <f>IFERROR(VLOOKUP(I419,'Rate Sheet'!$D:$F,3,FALSE),0)</f>
        <v>0</v>
      </c>
      <c r="Y419" s="2">
        <f>IFERROR(VLOOKUP(J419,'Rate Sheet'!$D:$F,3,FALSE),0)</f>
        <v>0</v>
      </c>
      <c r="Z419" s="2">
        <f>IFERROR(VLOOKUP(K419,'Rate Sheet'!$D:$F,3,FALSE),0)</f>
        <v>0</v>
      </c>
      <c r="AA419" s="2">
        <f t="shared" si="6"/>
        <v>0</v>
      </c>
    </row>
    <row r="420" spans="1:28" x14ac:dyDescent="0.25">
      <c r="A420" t="s">
        <v>33</v>
      </c>
      <c r="B420" t="s">
        <v>1711</v>
      </c>
      <c r="C420" t="s">
        <v>21</v>
      </c>
      <c r="D420" t="s">
        <v>1711</v>
      </c>
      <c r="E420" t="s">
        <v>346</v>
      </c>
      <c r="F420" t="s">
        <v>1712</v>
      </c>
      <c r="G420" t="s">
        <v>24</v>
      </c>
      <c r="H420" t="s">
        <v>1713</v>
      </c>
      <c r="I420" t="s">
        <v>46</v>
      </c>
      <c r="N420" t="s">
        <v>185</v>
      </c>
      <c r="S420" t="s">
        <v>48</v>
      </c>
      <c r="V420" t="s">
        <v>5610</v>
      </c>
      <c r="W420" t="s">
        <v>5611</v>
      </c>
      <c r="X420" s="2">
        <f>IFERROR(VLOOKUP(I420,'Rate Sheet'!$D:$F,3,FALSE),0)</f>
        <v>14.333333333333334</v>
      </c>
      <c r="Y420" s="2">
        <f>IFERROR(VLOOKUP(J420,'Rate Sheet'!$D:$F,3,FALSE),0)</f>
        <v>0</v>
      </c>
      <c r="Z420" s="2">
        <f>IFERROR(VLOOKUP(K420,'Rate Sheet'!$D:$F,3,FALSE),0)</f>
        <v>0</v>
      </c>
      <c r="AA420" s="2">
        <f t="shared" si="6"/>
        <v>14.333333333333334</v>
      </c>
      <c r="AB420">
        <v>1</v>
      </c>
    </row>
    <row r="421" spans="1:28" x14ac:dyDescent="0.25">
      <c r="A421" t="s">
        <v>33</v>
      </c>
      <c r="B421" t="s">
        <v>1714</v>
      </c>
      <c r="C421" t="s">
        <v>21</v>
      </c>
      <c r="D421" t="s">
        <v>1714</v>
      </c>
      <c r="E421" t="s">
        <v>22</v>
      </c>
      <c r="F421" t="s">
        <v>1715</v>
      </c>
      <c r="G421" t="s">
        <v>24</v>
      </c>
      <c r="H421" t="s">
        <v>1716</v>
      </c>
      <c r="I421" t="s">
        <v>46</v>
      </c>
      <c r="N421" t="s">
        <v>185</v>
      </c>
      <c r="S421" t="s">
        <v>48</v>
      </c>
      <c r="V421" t="s">
        <v>5610</v>
      </c>
      <c r="W421" t="s">
        <v>5611</v>
      </c>
      <c r="X421" s="2">
        <f>IFERROR(VLOOKUP(I421,'Rate Sheet'!$D:$F,3,FALSE),0)</f>
        <v>14.333333333333334</v>
      </c>
      <c r="Y421" s="2">
        <f>IFERROR(VLOOKUP(J421,'Rate Sheet'!$D:$F,3,FALSE),0)</f>
        <v>0</v>
      </c>
      <c r="Z421" s="2">
        <f>IFERROR(VLOOKUP(K421,'Rate Sheet'!$D:$F,3,FALSE),0)</f>
        <v>0</v>
      </c>
      <c r="AA421" s="2">
        <f t="shared" si="6"/>
        <v>14.333333333333334</v>
      </c>
      <c r="AB421">
        <v>1</v>
      </c>
    </row>
    <row r="422" spans="1:28" x14ac:dyDescent="0.25">
      <c r="A422" t="s">
        <v>33</v>
      </c>
      <c r="B422" t="s">
        <v>1717</v>
      </c>
      <c r="C422" t="s">
        <v>21</v>
      </c>
      <c r="D422" t="s">
        <v>1717</v>
      </c>
      <c r="E422" t="s">
        <v>1430</v>
      </c>
      <c r="F422" t="s">
        <v>699</v>
      </c>
      <c r="G422" t="s">
        <v>24</v>
      </c>
      <c r="H422" t="s">
        <v>1718</v>
      </c>
      <c r="I422" t="s">
        <v>46</v>
      </c>
      <c r="N422" t="s">
        <v>185</v>
      </c>
      <c r="S422" t="s">
        <v>48</v>
      </c>
      <c r="V422" t="s">
        <v>5610</v>
      </c>
      <c r="W422" t="s">
        <v>5611</v>
      </c>
      <c r="X422" s="2">
        <f>IFERROR(VLOOKUP(I422,'Rate Sheet'!$D:$F,3,FALSE),0)</f>
        <v>14.333333333333334</v>
      </c>
      <c r="Y422" s="2">
        <f>IFERROR(VLOOKUP(J422,'Rate Sheet'!$D:$F,3,FALSE),0)</f>
        <v>0</v>
      </c>
      <c r="Z422" s="2">
        <f>IFERROR(VLOOKUP(K422,'Rate Sheet'!$D:$F,3,FALSE),0)</f>
        <v>0</v>
      </c>
      <c r="AA422" s="2">
        <f t="shared" si="6"/>
        <v>14.333333333333334</v>
      </c>
      <c r="AB422">
        <v>1</v>
      </c>
    </row>
    <row r="423" spans="1:28" x14ac:dyDescent="0.25">
      <c r="A423" t="s">
        <v>33</v>
      </c>
      <c r="B423" t="s">
        <v>1719</v>
      </c>
      <c r="C423" t="s">
        <v>21</v>
      </c>
      <c r="D423" t="s">
        <v>1719</v>
      </c>
      <c r="E423" t="s">
        <v>1720</v>
      </c>
      <c r="F423" t="s">
        <v>1721</v>
      </c>
      <c r="G423" t="s">
        <v>24</v>
      </c>
      <c r="H423" t="s">
        <v>1722</v>
      </c>
      <c r="N423" t="s">
        <v>185</v>
      </c>
      <c r="X423" s="2">
        <f>IFERROR(VLOOKUP(I423,'Rate Sheet'!$D:$F,3,FALSE),0)</f>
        <v>0</v>
      </c>
      <c r="Y423" s="2">
        <f>IFERROR(VLOOKUP(J423,'Rate Sheet'!$D:$F,3,FALSE),0)</f>
        <v>0</v>
      </c>
      <c r="Z423" s="2">
        <f>IFERROR(VLOOKUP(K423,'Rate Sheet'!$D:$F,3,FALSE),0)</f>
        <v>0</v>
      </c>
      <c r="AA423" s="2">
        <f t="shared" si="6"/>
        <v>0</v>
      </c>
    </row>
    <row r="424" spans="1:28" x14ac:dyDescent="0.25">
      <c r="A424" t="s">
        <v>33</v>
      </c>
      <c r="B424" t="s">
        <v>1723</v>
      </c>
      <c r="C424" t="s">
        <v>21</v>
      </c>
      <c r="D424" t="s">
        <v>1723</v>
      </c>
      <c r="E424" t="s">
        <v>1724</v>
      </c>
      <c r="F424" t="s">
        <v>1725</v>
      </c>
      <c r="G424" t="s">
        <v>24</v>
      </c>
      <c r="H424" t="s">
        <v>1726</v>
      </c>
      <c r="N424" t="s">
        <v>53</v>
      </c>
      <c r="X424" s="2">
        <f>IFERROR(VLOOKUP(I424,'Rate Sheet'!$D:$F,3,FALSE),0)</f>
        <v>0</v>
      </c>
      <c r="Y424" s="2">
        <f>IFERROR(VLOOKUP(J424,'Rate Sheet'!$D:$F,3,FALSE),0)</f>
        <v>0</v>
      </c>
      <c r="Z424" s="2">
        <f>IFERROR(VLOOKUP(K424,'Rate Sheet'!$D:$F,3,FALSE),0)</f>
        <v>0</v>
      </c>
      <c r="AA424" s="2">
        <f t="shared" si="6"/>
        <v>0</v>
      </c>
    </row>
    <row r="425" spans="1:28" x14ac:dyDescent="0.25">
      <c r="A425" t="s">
        <v>33</v>
      </c>
      <c r="B425" t="s">
        <v>1727</v>
      </c>
      <c r="C425" t="s">
        <v>21</v>
      </c>
      <c r="D425" t="s">
        <v>1727</v>
      </c>
      <c r="E425" t="s">
        <v>1063</v>
      </c>
      <c r="F425" t="s">
        <v>1728</v>
      </c>
      <c r="G425" t="s">
        <v>24</v>
      </c>
      <c r="H425" t="s">
        <v>1729</v>
      </c>
      <c r="I425" t="s">
        <v>46</v>
      </c>
      <c r="N425" t="s">
        <v>185</v>
      </c>
      <c r="S425" t="s">
        <v>48</v>
      </c>
      <c r="V425" t="s">
        <v>5610</v>
      </c>
      <c r="W425" t="s">
        <v>5611</v>
      </c>
      <c r="X425" s="2">
        <f>IFERROR(VLOOKUP(I425,'Rate Sheet'!$D:$F,3,FALSE),0)</f>
        <v>14.333333333333334</v>
      </c>
      <c r="Y425" s="2">
        <f>IFERROR(VLOOKUP(J425,'Rate Sheet'!$D:$F,3,FALSE),0)</f>
        <v>0</v>
      </c>
      <c r="Z425" s="2">
        <f>IFERROR(VLOOKUP(K425,'Rate Sheet'!$D:$F,3,FALSE),0)</f>
        <v>0</v>
      </c>
      <c r="AA425" s="2">
        <f t="shared" si="6"/>
        <v>14.333333333333334</v>
      </c>
      <c r="AB425">
        <v>1</v>
      </c>
    </row>
    <row r="426" spans="1:28" x14ac:dyDescent="0.25">
      <c r="A426" t="s">
        <v>33</v>
      </c>
      <c r="B426" t="s">
        <v>1730</v>
      </c>
      <c r="C426" t="s">
        <v>21</v>
      </c>
      <c r="D426" t="s">
        <v>1730</v>
      </c>
      <c r="E426" t="s">
        <v>1731</v>
      </c>
      <c r="F426" t="s">
        <v>1732</v>
      </c>
      <c r="G426" t="s">
        <v>24</v>
      </c>
      <c r="H426" t="s">
        <v>1733</v>
      </c>
      <c r="I426" t="s">
        <v>46</v>
      </c>
      <c r="N426" t="s">
        <v>53</v>
      </c>
      <c r="S426" t="s">
        <v>48</v>
      </c>
      <c r="V426" t="s">
        <v>5580</v>
      </c>
      <c r="W426" t="s">
        <v>5581</v>
      </c>
      <c r="X426" s="2">
        <f>IFERROR(VLOOKUP(I426,'Rate Sheet'!$D:$F,3,FALSE),0)</f>
        <v>14.333333333333334</v>
      </c>
      <c r="Y426" s="2">
        <f>IFERROR(VLOOKUP(J426,'Rate Sheet'!$D:$F,3,FALSE),0)</f>
        <v>0</v>
      </c>
      <c r="Z426" s="2">
        <f>IFERROR(VLOOKUP(K426,'Rate Sheet'!$D:$F,3,FALSE),0)</f>
        <v>0</v>
      </c>
      <c r="AA426" s="2">
        <f t="shared" si="6"/>
        <v>14.333333333333334</v>
      </c>
      <c r="AB426">
        <v>1</v>
      </c>
    </row>
    <row r="427" spans="1:28" x14ac:dyDescent="0.25">
      <c r="A427" t="s">
        <v>33</v>
      </c>
      <c r="B427" t="s">
        <v>1734</v>
      </c>
      <c r="C427" t="s">
        <v>21</v>
      </c>
      <c r="D427" t="s">
        <v>1734</v>
      </c>
      <c r="E427" t="s">
        <v>464</v>
      </c>
      <c r="F427" t="s">
        <v>1735</v>
      </c>
      <c r="G427" t="s">
        <v>24</v>
      </c>
      <c r="H427" t="s">
        <v>1736</v>
      </c>
      <c r="I427" t="s">
        <v>46</v>
      </c>
      <c r="N427" t="s">
        <v>185</v>
      </c>
      <c r="S427" t="s">
        <v>48</v>
      </c>
      <c r="V427" t="s">
        <v>5610</v>
      </c>
      <c r="W427" t="s">
        <v>5611</v>
      </c>
      <c r="X427" s="2">
        <f>IFERROR(VLOOKUP(I427,'Rate Sheet'!$D:$F,3,FALSE),0)</f>
        <v>14.333333333333334</v>
      </c>
      <c r="Y427" s="2">
        <f>IFERROR(VLOOKUP(J427,'Rate Sheet'!$D:$F,3,FALSE),0)</f>
        <v>0</v>
      </c>
      <c r="Z427" s="2">
        <f>IFERROR(VLOOKUP(K427,'Rate Sheet'!$D:$F,3,FALSE),0)</f>
        <v>0</v>
      </c>
      <c r="AA427" s="2">
        <f t="shared" si="6"/>
        <v>14.333333333333334</v>
      </c>
      <c r="AB427">
        <v>1</v>
      </c>
    </row>
    <row r="428" spans="1:28" x14ac:dyDescent="0.25">
      <c r="A428" t="s">
        <v>33</v>
      </c>
      <c r="B428" t="s">
        <v>1737</v>
      </c>
      <c r="C428" t="s">
        <v>21</v>
      </c>
      <c r="D428" t="s">
        <v>1737</v>
      </c>
      <c r="E428" t="s">
        <v>1738</v>
      </c>
      <c r="F428" t="s">
        <v>1739</v>
      </c>
      <c r="G428" t="s">
        <v>24</v>
      </c>
      <c r="H428" t="s">
        <v>1740</v>
      </c>
      <c r="I428" t="s">
        <v>46</v>
      </c>
      <c r="N428" t="s">
        <v>185</v>
      </c>
      <c r="S428" t="s">
        <v>48</v>
      </c>
      <c r="V428" t="s">
        <v>5610</v>
      </c>
      <c r="W428" t="s">
        <v>5611</v>
      </c>
      <c r="X428" s="2">
        <f>IFERROR(VLOOKUP(I428,'Rate Sheet'!$D:$F,3,FALSE),0)</f>
        <v>14.333333333333334</v>
      </c>
      <c r="Y428" s="2">
        <f>IFERROR(VLOOKUP(J428,'Rate Sheet'!$D:$F,3,FALSE),0)</f>
        <v>0</v>
      </c>
      <c r="Z428" s="2">
        <f>IFERROR(VLOOKUP(K428,'Rate Sheet'!$D:$F,3,FALSE),0)</f>
        <v>0</v>
      </c>
      <c r="AA428" s="2">
        <f t="shared" si="6"/>
        <v>14.333333333333334</v>
      </c>
      <c r="AB428">
        <v>1</v>
      </c>
    </row>
    <row r="429" spans="1:28" x14ac:dyDescent="0.25">
      <c r="A429" t="s">
        <v>33</v>
      </c>
      <c r="B429" t="s">
        <v>1741</v>
      </c>
      <c r="C429" t="s">
        <v>21</v>
      </c>
      <c r="D429" t="s">
        <v>1741</v>
      </c>
      <c r="E429" t="s">
        <v>685</v>
      </c>
      <c r="F429" t="s">
        <v>1742</v>
      </c>
      <c r="G429" t="s">
        <v>24</v>
      </c>
      <c r="H429" t="s">
        <v>1743</v>
      </c>
      <c r="I429" t="s">
        <v>46</v>
      </c>
      <c r="N429" t="s">
        <v>185</v>
      </c>
      <c r="S429" t="s">
        <v>48</v>
      </c>
      <c r="V429" t="s">
        <v>5610</v>
      </c>
      <c r="W429" t="s">
        <v>5611</v>
      </c>
      <c r="X429" s="2">
        <f>IFERROR(VLOOKUP(I429,'Rate Sheet'!$D:$F,3,FALSE),0)</f>
        <v>14.333333333333334</v>
      </c>
      <c r="Y429" s="2">
        <f>IFERROR(VLOOKUP(J429,'Rate Sheet'!$D:$F,3,FALSE),0)</f>
        <v>0</v>
      </c>
      <c r="Z429" s="2">
        <f>IFERROR(VLOOKUP(K429,'Rate Sheet'!$D:$F,3,FALSE),0)</f>
        <v>0</v>
      </c>
      <c r="AA429" s="2">
        <f t="shared" si="6"/>
        <v>14.333333333333334</v>
      </c>
      <c r="AB429">
        <v>1</v>
      </c>
    </row>
    <row r="430" spans="1:28" x14ac:dyDescent="0.25">
      <c r="A430" t="s">
        <v>33</v>
      </c>
      <c r="B430" t="s">
        <v>1744</v>
      </c>
      <c r="C430" t="s">
        <v>21</v>
      </c>
      <c r="D430" t="s">
        <v>1744</v>
      </c>
      <c r="E430" t="s">
        <v>1745</v>
      </c>
      <c r="F430" t="s">
        <v>1746</v>
      </c>
      <c r="G430" t="s">
        <v>24</v>
      </c>
      <c r="H430" t="s">
        <v>1747</v>
      </c>
      <c r="I430" t="s">
        <v>46</v>
      </c>
      <c r="N430" t="s">
        <v>185</v>
      </c>
      <c r="S430" t="s">
        <v>48</v>
      </c>
      <c r="V430" t="s">
        <v>5610</v>
      </c>
      <c r="W430" t="s">
        <v>5611</v>
      </c>
      <c r="X430" s="2">
        <f>IFERROR(VLOOKUP(I430,'Rate Sheet'!$D:$F,3,FALSE),0)</f>
        <v>14.333333333333334</v>
      </c>
      <c r="Y430" s="2">
        <f>IFERROR(VLOOKUP(J430,'Rate Sheet'!$D:$F,3,FALSE),0)</f>
        <v>0</v>
      </c>
      <c r="Z430" s="2">
        <f>IFERROR(VLOOKUP(K430,'Rate Sheet'!$D:$F,3,FALSE),0)</f>
        <v>0</v>
      </c>
      <c r="AA430" s="2">
        <f t="shared" si="6"/>
        <v>14.333333333333334</v>
      </c>
      <c r="AB430">
        <v>1</v>
      </c>
    </row>
    <row r="431" spans="1:28" x14ac:dyDescent="0.25">
      <c r="A431" t="s">
        <v>33</v>
      </c>
      <c r="B431" t="s">
        <v>1748</v>
      </c>
      <c r="C431" t="s">
        <v>21</v>
      </c>
      <c r="D431" t="s">
        <v>1748</v>
      </c>
      <c r="E431" t="s">
        <v>1749</v>
      </c>
      <c r="F431" t="s">
        <v>1750</v>
      </c>
      <c r="G431" t="s">
        <v>24</v>
      </c>
      <c r="H431" t="s">
        <v>1751</v>
      </c>
      <c r="I431" t="s">
        <v>46</v>
      </c>
      <c r="N431" t="s">
        <v>185</v>
      </c>
      <c r="S431" t="s">
        <v>48</v>
      </c>
      <c r="V431" t="s">
        <v>5710</v>
      </c>
      <c r="W431" t="s">
        <v>5711</v>
      </c>
      <c r="X431" s="2">
        <f>IFERROR(VLOOKUP(I431,'Rate Sheet'!$D:$F,3,FALSE),0)</f>
        <v>14.333333333333334</v>
      </c>
      <c r="Y431" s="2">
        <f>IFERROR(VLOOKUP(J431,'Rate Sheet'!$D:$F,3,FALSE),0)</f>
        <v>0</v>
      </c>
      <c r="Z431" s="2">
        <f>IFERROR(VLOOKUP(K431,'Rate Sheet'!$D:$F,3,FALSE),0)</f>
        <v>0</v>
      </c>
      <c r="AA431" s="2">
        <f t="shared" si="6"/>
        <v>14.333333333333334</v>
      </c>
      <c r="AB431">
        <v>1</v>
      </c>
    </row>
    <row r="432" spans="1:28" x14ac:dyDescent="0.25">
      <c r="A432" t="s">
        <v>33</v>
      </c>
      <c r="B432" t="s">
        <v>1752</v>
      </c>
      <c r="C432" t="s">
        <v>21</v>
      </c>
      <c r="D432" t="s">
        <v>1752</v>
      </c>
      <c r="E432" t="s">
        <v>835</v>
      </c>
      <c r="F432" t="s">
        <v>1753</v>
      </c>
      <c r="G432" t="s">
        <v>24</v>
      </c>
      <c r="H432" t="s">
        <v>1754</v>
      </c>
      <c r="I432" t="s">
        <v>46</v>
      </c>
      <c r="N432" t="s">
        <v>185</v>
      </c>
      <c r="S432" t="s">
        <v>48</v>
      </c>
      <c r="V432" t="s">
        <v>5610</v>
      </c>
      <c r="W432" t="s">
        <v>5611</v>
      </c>
      <c r="X432" s="2">
        <f>IFERROR(VLOOKUP(I432,'Rate Sheet'!$D:$F,3,FALSE),0)</f>
        <v>14.333333333333334</v>
      </c>
      <c r="Y432" s="2">
        <f>IFERROR(VLOOKUP(J432,'Rate Sheet'!$D:$F,3,FALSE),0)</f>
        <v>0</v>
      </c>
      <c r="Z432" s="2">
        <f>IFERROR(VLOOKUP(K432,'Rate Sheet'!$D:$F,3,FALSE),0)</f>
        <v>0</v>
      </c>
      <c r="AA432" s="2">
        <f t="shared" si="6"/>
        <v>14.333333333333334</v>
      </c>
      <c r="AB432">
        <v>1</v>
      </c>
    </row>
    <row r="433" spans="1:28" x14ac:dyDescent="0.25">
      <c r="A433" t="s">
        <v>33</v>
      </c>
      <c r="B433" t="s">
        <v>1755</v>
      </c>
      <c r="C433" t="s">
        <v>21</v>
      </c>
      <c r="D433" t="s">
        <v>1755</v>
      </c>
      <c r="E433" t="s">
        <v>610</v>
      </c>
      <c r="F433" t="s">
        <v>101</v>
      </c>
      <c r="G433" t="s">
        <v>24</v>
      </c>
      <c r="H433" t="s">
        <v>1756</v>
      </c>
      <c r="N433" t="s">
        <v>1632</v>
      </c>
      <c r="X433" s="2">
        <f>IFERROR(VLOOKUP(I433,'Rate Sheet'!$D:$F,3,FALSE),0)</f>
        <v>0</v>
      </c>
      <c r="Y433" s="2">
        <f>IFERROR(VLOOKUP(J433,'Rate Sheet'!$D:$F,3,FALSE),0)</f>
        <v>0</v>
      </c>
      <c r="Z433" s="2">
        <f>IFERROR(VLOOKUP(K433,'Rate Sheet'!$D:$F,3,FALSE),0)</f>
        <v>0</v>
      </c>
      <c r="AA433" s="2">
        <f t="shared" si="6"/>
        <v>0</v>
      </c>
    </row>
    <row r="434" spans="1:28" x14ac:dyDescent="0.25">
      <c r="A434" t="s">
        <v>33</v>
      </c>
      <c r="B434" t="s">
        <v>1757</v>
      </c>
      <c r="C434" t="s">
        <v>21</v>
      </c>
      <c r="D434" t="s">
        <v>1757</v>
      </c>
      <c r="E434" t="s">
        <v>1758</v>
      </c>
      <c r="F434" t="s">
        <v>1759</v>
      </c>
      <c r="G434" t="s">
        <v>24</v>
      </c>
      <c r="H434" t="s">
        <v>1760</v>
      </c>
      <c r="N434" t="s">
        <v>53</v>
      </c>
      <c r="X434" s="2">
        <f>IFERROR(VLOOKUP(I434,'Rate Sheet'!$D:$F,3,FALSE),0)</f>
        <v>0</v>
      </c>
      <c r="Y434" s="2">
        <f>IFERROR(VLOOKUP(J434,'Rate Sheet'!$D:$F,3,FALSE),0)</f>
        <v>0</v>
      </c>
      <c r="Z434" s="2">
        <f>IFERROR(VLOOKUP(K434,'Rate Sheet'!$D:$F,3,FALSE),0)</f>
        <v>0</v>
      </c>
      <c r="AA434" s="2">
        <f t="shared" si="6"/>
        <v>0</v>
      </c>
    </row>
    <row r="435" spans="1:28" x14ac:dyDescent="0.25">
      <c r="A435" t="s">
        <v>33</v>
      </c>
      <c r="B435" t="s">
        <v>1761</v>
      </c>
      <c r="C435" t="s">
        <v>21</v>
      </c>
      <c r="D435" t="s">
        <v>1761</v>
      </c>
      <c r="E435" t="s">
        <v>1762</v>
      </c>
      <c r="F435" t="s">
        <v>1763</v>
      </c>
      <c r="G435" t="s">
        <v>24</v>
      </c>
      <c r="H435" t="s">
        <v>1764</v>
      </c>
      <c r="I435" t="s">
        <v>46</v>
      </c>
      <c r="N435" t="s">
        <v>185</v>
      </c>
      <c r="S435" t="s">
        <v>48</v>
      </c>
      <c r="V435" t="s">
        <v>5610</v>
      </c>
      <c r="W435" t="s">
        <v>5611</v>
      </c>
      <c r="X435" s="2">
        <f>IFERROR(VLOOKUP(I435,'Rate Sheet'!$D:$F,3,FALSE),0)</f>
        <v>14.333333333333334</v>
      </c>
      <c r="Y435" s="2">
        <f>IFERROR(VLOOKUP(J435,'Rate Sheet'!$D:$F,3,FALSE),0)</f>
        <v>0</v>
      </c>
      <c r="Z435" s="2">
        <f>IFERROR(VLOOKUP(K435,'Rate Sheet'!$D:$F,3,FALSE),0)</f>
        <v>0</v>
      </c>
      <c r="AA435" s="2">
        <f t="shared" si="6"/>
        <v>14.333333333333334</v>
      </c>
      <c r="AB435">
        <v>1</v>
      </c>
    </row>
    <row r="436" spans="1:28" x14ac:dyDescent="0.25">
      <c r="A436" t="s">
        <v>33</v>
      </c>
      <c r="B436" t="s">
        <v>1765</v>
      </c>
      <c r="C436" t="s">
        <v>21</v>
      </c>
      <c r="D436" t="s">
        <v>1765</v>
      </c>
      <c r="E436" t="s">
        <v>1766</v>
      </c>
      <c r="F436" t="s">
        <v>1767</v>
      </c>
      <c r="G436" t="s">
        <v>24</v>
      </c>
      <c r="H436" t="s">
        <v>1768</v>
      </c>
      <c r="I436" t="s">
        <v>46</v>
      </c>
      <c r="N436" t="s">
        <v>914</v>
      </c>
      <c r="S436" t="s">
        <v>48</v>
      </c>
      <c r="V436" t="s">
        <v>5686</v>
      </c>
      <c r="W436" t="s">
        <v>5687</v>
      </c>
      <c r="X436" s="2">
        <f>IFERROR(VLOOKUP(I436,'Rate Sheet'!$D:$F,3,FALSE),0)</f>
        <v>14.333333333333334</v>
      </c>
      <c r="Y436" s="2">
        <f>IFERROR(VLOOKUP(J436,'Rate Sheet'!$D:$F,3,FALSE),0)</f>
        <v>0</v>
      </c>
      <c r="Z436" s="2">
        <f>IFERROR(VLOOKUP(K436,'Rate Sheet'!$D:$F,3,FALSE),0)</f>
        <v>0</v>
      </c>
      <c r="AA436" s="2">
        <f t="shared" si="6"/>
        <v>14.333333333333334</v>
      </c>
      <c r="AB436">
        <v>1</v>
      </c>
    </row>
    <row r="437" spans="1:28" x14ac:dyDescent="0.25">
      <c r="A437" t="s">
        <v>33</v>
      </c>
      <c r="B437" t="s">
        <v>1769</v>
      </c>
      <c r="C437" t="s">
        <v>21</v>
      </c>
      <c r="D437" t="s">
        <v>1769</v>
      </c>
      <c r="E437" t="s">
        <v>1770</v>
      </c>
      <c r="F437" t="s">
        <v>1771</v>
      </c>
      <c r="G437" t="s">
        <v>24</v>
      </c>
      <c r="H437" t="s">
        <v>1772</v>
      </c>
      <c r="I437" t="s">
        <v>46</v>
      </c>
      <c r="N437" t="s">
        <v>53</v>
      </c>
      <c r="S437" t="s">
        <v>48</v>
      </c>
      <c r="V437" t="s">
        <v>5580</v>
      </c>
      <c r="W437" t="s">
        <v>5581</v>
      </c>
      <c r="X437" s="2">
        <f>IFERROR(VLOOKUP(I437,'Rate Sheet'!$D:$F,3,FALSE),0)</f>
        <v>14.333333333333334</v>
      </c>
      <c r="Y437" s="2">
        <f>IFERROR(VLOOKUP(J437,'Rate Sheet'!$D:$F,3,FALSE),0)</f>
        <v>0</v>
      </c>
      <c r="Z437" s="2">
        <f>IFERROR(VLOOKUP(K437,'Rate Sheet'!$D:$F,3,FALSE),0)</f>
        <v>0</v>
      </c>
      <c r="AA437" s="2">
        <f t="shared" si="6"/>
        <v>14.333333333333334</v>
      </c>
      <c r="AB437">
        <v>1</v>
      </c>
    </row>
    <row r="438" spans="1:28" x14ac:dyDescent="0.25">
      <c r="A438" t="s">
        <v>33</v>
      </c>
      <c r="B438" t="s">
        <v>1773</v>
      </c>
      <c r="C438" t="s">
        <v>21</v>
      </c>
      <c r="D438" t="s">
        <v>1773</v>
      </c>
      <c r="E438" t="s">
        <v>420</v>
      </c>
      <c r="F438" t="s">
        <v>1774</v>
      </c>
      <c r="G438" t="s">
        <v>24</v>
      </c>
      <c r="H438" t="s">
        <v>1775</v>
      </c>
      <c r="N438" t="s">
        <v>185</v>
      </c>
      <c r="X438" s="2">
        <f>IFERROR(VLOOKUP(I438,'Rate Sheet'!$D:$F,3,FALSE),0)</f>
        <v>0</v>
      </c>
      <c r="Y438" s="2">
        <f>IFERROR(VLOOKUP(J438,'Rate Sheet'!$D:$F,3,FALSE),0)</f>
        <v>0</v>
      </c>
      <c r="Z438" s="2">
        <f>IFERROR(VLOOKUP(K438,'Rate Sheet'!$D:$F,3,FALSE),0)</f>
        <v>0</v>
      </c>
      <c r="AA438" s="2">
        <f t="shared" si="6"/>
        <v>0</v>
      </c>
    </row>
    <row r="439" spans="1:28" x14ac:dyDescent="0.25">
      <c r="A439" t="s">
        <v>33</v>
      </c>
      <c r="B439" t="s">
        <v>1776</v>
      </c>
      <c r="C439" t="s">
        <v>21</v>
      </c>
      <c r="D439" t="s">
        <v>1776</v>
      </c>
      <c r="E439" t="s">
        <v>1242</v>
      </c>
      <c r="F439" t="s">
        <v>1777</v>
      </c>
      <c r="G439" t="s">
        <v>24</v>
      </c>
      <c r="H439" t="s">
        <v>1778</v>
      </c>
      <c r="I439" t="s">
        <v>46</v>
      </c>
      <c r="N439" t="s">
        <v>185</v>
      </c>
      <c r="S439" t="s">
        <v>48</v>
      </c>
      <c r="V439" t="s">
        <v>5610</v>
      </c>
      <c r="W439" t="s">
        <v>5611</v>
      </c>
      <c r="X439" s="2">
        <f>IFERROR(VLOOKUP(I439,'Rate Sheet'!$D:$F,3,FALSE),0)</f>
        <v>14.333333333333334</v>
      </c>
      <c r="Y439" s="2">
        <f>IFERROR(VLOOKUP(J439,'Rate Sheet'!$D:$F,3,FALSE),0)</f>
        <v>0</v>
      </c>
      <c r="Z439" s="2">
        <f>IFERROR(VLOOKUP(K439,'Rate Sheet'!$D:$F,3,FALSE),0)</f>
        <v>0</v>
      </c>
      <c r="AA439" s="2">
        <f t="shared" si="6"/>
        <v>14.333333333333334</v>
      </c>
      <c r="AB439">
        <v>1</v>
      </c>
    </row>
    <row r="440" spans="1:28" x14ac:dyDescent="0.25">
      <c r="A440" t="s">
        <v>33</v>
      </c>
      <c r="B440" t="s">
        <v>1779</v>
      </c>
      <c r="C440" t="s">
        <v>21</v>
      </c>
      <c r="D440" t="s">
        <v>1779</v>
      </c>
      <c r="E440" t="s">
        <v>1780</v>
      </c>
      <c r="F440" t="s">
        <v>1781</v>
      </c>
      <c r="G440" t="s">
        <v>24</v>
      </c>
      <c r="H440" t="s">
        <v>1782</v>
      </c>
      <c r="I440" t="s">
        <v>46</v>
      </c>
      <c r="N440" t="s">
        <v>53</v>
      </c>
      <c r="S440" t="s">
        <v>48</v>
      </c>
      <c r="V440" t="s">
        <v>5580</v>
      </c>
      <c r="W440" t="s">
        <v>5581</v>
      </c>
      <c r="X440" s="2">
        <f>IFERROR(VLOOKUP(I440,'Rate Sheet'!$D:$F,3,FALSE),0)</f>
        <v>14.333333333333334</v>
      </c>
      <c r="Y440" s="2">
        <f>IFERROR(VLOOKUP(J440,'Rate Sheet'!$D:$F,3,FALSE),0)</f>
        <v>0</v>
      </c>
      <c r="Z440" s="2">
        <f>IFERROR(VLOOKUP(K440,'Rate Sheet'!$D:$F,3,FALSE),0)</f>
        <v>0</v>
      </c>
      <c r="AA440" s="2">
        <f t="shared" si="6"/>
        <v>14.333333333333334</v>
      </c>
      <c r="AB440">
        <v>1</v>
      </c>
    </row>
    <row r="441" spans="1:28" x14ac:dyDescent="0.25">
      <c r="A441" t="s">
        <v>33</v>
      </c>
      <c r="B441" t="s">
        <v>1783</v>
      </c>
      <c r="C441" t="s">
        <v>21</v>
      </c>
      <c r="D441" t="s">
        <v>1783</v>
      </c>
      <c r="E441" t="s">
        <v>1283</v>
      </c>
      <c r="F441" t="s">
        <v>1784</v>
      </c>
      <c r="G441" t="s">
        <v>24</v>
      </c>
      <c r="H441" t="s">
        <v>1785</v>
      </c>
      <c r="I441" t="s">
        <v>46</v>
      </c>
      <c r="N441" t="s">
        <v>185</v>
      </c>
      <c r="S441" t="s">
        <v>48</v>
      </c>
      <c r="V441" t="s">
        <v>5610</v>
      </c>
      <c r="W441" t="s">
        <v>5611</v>
      </c>
      <c r="X441" s="2">
        <f>IFERROR(VLOOKUP(I441,'Rate Sheet'!$D:$F,3,FALSE),0)</f>
        <v>14.333333333333334</v>
      </c>
      <c r="Y441" s="2">
        <f>IFERROR(VLOOKUP(J441,'Rate Sheet'!$D:$F,3,FALSE),0)</f>
        <v>0</v>
      </c>
      <c r="Z441" s="2">
        <f>IFERROR(VLOOKUP(K441,'Rate Sheet'!$D:$F,3,FALSE),0)</f>
        <v>0</v>
      </c>
      <c r="AA441" s="2">
        <f t="shared" si="6"/>
        <v>14.333333333333334</v>
      </c>
      <c r="AB441">
        <v>1</v>
      </c>
    </row>
    <row r="442" spans="1:28" x14ac:dyDescent="0.25">
      <c r="A442" t="s">
        <v>33</v>
      </c>
      <c r="B442" t="s">
        <v>1786</v>
      </c>
      <c r="C442" t="s">
        <v>21</v>
      </c>
      <c r="D442" t="s">
        <v>1786</v>
      </c>
      <c r="E442" t="s">
        <v>1787</v>
      </c>
      <c r="F442" t="s">
        <v>1788</v>
      </c>
      <c r="G442" t="s">
        <v>24</v>
      </c>
      <c r="H442" t="s">
        <v>1789</v>
      </c>
      <c r="I442" t="s">
        <v>46</v>
      </c>
      <c r="N442" t="s">
        <v>185</v>
      </c>
      <c r="S442" t="s">
        <v>48</v>
      </c>
      <c r="V442" t="s">
        <v>5610</v>
      </c>
      <c r="W442" t="s">
        <v>5611</v>
      </c>
      <c r="X442" s="2">
        <f>IFERROR(VLOOKUP(I442,'Rate Sheet'!$D:$F,3,FALSE),0)</f>
        <v>14.333333333333334</v>
      </c>
      <c r="Y442" s="2">
        <f>IFERROR(VLOOKUP(J442,'Rate Sheet'!$D:$F,3,FALSE),0)</f>
        <v>0</v>
      </c>
      <c r="Z442" s="2">
        <f>IFERROR(VLOOKUP(K442,'Rate Sheet'!$D:$F,3,FALSE),0)</f>
        <v>0</v>
      </c>
      <c r="AA442" s="2">
        <f t="shared" si="6"/>
        <v>14.333333333333334</v>
      </c>
      <c r="AB442">
        <v>1</v>
      </c>
    </row>
    <row r="443" spans="1:28" x14ac:dyDescent="0.25">
      <c r="A443" t="s">
        <v>33</v>
      </c>
      <c r="B443" t="s">
        <v>1790</v>
      </c>
      <c r="C443" t="s">
        <v>21</v>
      </c>
      <c r="D443" t="s">
        <v>1790</v>
      </c>
      <c r="E443" t="s">
        <v>1791</v>
      </c>
      <c r="F443" t="s">
        <v>1792</v>
      </c>
      <c r="G443" t="s">
        <v>24</v>
      </c>
      <c r="H443" t="s">
        <v>1793</v>
      </c>
      <c r="I443" t="s">
        <v>46</v>
      </c>
      <c r="N443" t="s">
        <v>185</v>
      </c>
      <c r="S443" t="s">
        <v>48</v>
      </c>
      <c r="V443" t="s">
        <v>5610</v>
      </c>
      <c r="W443" t="s">
        <v>5611</v>
      </c>
      <c r="X443" s="2">
        <f>IFERROR(VLOOKUP(I443,'Rate Sheet'!$D:$F,3,FALSE),0)</f>
        <v>14.333333333333334</v>
      </c>
      <c r="Y443" s="2">
        <f>IFERROR(VLOOKUP(J443,'Rate Sheet'!$D:$F,3,FALSE),0)</f>
        <v>0</v>
      </c>
      <c r="Z443" s="2">
        <f>IFERROR(VLOOKUP(K443,'Rate Sheet'!$D:$F,3,FALSE),0)</f>
        <v>0</v>
      </c>
      <c r="AA443" s="2">
        <f t="shared" si="6"/>
        <v>14.333333333333334</v>
      </c>
      <c r="AB443">
        <v>1</v>
      </c>
    </row>
    <row r="444" spans="1:28" x14ac:dyDescent="0.25">
      <c r="A444" t="s">
        <v>33</v>
      </c>
      <c r="B444" t="s">
        <v>1794</v>
      </c>
      <c r="C444" t="s">
        <v>21</v>
      </c>
      <c r="D444" t="s">
        <v>1794</v>
      </c>
      <c r="E444" t="s">
        <v>1795</v>
      </c>
      <c r="F444" t="s">
        <v>1796</v>
      </c>
      <c r="G444" t="s">
        <v>24</v>
      </c>
      <c r="H444" t="s">
        <v>1797</v>
      </c>
      <c r="I444" t="s">
        <v>46</v>
      </c>
      <c r="N444" t="s">
        <v>185</v>
      </c>
      <c r="S444" t="s">
        <v>48</v>
      </c>
      <c r="V444" t="s">
        <v>5610</v>
      </c>
      <c r="W444" t="s">
        <v>5611</v>
      </c>
      <c r="X444" s="2">
        <f>IFERROR(VLOOKUP(I444,'Rate Sheet'!$D:$F,3,FALSE),0)</f>
        <v>14.333333333333334</v>
      </c>
      <c r="Y444" s="2">
        <f>IFERROR(VLOOKUP(J444,'Rate Sheet'!$D:$F,3,FALSE),0)</f>
        <v>0</v>
      </c>
      <c r="Z444" s="2">
        <f>IFERROR(VLOOKUP(K444,'Rate Sheet'!$D:$F,3,FALSE),0)</f>
        <v>0</v>
      </c>
      <c r="AA444" s="2">
        <f t="shared" si="6"/>
        <v>14.333333333333334</v>
      </c>
      <c r="AB444">
        <v>1</v>
      </c>
    </row>
    <row r="445" spans="1:28" x14ac:dyDescent="0.25">
      <c r="A445" t="s">
        <v>33</v>
      </c>
      <c r="B445" t="s">
        <v>1798</v>
      </c>
      <c r="C445" t="s">
        <v>21</v>
      </c>
      <c r="D445" t="s">
        <v>1798</v>
      </c>
      <c r="E445" t="s">
        <v>1799</v>
      </c>
      <c r="F445" t="s">
        <v>1800</v>
      </c>
      <c r="G445" t="s">
        <v>24</v>
      </c>
      <c r="H445" t="s">
        <v>1801</v>
      </c>
      <c r="I445" t="s">
        <v>46</v>
      </c>
      <c r="N445" t="s">
        <v>119</v>
      </c>
      <c r="S445" t="s">
        <v>48</v>
      </c>
      <c r="V445" s="10" t="s">
        <v>5598</v>
      </c>
      <c r="W445" s="10" t="s">
        <v>119</v>
      </c>
      <c r="X445" s="2">
        <f>IFERROR(VLOOKUP(I445,'Rate Sheet'!$D:$F,3,FALSE),0)</f>
        <v>14.333333333333334</v>
      </c>
      <c r="Y445" s="2">
        <f>IFERROR(VLOOKUP(J445,'Rate Sheet'!$D:$F,3,FALSE),0)</f>
        <v>0</v>
      </c>
      <c r="Z445" s="2">
        <f>IFERROR(VLOOKUP(K445,'Rate Sheet'!$D:$F,3,FALSE),0)</f>
        <v>0</v>
      </c>
      <c r="AA445" s="2">
        <f t="shared" si="6"/>
        <v>14.333333333333334</v>
      </c>
      <c r="AB445">
        <v>1</v>
      </c>
    </row>
    <row r="446" spans="1:28" x14ac:dyDescent="0.25">
      <c r="A446" t="s">
        <v>33</v>
      </c>
      <c r="B446" t="s">
        <v>1802</v>
      </c>
      <c r="C446" t="s">
        <v>21</v>
      </c>
      <c r="D446" t="s">
        <v>1802</v>
      </c>
      <c r="E446" t="s">
        <v>204</v>
      </c>
      <c r="F446" t="s">
        <v>1803</v>
      </c>
      <c r="G446" t="s">
        <v>24</v>
      </c>
      <c r="H446" t="s">
        <v>1804</v>
      </c>
      <c r="I446" t="s">
        <v>46</v>
      </c>
      <c r="N446" t="s">
        <v>185</v>
      </c>
      <c r="S446" t="s">
        <v>48</v>
      </c>
      <c r="V446" t="s">
        <v>5610</v>
      </c>
      <c r="W446" t="s">
        <v>5611</v>
      </c>
      <c r="X446" s="2">
        <f>IFERROR(VLOOKUP(I446,'Rate Sheet'!$D:$F,3,FALSE),0)</f>
        <v>14.333333333333334</v>
      </c>
      <c r="Y446" s="2">
        <f>IFERROR(VLOOKUP(J446,'Rate Sheet'!$D:$F,3,FALSE),0)</f>
        <v>0</v>
      </c>
      <c r="Z446" s="2">
        <f>IFERROR(VLOOKUP(K446,'Rate Sheet'!$D:$F,3,FALSE),0)</f>
        <v>0</v>
      </c>
      <c r="AA446" s="2">
        <f t="shared" ref="AA446:AA506" si="7">SUM(X446:Z446)</f>
        <v>14.333333333333334</v>
      </c>
      <c r="AB446">
        <v>1</v>
      </c>
    </row>
    <row r="447" spans="1:28" x14ac:dyDescent="0.25">
      <c r="A447" t="s">
        <v>33</v>
      </c>
      <c r="B447" t="s">
        <v>1805</v>
      </c>
      <c r="C447" t="s">
        <v>21</v>
      </c>
      <c r="D447" t="s">
        <v>1805</v>
      </c>
      <c r="E447" t="s">
        <v>1806</v>
      </c>
      <c r="F447" t="s">
        <v>1807</v>
      </c>
      <c r="G447" t="s">
        <v>24</v>
      </c>
      <c r="H447" t="s">
        <v>1808</v>
      </c>
      <c r="I447" t="s">
        <v>46</v>
      </c>
      <c r="N447" t="s">
        <v>185</v>
      </c>
      <c r="S447" t="s">
        <v>48</v>
      </c>
      <c r="V447" t="s">
        <v>5610</v>
      </c>
      <c r="W447" t="s">
        <v>5611</v>
      </c>
      <c r="X447" s="2">
        <f>IFERROR(VLOOKUP(I447,'Rate Sheet'!$D:$F,3,FALSE),0)</f>
        <v>14.333333333333334</v>
      </c>
      <c r="Y447" s="2">
        <f>IFERROR(VLOOKUP(J447,'Rate Sheet'!$D:$F,3,FALSE),0)</f>
        <v>0</v>
      </c>
      <c r="Z447" s="2">
        <f>IFERROR(VLOOKUP(K447,'Rate Sheet'!$D:$F,3,FALSE),0)</f>
        <v>0</v>
      </c>
      <c r="AA447" s="2">
        <f t="shared" si="7"/>
        <v>14.333333333333334</v>
      </c>
      <c r="AB447">
        <v>1</v>
      </c>
    </row>
    <row r="448" spans="1:28" x14ac:dyDescent="0.25">
      <c r="A448" t="s">
        <v>33</v>
      </c>
      <c r="B448" t="s">
        <v>1809</v>
      </c>
      <c r="C448" t="s">
        <v>21</v>
      </c>
      <c r="D448" t="s">
        <v>1809</v>
      </c>
      <c r="E448" t="s">
        <v>1810</v>
      </c>
      <c r="F448" t="s">
        <v>1655</v>
      </c>
      <c r="G448" t="s">
        <v>24</v>
      </c>
      <c r="H448" t="s">
        <v>1811</v>
      </c>
      <c r="I448" t="s">
        <v>46</v>
      </c>
      <c r="N448" t="s">
        <v>138</v>
      </c>
      <c r="S448" t="s">
        <v>48</v>
      </c>
      <c r="V448" t="s">
        <v>5696</v>
      </c>
      <c r="W448" t="s">
        <v>5697</v>
      </c>
      <c r="X448" s="2">
        <f>IFERROR(VLOOKUP(I448,'Rate Sheet'!$D:$F,3,FALSE),0)</f>
        <v>14.333333333333334</v>
      </c>
      <c r="Y448" s="2">
        <f>IFERROR(VLOOKUP(J448,'Rate Sheet'!$D:$F,3,FALSE),0)</f>
        <v>0</v>
      </c>
      <c r="Z448" s="2">
        <f>IFERROR(VLOOKUP(K448,'Rate Sheet'!$D:$F,3,FALSE),0)</f>
        <v>0</v>
      </c>
      <c r="AA448" s="2">
        <f t="shared" si="7"/>
        <v>14.333333333333334</v>
      </c>
      <c r="AB448">
        <v>1</v>
      </c>
    </row>
    <row r="449" spans="1:28" x14ac:dyDescent="0.25">
      <c r="A449" t="s">
        <v>33</v>
      </c>
      <c r="B449" t="s">
        <v>1812</v>
      </c>
      <c r="C449" t="s">
        <v>21</v>
      </c>
      <c r="D449" t="s">
        <v>1812</v>
      </c>
      <c r="E449" t="s">
        <v>1813</v>
      </c>
      <c r="F449" t="s">
        <v>1315</v>
      </c>
      <c r="G449" t="s">
        <v>24</v>
      </c>
      <c r="H449" t="s">
        <v>1814</v>
      </c>
      <c r="N449" t="s">
        <v>185</v>
      </c>
      <c r="X449" s="2">
        <f>IFERROR(VLOOKUP(I449,'Rate Sheet'!$D:$F,3,FALSE),0)</f>
        <v>0</v>
      </c>
      <c r="Y449" s="2">
        <f>IFERROR(VLOOKUP(J449,'Rate Sheet'!$D:$F,3,FALSE),0)</f>
        <v>0</v>
      </c>
      <c r="Z449" s="2">
        <f>IFERROR(VLOOKUP(K449,'Rate Sheet'!$D:$F,3,FALSE),0)</f>
        <v>0</v>
      </c>
      <c r="AA449" s="2">
        <f t="shared" si="7"/>
        <v>0</v>
      </c>
    </row>
    <row r="450" spans="1:28" x14ac:dyDescent="0.25">
      <c r="A450" t="s">
        <v>33</v>
      </c>
      <c r="B450" t="s">
        <v>1815</v>
      </c>
      <c r="C450" t="s">
        <v>21</v>
      </c>
      <c r="D450" t="s">
        <v>1815</v>
      </c>
      <c r="E450" t="s">
        <v>1816</v>
      </c>
      <c r="F450" t="s">
        <v>951</v>
      </c>
      <c r="G450" t="s">
        <v>24</v>
      </c>
      <c r="H450" t="s">
        <v>1817</v>
      </c>
      <c r="N450" t="s">
        <v>185</v>
      </c>
      <c r="X450" s="2">
        <f>IFERROR(VLOOKUP(I450,'Rate Sheet'!$D:$F,3,FALSE),0)</f>
        <v>0</v>
      </c>
      <c r="Y450" s="2">
        <f>IFERROR(VLOOKUP(J450,'Rate Sheet'!$D:$F,3,FALSE),0)</f>
        <v>0</v>
      </c>
      <c r="Z450" s="2">
        <f>IFERROR(VLOOKUP(K450,'Rate Sheet'!$D:$F,3,FALSE),0)</f>
        <v>0</v>
      </c>
      <c r="AA450" s="2">
        <f t="shared" si="7"/>
        <v>0</v>
      </c>
    </row>
    <row r="451" spans="1:28" x14ac:dyDescent="0.25">
      <c r="A451" t="s">
        <v>33</v>
      </c>
      <c r="B451" t="s">
        <v>1818</v>
      </c>
      <c r="C451" t="s">
        <v>21</v>
      </c>
      <c r="D451" t="s">
        <v>1818</v>
      </c>
      <c r="E451" t="s">
        <v>70</v>
      </c>
      <c r="F451" t="s">
        <v>1819</v>
      </c>
      <c r="G451" t="s">
        <v>24</v>
      </c>
      <c r="H451" t="s">
        <v>1820</v>
      </c>
      <c r="I451" t="s">
        <v>46</v>
      </c>
      <c r="N451" t="s">
        <v>185</v>
      </c>
      <c r="S451" t="s">
        <v>48</v>
      </c>
      <c r="V451" t="s">
        <v>5710</v>
      </c>
      <c r="W451" t="s">
        <v>5711</v>
      </c>
      <c r="X451" s="2">
        <f>IFERROR(VLOOKUP(I451,'Rate Sheet'!$D:$F,3,FALSE),0)</f>
        <v>14.333333333333334</v>
      </c>
      <c r="Y451" s="2">
        <f>IFERROR(VLOOKUP(J451,'Rate Sheet'!$D:$F,3,FALSE),0)</f>
        <v>0</v>
      </c>
      <c r="Z451" s="2">
        <f>IFERROR(VLOOKUP(K451,'Rate Sheet'!$D:$F,3,FALSE),0)</f>
        <v>0</v>
      </c>
      <c r="AA451" s="2">
        <f t="shared" si="7"/>
        <v>14.333333333333334</v>
      </c>
      <c r="AB451">
        <v>1</v>
      </c>
    </row>
    <row r="452" spans="1:28" x14ac:dyDescent="0.25">
      <c r="A452" t="s">
        <v>33</v>
      </c>
      <c r="B452" t="s">
        <v>1821</v>
      </c>
      <c r="C452" t="s">
        <v>21</v>
      </c>
      <c r="D452" t="s">
        <v>1821</v>
      </c>
      <c r="E452" t="s">
        <v>178</v>
      </c>
      <c r="F452" t="s">
        <v>1822</v>
      </c>
      <c r="G452" t="s">
        <v>24</v>
      </c>
      <c r="H452" t="s">
        <v>1823</v>
      </c>
      <c r="I452" t="s">
        <v>46</v>
      </c>
      <c r="N452" t="s">
        <v>914</v>
      </c>
      <c r="S452" t="s">
        <v>48</v>
      </c>
      <c r="V452" t="s">
        <v>5686</v>
      </c>
      <c r="W452" t="s">
        <v>5687</v>
      </c>
      <c r="X452" s="2">
        <f>IFERROR(VLOOKUP(I452,'Rate Sheet'!$D:$F,3,FALSE),0)</f>
        <v>14.333333333333334</v>
      </c>
      <c r="Y452" s="2">
        <f>IFERROR(VLOOKUP(J452,'Rate Sheet'!$D:$F,3,FALSE),0)</f>
        <v>0</v>
      </c>
      <c r="Z452" s="2">
        <f>IFERROR(VLOOKUP(K452,'Rate Sheet'!$D:$F,3,FALSE),0)</f>
        <v>0</v>
      </c>
      <c r="AA452" s="2">
        <f t="shared" si="7"/>
        <v>14.333333333333334</v>
      </c>
      <c r="AB452">
        <v>1</v>
      </c>
    </row>
    <row r="453" spans="1:28" x14ac:dyDescent="0.25">
      <c r="A453" t="s">
        <v>33</v>
      </c>
      <c r="B453" t="s">
        <v>1824</v>
      </c>
      <c r="C453" t="s">
        <v>21</v>
      </c>
      <c r="D453" t="s">
        <v>1824</v>
      </c>
      <c r="E453" t="s">
        <v>606</v>
      </c>
      <c r="F453" t="s">
        <v>1825</v>
      </c>
      <c r="G453" t="s">
        <v>24</v>
      </c>
      <c r="H453" t="s">
        <v>1826</v>
      </c>
      <c r="N453" t="s">
        <v>185</v>
      </c>
      <c r="X453" s="2">
        <f>IFERROR(VLOOKUP(I453,'Rate Sheet'!$D:$F,3,FALSE),0)</f>
        <v>0</v>
      </c>
      <c r="Y453" s="2">
        <f>IFERROR(VLOOKUP(J453,'Rate Sheet'!$D:$F,3,FALSE),0)</f>
        <v>0</v>
      </c>
      <c r="Z453" s="2">
        <f>IFERROR(VLOOKUP(K453,'Rate Sheet'!$D:$F,3,FALSE),0)</f>
        <v>0</v>
      </c>
      <c r="AA453" s="2">
        <f t="shared" si="7"/>
        <v>0</v>
      </c>
    </row>
    <row r="454" spans="1:28" x14ac:dyDescent="0.25">
      <c r="A454" t="s">
        <v>33</v>
      </c>
      <c r="B454" t="s">
        <v>1827</v>
      </c>
      <c r="C454" t="s">
        <v>21</v>
      </c>
      <c r="D454" t="s">
        <v>1827</v>
      </c>
      <c r="E454" t="s">
        <v>1828</v>
      </c>
      <c r="F454" t="s">
        <v>1829</v>
      </c>
      <c r="G454" t="s">
        <v>24</v>
      </c>
      <c r="H454" t="s">
        <v>1830</v>
      </c>
      <c r="I454" t="s">
        <v>46</v>
      </c>
      <c r="N454" t="s">
        <v>53</v>
      </c>
      <c r="S454" t="s">
        <v>48</v>
      </c>
      <c r="V454" t="s">
        <v>5610</v>
      </c>
      <c r="W454" t="s">
        <v>5611</v>
      </c>
      <c r="X454" s="2">
        <f>IFERROR(VLOOKUP(I454,'Rate Sheet'!$D:$F,3,FALSE),0)</f>
        <v>14.333333333333334</v>
      </c>
      <c r="Y454" s="2">
        <f>IFERROR(VLOOKUP(J454,'Rate Sheet'!$D:$F,3,FALSE),0)</f>
        <v>0</v>
      </c>
      <c r="Z454" s="2">
        <f>IFERROR(VLOOKUP(K454,'Rate Sheet'!$D:$F,3,FALSE),0)</f>
        <v>0</v>
      </c>
      <c r="AA454" s="2">
        <f t="shared" si="7"/>
        <v>14.333333333333334</v>
      </c>
      <c r="AB454">
        <v>1</v>
      </c>
    </row>
    <row r="455" spans="1:28" x14ac:dyDescent="0.25">
      <c r="A455" t="s">
        <v>33</v>
      </c>
      <c r="B455" t="s">
        <v>1831</v>
      </c>
      <c r="C455" t="s">
        <v>21</v>
      </c>
      <c r="D455" t="s">
        <v>1831</v>
      </c>
      <c r="E455" t="s">
        <v>1832</v>
      </c>
      <c r="F455" t="s">
        <v>1833</v>
      </c>
      <c r="G455" t="s">
        <v>24</v>
      </c>
      <c r="H455" t="s">
        <v>1834</v>
      </c>
      <c r="I455" t="s">
        <v>46</v>
      </c>
      <c r="N455" t="s">
        <v>185</v>
      </c>
      <c r="S455" t="s">
        <v>48</v>
      </c>
      <c r="V455" t="s">
        <v>5610</v>
      </c>
      <c r="W455" t="s">
        <v>5611</v>
      </c>
      <c r="X455" s="2">
        <f>IFERROR(VLOOKUP(I455,'Rate Sheet'!$D:$F,3,FALSE),0)</f>
        <v>14.333333333333334</v>
      </c>
      <c r="Y455" s="2">
        <f>IFERROR(VLOOKUP(J455,'Rate Sheet'!$D:$F,3,FALSE),0)</f>
        <v>0</v>
      </c>
      <c r="Z455" s="2">
        <f>IFERROR(VLOOKUP(K455,'Rate Sheet'!$D:$F,3,FALSE),0)</f>
        <v>0</v>
      </c>
      <c r="AA455" s="2">
        <f t="shared" si="7"/>
        <v>14.333333333333334</v>
      </c>
      <c r="AB455">
        <v>1</v>
      </c>
    </row>
    <row r="456" spans="1:28" x14ac:dyDescent="0.25">
      <c r="A456" t="s">
        <v>33</v>
      </c>
      <c r="B456" t="s">
        <v>1835</v>
      </c>
      <c r="C456" t="s">
        <v>21</v>
      </c>
      <c r="D456" t="s">
        <v>1835</v>
      </c>
      <c r="E456" t="s">
        <v>1836</v>
      </c>
      <c r="F456" t="s">
        <v>1837</v>
      </c>
      <c r="G456" t="s">
        <v>24</v>
      </c>
      <c r="H456" t="s">
        <v>1838</v>
      </c>
      <c r="N456" t="s">
        <v>185</v>
      </c>
      <c r="X456" s="2">
        <f>IFERROR(VLOOKUP(I456,'Rate Sheet'!$D:$F,3,FALSE),0)</f>
        <v>0</v>
      </c>
      <c r="Y456" s="2">
        <f>IFERROR(VLOOKUP(J456,'Rate Sheet'!$D:$F,3,FALSE),0)</f>
        <v>0</v>
      </c>
      <c r="Z456" s="2">
        <f>IFERROR(VLOOKUP(K456,'Rate Sheet'!$D:$F,3,FALSE),0)</f>
        <v>0</v>
      </c>
      <c r="AA456" s="2">
        <f t="shared" si="7"/>
        <v>0</v>
      </c>
    </row>
    <row r="457" spans="1:28" x14ac:dyDescent="0.25">
      <c r="A457" t="s">
        <v>33</v>
      </c>
      <c r="B457" t="s">
        <v>1839</v>
      </c>
      <c r="C457" t="s">
        <v>21</v>
      </c>
      <c r="D457" t="s">
        <v>1839</v>
      </c>
      <c r="E457" t="s">
        <v>1345</v>
      </c>
      <c r="F457" t="s">
        <v>1840</v>
      </c>
      <c r="G457" t="s">
        <v>24</v>
      </c>
      <c r="H457" t="s">
        <v>1841</v>
      </c>
      <c r="I457" t="s">
        <v>46</v>
      </c>
      <c r="N457" t="s">
        <v>914</v>
      </c>
      <c r="S457" t="s">
        <v>48</v>
      </c>
      <c r="V457" t="s">
        <v>5686</v>
      </c>
      <c r="W457" t="s">
        <v>5687</v>
      </c>
      <c r="X457" s="2">
        <f>IFERROR(VLOOKUP(I457,'Rate Sheet'!$D:$F,3,FALSE),0)</f>
        <v>14.333333333333334</v>
      </c>
      <c r="Y457" s="2">
        <f>IFERROR(VLOOKUP(J457,'Rate Sheet'!$D:$F,3,FALSE),0)</f>
        <v>0</v>
      </c>
      <c r="Z457" s="2">
        <f>IFERROR(VLOOKUP(K457,'Rate Sheet'!$D:$F,3,FALSE),0)</f>
        <v>0</v>
      </c>
      <c r="AA457" s="2">
        <f t="shared" si="7"/>
        <v>14.333333333333334</v>
      </c>
      <c r="AB457">
        <v>1</v>
      </c>
    </row>
    <row r="458" spans="1:28" x14ac:dyDescent="0.25">
      <c r="A458" t="s">
        <v>33</v>
      </c>
      <c r="B458" t="s">
        <v>1842</v>
      </c>
      <c r="C458" t="s">
        <v>21</v>
      </c>
      <c r="D458" t="s">
        <v>1842</v>
      </c>
      <c r="E458" t="s">
        <v>1843</v>
      </c>
      <c r="F458" t="s">
        <v>1844</v>
      </c>
      <c r="G458" t="s">
        <v>24</v>
      </c>
      <c r="H458" t="s">
        <v>1845</v>
      </c>
      <c r="I458" t="s">
        <v>46</v>
      </c>
      <c r="N458" t="s">
        <v>185</v>
      </c>
      <c r="S458" t="s">
        <v>48</v>
      </c>
      <c r="V458" t="s">
        <v>5610</v>
      </c>
      <c r="W458" t="s">
        <v>5611</v>
      </c>
      <c r="X458" s="2">
        <f>IFERROR(VLOOKUP(I458,'Rate Sheet'!$D:$F,3,FALSE),0)</f>
        <v>14.333333333333334</v>
      </c>
      <c r="Y458" s="2">
        <f>IFERROR(VLOOKUP(J458,'Rate Sheet'!$D:$F,3,FALSE),0)</f>
        <v>0</v>
      </c>
      <c r="Z458" s="2">
        <f>IFERROR(VLOOKUP(K458,'Rate Sheet'!$D:$F,3,FALSE),0)</f>
        <v>0</v>
      </c>
      <c r="AA458" s="2">
        <f t="shared" si="7"/>
        <v>14.333333333333334</v>
      </c>
      <c r="AB458">
        <v>1</v>
      </c>
    </row>
    <row r="459" spans="1:28" x14ac:dyDescent="0.25">
      <c r="A459" t="s">
        <v>33</v>
      </c>
      <c r="B459" t="s">
        <v>1846</v>
      </c>
      <c r="C459" t="s">
        <v>21</v>
      </c>
      <c r="D459" t="s">
        <v>1846</v>
      </c>
      <c r="E459" t="s">
        <v>519</v>
      </c>
      <c r="F459" t="s">
        <v>1847</v>
      </c>
      <c r="G459" t="s">
        <v>24</v>
      </c>
      <c r="H459" t="s">
        <v>1848</v>
      </c>
      <c r="N459" t="s">
        <v>185</v>
      </c>
      <c r="X459" s="2">
        <f>IFERROR(VLOOKUP(I459,'Rate Sheet'!$D:$F,3,FALSE),0)</f>
        <v>0</v>
      </c>
      <c r="Y459" s="2">
        <f>IFERROR(VLOOKUP(J459,'Rate Sheet'!$D:$F,3,FALSE),0)</f>
        <v>0</v>
      </c>
      <c r="Z459" s="2">
        <f>IFERROR(VLOOKUP(K459,'Rate Sheet'!$D:$F,3,FALSE),0)</f>
        <v>0</v>
      </c>
      <c r="AA459" s="2">
        <f t="shared" si="7"/>
        <v>0</v>
      </c>
    </row>
    <row r="460" spans="1:28" x14ac:dyDescent="0.25">
      <c r="A460" t="s">
        <v>33</v>
      </c>
      <c r="B460" t="s">
        <v>1849</v>
      </c>
      <c r="C460" t="s">
        <v>21</v>
      </c>
      <c r="D460" t="s">
        <v>1849</v>
      </c>
      <c r="E460" t="s">
        <v>1015</v>
      </c>
      <c r="F460" t="s">
        <v>1850</v>
      </c>
      <c r="G460" t="s">
        <v>24</v>
      </c>
      <c r="H460" t="s">
        <v>1851</v>
      </c>
      <c r="I460" t="s">
        <v>46</v>
      </c>
      <c r="N460" t="s">
        <v>185</v>
      </c>
      <c r="S460" t="s">
        <v>48</v>
      </c>
      <c r="V460" t="s">
        <v>5610</v>
      </c>
      <c r="W460" t="s">
        <v>5611</v>
      </c>
      <c r="X460" s="2">
        <f>IFERROR(VLOOKUP(I460,'Rate Sheet'!$D:$F,3,FALSE),0)</f>
        <v>14.333333333333334</v>
      </c>
      <c r="Y460" s="2">
        <f>IFERROR(VLOOKUP(J460,'Rate Sheet'!$D:$F,3,FALSE),0)</f>
        <v>0</v>
      </c>
      <c r="Z460" s="2">
        <f>IFERROR(VLOOKUP(K460,'Rate Sheet'!$D:$F,3,FALSE),0)</f>
        <v>0</v>
      </c>
      <c r="AA460" s="2">
        <f t="shared" si="7"/>
        <v>14.333333333333334</v>
      </c>
      <c r="AB460">
        <v>1</v>
      </c>
    </row>
    <row r="461" spans="1:28" x14ac:dyDescent="0.25">
      <c r="A461" t="s">
        <v>33</v>
      </c>
      <c r="B461" t="s">
        <v>1852</v>
      </c>
      <c r="C461" t="s">
        <v>21</v>
      </c>
      <c r="D461" t="s">
        <v>1852</v>
      </c>
      <c r="E461" t="s">
        <v>1430</v>
      </c>
      <c r="F461" t="s">
        <v>1853</v>
      </c>
      <c r="G461" t="s">
        <v>24</v>
      </c>
      <c r="H461" t="s">
        <v>1854</v>
      </c>
      <c r="N461" t="s">
        <v>185</v>
      </c>
      <c r="X461" s="2">
        <f>IFERROR(VLOOKUP(I461,'Rate Sheet'!$D:$F,3,FALSE),0)</f>
        <v>0</v>
      </c>
      <c r="Y461" s="2">
        <f>IFERROR(VLOOKUP(J461,'Rate Sheet'!$D:$F,3,FALSE),0)</f>
        <v>0</v>
      </c>
      <c r="Z461" s="2">
        <f>IFERROR(VLOOKUP(K461,'Rate Sheet'!$D:$F,3,FALSE),0)</f>
        <v>0</v>
      </c>
      <c r="AA461" s="2">
        <f t="shared" si="7"/>
        <v>0</v>
      </c>
    </row>
    <row r="462" spans="1:28" x14ac:dyDescent="0.25">
      <c r="A462" t="s">
        <v>33</v>
      </c>
      <c r="B462" t="s">
        <v>1855</v>
      </c>
      <c r="C462" t="s">
        <v>21</v>
      </c>
      <c r="D462" t="s">
        <v>1855</v>
      </c>
      <c r="E462" t="s">
        <v>168</v>
      </c>
      <c r="F462" t="s">
        <v>822</v>
      </c>
      <c r="G462" t="s">
        <v>24</v>
      </c>
      <c r="H462" t="s">
        <v>1856</v>
      </c>
      <c r="I462" t="s">
        <v>46</v>
      </c>
      <c r="N462" t="s">
        <v>138</v>
      </c>
      <c r="S462" t="s">
        <v>48</v>
      </c>
      <c r="V462" t="s">
        <v>5696</v>
      </c>
      <c r="W462" t="s">
        <v>5697</v>
      </c>
      <c r="X462" s="2">
        <f>IFERROR(VLOOKUP(I462,'Rate Sheet'!$D:$F,3,FALSE),0)</f>
        <v>14.333333333333334</v>
      </c>
      <c r="Y462" s="2">
        <f>IFERROR(VLOOKUP(J462,'Rate Sheet'!$D:$F,3,FALSE),0)</f>
        <v>0</v>
      </c>
      <c r="Z462" s="2">
        <f>IFERROR(VLOOKUP(K462,'Rate Sheet'!$D:$F,3,FALSE),0)</f>
        <v>0</v>
      </c>
      <c r="AA462" s="2">
        <f t="shared" si="7"/>
        <v>14.333333333333334</v>
      </c>
      <c r="AB462">
        <v>1</v>
      </c>
    </row>
    <row r="463" spans="1:28" x14ac:dyDescent="0.25">
      <c r="A463" t="s">
        <v>33</v>
      </c>
      <c r="B463" t="s">
        <v>1857</v>
      </c>
      <c r="C463" t="s">
        <v>21</v>
      </c>
      <c r="D463" t="s">
        <v>1857</v>
      </c>
      <c r="E463" t="s">
        <v>1858</v>
      </c>
      <c r="F463" t="s">
        <v>1859</v>
      </c>
      <c r="G463" t="s">
        <v>24</v>
      </c>
      <c r="H463" t="s">
        <v>1860</v>
      </c>
      <c r="I463" t="s">
        <v>46</v>
      </c>
      <c r="N463" t="s">
        <v>1013</v>
      </c>
      <c r="S463" t="s">
        <v>48</v>
      </c>
      <c r="V463" t="s">
        <v>5609</v>
      </c>
      <c r="W463" t="s">
        <v>181</v>
      </c>
      <c r="X463" s="2">
        <f>IFERROR(VLOOKUP(I463,'Rate Sheet'!$D:$F,3,FALSE),0)</f>
        <v>14.333333333333334</v>
      </c>
      <c r="Y463" s="2">
        <f>IFERROR(VLOOKUP(J463,'Rate Sheet'!$D:$F,3,FALSE),0)</f>
        <v>0</v>
      </c>
      <c r="Z463" s="2">
        <f>IFERROR(VLOOKUP(K463,'Rate Sheet'!$D:$F,3,FALSE),0)</f>
        <v>0</v>
      </c>
      <c r="AA463" s="2">
        <f t="shared" si="7"/>
        <v>14.333333333333334</v>
      </c>
      <c r="AB463">
        <v>1</v>
      </c>
    </row>
    <row r="464" spans="1:28" x14ac:dyDescent="0.25">
      <c r="A464" t="s">
        <v>33</v>
      </c>
      <c r="B464" t="s">
        <v>1861</v>
      </c>
      <c r="C464" t="s">
        <v>21</v>
      </c>
      <c r="D464" t="s">
        <v>1861</v>
      </c>
      <c r="E464" t="s">
        <v>1862</v>
      </c>
      <c r="F464" t="s">
        <v>1863</v>
      </c>
      <c r="G464" t="s">
        <v>24</v>
      </c>
      <c r="H464" t="s">
        <v>1864</v>
      </c>
      <c r="N464" t="s">
        <v>185</v>
      </c>
      <c r="X464" s="2">
        <f>IFERROR(VLOOKUP(I464,'Rate Sheet'!$D:$F,3,FALSE),0)</f>
        <v>0</v>
      </c>
      <c r="Y464" s="2">
        <f>IFERROR(VLOOKUP(J464,'Rate Sheet'!$D:$F,3,FALSE),0)</f>
        <v>0</v>
      </c>
      <c r="Z464" s="2">
        <f>IFERROR(VLOOKUP(K464,'Rate Sheet'!$D:$F,3,FALSE),0)</f>
        <v>0</v>
      </c>
      <c r="AA464" s="2">
        <f t="shared" si="7"/>
        <v>0</v>
      </c>
    </row>
    <row r="465" spans="1:28" x14ac:dyDescent="0.25">
      <c r="A465" t="s">
        <v>33</v>
      </c>
      <c r="B465" t="s">
        <v>1865</v>
      </c>
      <c r="C465" t="s">
        <v>21</v>
      </c>
      <c r="D465" t="s">
        <v>1865</v>
      </c>
      <c r="E465" t="s">
        <v>939</v>
      </c>
      <c r="F465" t="s">
        <v>1866</v>
      </c>
      <c r="G465" t="s">
        <v>24</v>
      </c>
      <c r="H465" t="s">
        <v>1867</v>
      </c>
      <c r="I465" t="s">
        <v>46</v>
      </c>
      <c r="N465" t="s">
        <v>415</v>
      </c>
      <c r="S465" t="s">
        <v>48</v>
      </c>
      <c r="V465" t="s">
        <v>5635</v>
      </c>
      <c r="W465" t="s">
        <v>415</v>
      </c>
      <c r="X465" s="2">
        <f>IFERROR(VLOOKUP(I465,'Rate Sheet'!$D:$F,3,FALSE),0)</f>
        <v>14.333333333333334</v>
      </c>
      <c r="Y465" s="2">
        <f>IFERROR(VLOOKUP(J465,'Rate Sheet'!$D:$F,3,FALSE),0)</f>
        <v>0</v>
      </c>
      <c r="Z465" s="2">
        <f>IFERROR(VLOOKUP(K465,'Rate Sheet'!$D:$F,3,FALSE),0)</f>
        <v>0</v>
      </c>
      <c r="AA465" s="2">
        <f t="shared" si="7"/>
        <v>14.333333333333334</v>
      </c>
      <c r="AB465">
        <v>1</v>
      </c>
    </row>
    <row r="466" spans="1:28" x14ac:dyDescent="0.25">
      <c r="A466" t="s">
        <v>33</v>
      </c>
      <c r="B466" t="s">
        <v>1868</v>
      </c>
      <c r="C466" t="s">
        <v>21</v>
      </c>
      <c r="D466" t="s">
        <v>1868</v>
      </c>
      <c r="E466" t="s">
        <v>660</v>
      </c>
      <c r="F466" t="s">
        <v>1869</v>
      </c>
      <c r="G466" t="s">
        <v>24</v>
      </c>
      <c r="H466" t="s">
        <v>1870</v>
      </c>
      <c r="N466" t="s">
        <v>370</v>
      </c>
      <c r="X466" s="2">
        <f>IFERROR(VLOOKUP(I466,'Rate Sheet'!$D:$F,3,FALSE),0)</f>
        <v>0</v>
      </c>
      <c r="Y466" s="2">
        <f>IFERROR(VLOOKUP(J466,'Rate Sheet'!$D:$F,3,FALSE),0)</f>
        <v>0</v>
      </c>
      <c r="Z466" s="2">
        <f>IFERROR(VLOOKUP(K466,'Rate Sheet'!$D:$F,3,FALSE),0)</f>
        <v>0</v>
      </c>
      <c r="AA466" s="2">
        <f t="shared" si="7"/>
        <v>0</v>
      </c>
    </row>
    <row r="467" spans="1:28" x14ac:dyDescent="0.25">
      <c r="A467" t="s">
        <v>33</v>
      </c>
      <c r="B467" t="s">
        <v>1871</v>
      </c>
      <c r="C467" t="s">
        <v>21</v>
      </c>
      <c r="D467" t="s">
        <v>1871</v>
      </c>
      <c r="E467" t="s">
        <v>1872</v>
      </c>
      <c r="F467" t="s">
        <v>1873</v>
      </c>
      <c r="G467" t="s">
        <v>24</v>
      </c>
      <c r="H467" t="s">
        <v>1874</v>
      </c>
      <c r="I467" t="s">
        <v>46</v>
      </c>
      <c r="N467" t="s">
        <v>530</v>
      </c>
      <c r="S467" t="s">
        <v>48</v>
      </c>
      <c r="V467" t="s">
        <v>5712</v>
      </c>
      <c r="W467" t="s">
        <v>5713</v>
      </c>
      <c r="X467" s="2">
        <f>IFERROR(VLOOKUP(I467,'Rate Sheet'!$D:$F,3,FALSE),0)</f>
        <v>14.333333333333334</v>
      </c>
      <c r="Y467" s="2">
        <f>IFERROR(VLOOKUP(J467,'Rate Sheet'!$D:$F,3,FALSE),0)</f>
        <v>0</v>
      </c>
      <c r="Z467" s="2">
        <f>IFERROR(VLOOKUP(K467,'Rate Sheet'!$D:$F,3,FALSE),0)</f>
        <v>0</v>
      </c>
      <c r="AA467" s="2">
        <f t="shared" si="7"/>
        <v>14.333333333333334</v>
      </c>
      <c r="AB467">
        <v>1</v>
      </c>
    </row>
    <row r="468" spans="1:28" x14ac:dyDescent="0.25">
      <c r="A468" t="s">
        <v>33</v>
      </c>
      <c r="B468" t="s">
        <v>1875</v>
      </c>
      <c r="C468" t="s">
        <v>21</v>
      </c>
      <c r="D468" t="s">
        <v>1875</v>
      </c>
      <c r="E468" t="s">
        <v>1876</v>
      </c>
      <c r="F468" t="s">
        <v>1877</v>
      </c>
      <c r="G468" t="s">
        <v>24</v>
      </c>
      <c r="H468" t="s">
        <v>1878</v>
      </c>
      <c r="I468" t="s">
        <v>46</v>
      </c>
      <c r="N468" t="s">
        <v>415</v>
      </c>
      <c r="S468" t="s">
        <v>48</v>
      </c>
      <c r="V468" t="s">
        <v>5635</v>
      </c>
      <c r="W468" t="s">
        <v>415</v>
      </c>
      <c r="X468" s="2">
        <f>IFERROR(VLOOKUP(I468,'Rate Sheet'!$D:$F,3,FALSE),0)</f>
        <v>14.333333333333334</v>
      </c>
      <c r="Y468" s="2">
        <f>IFERROR(VLOOKUP(J468,'Rate Sheet'!$D:$F,3,FALSE),0)</f>
        <v>0</v>
      </c>
      <c r="Z468" s="2">
        <f>IFERROR(VLOOKUP(K468,'Rate Sheet'!$D:$F,3,FALSE),0)</f>
        <v>0</v>
      </c>
      <c r="AA468" s="2">
        <f t="shared" si="7"/>
        <v>14.333333333333334</v>
      </c>
      <c r="AB468">
        <v>1</v>
      </c>
    </row>
    <row r="469" spans="1:28" x14ac:dyDescent="0.25">
      <c r="A469" t="s">
        <v>33</v>
      </c>
      <c r="B469" t="s">
        <v>1879</v>
      </c>
      <c r="C469" t="s">
        <v>21</v>
      </c>
      <c r="D469" t="s">
        <v>1879</v>
      </c>
      <c r="E469" t="s">
        <v>606</v>
      </c>
      <c r="F469" t="s">
        <v>1880</v>
      </c>
      <c r="G469" t="s">
        <v>24</v>
      </c>
      <c r="H469" t="s">
        <v>1881</v>
      </c>
      <c r="N469" t="s">
        <v>53</v>
      </c>
      <c r="X469" s="2">
        <f>IFERROR(VLOOKUP(I469,'Rate Sheet'!$D:$F,3,FALSE),0)</f>
        <v>0</v>
      </c>
      <c r="Y469" s="2">
        <f>IFERROR(VLOOKUP(J469,'Rate Sheet'!$D:$F,3,FALSE),0)</f>
        <v>0</v>
      </c>
      <c r="Z469" s="2">
        <f>IFERROR(VLOOKUP(K469,'Rate Sheet'!$D:$F,3,FALSE),0)</f>
        <v>0</v>
      </c>
      <c r="AA469" s="2">
        <f t="shared" si="7"/>
        <v>0</v>
      </c>
    </row>
    <row r="470" spans="1:28" x14ac:dyDescent="0.25">
      <c r="A470" t="s">
        <v>33</v>
      </c>
      <c r="B470" t="s">
        <v>1882</v>
      </c>
      <c r="C470" t="s">
        <v>21</v>
      </c>
      <c r="D470" t="s">
        <v>1882</v>
      </c>
      <c r="E470" t="s">
        <v>1883</v>
      </c>
      <c r="F470" t="s">
        <v>1884</v>
      </c>
      <c r="G470" t="s">
        <v>24</v>
      </c>
      <c r="H470" t="s">
        <v>1885</v>
      </c>
      <c r="N470" t="s">
        <v>38</v>
      </c>
      <c r="X470" s="2">
        <f>IFERROR(VLOOKUP(I470,'Rate Sheet'!$D:$F,3,FALSE),0)</f>
        <v>0</v>
      </c>
      <c r="Y470" s="2">
        <f>IFERROR(VLOOKUP(J470,'Rate Sheet'!$D:$F,3,FALSE),0)</f>
        <v>0</v>
      </c>
      <c r="Z470" s="2">
        <f>IFERROR(VLOOKUP(K470,'Rate Sheet'!$D:$F,3,FALSE),0)</f>
        <v>0</v>
      </c>
      <c r="AA470" s="2">
        <f t="shared" si="7"/>
        <v>0</v>
      </c>
    </row>
    <row r="471" spans="1:28" x14ac:dyDescent="0.25">
      <c r="A471" t="s">
        <v>33</v>
      </c>
      <c r="B471" t="s">
        <v>1888</v>
      </c>
      <c r="C471" t="s">
        <v>21</v>
      </c>
      <c r="D471" t="s">
        <v>1888</v>
      </c>
      <c r="E471" t="s">
        <v>1889</v>
      </c>
      <c r="F471" t="s">
        <v>1890</v>
      </c>
      <c r="G471" t="s">
        <v>24</v>
      </c>
      <c r="H471" t="s">
        <v>1891</v>
      </c>
      <c r="N471" t="s">
        <v>824</v>
      </c>
      <c r="X471" s="2">
        <f>IFERROR(VLOOKUP(I471,'Rate Sheet'!$D:$F,3,FALSE),0)</f>
        <v>0</v>
      </c>
      <c r="Y471" s="2">
        <f>IFERROR(VLOOKUP(J471,'Rate Sheet'!$D:$F,3,FALSE),0)</f>
        <v>0</v>
      </c>
      <c r="Z471" s="2">
        <f>IFERROR(VLOOKUP(K471,'Rate Sheet'!$D:$F,3,FALSE),0)</f>
        <v>0</v>
      </c>
      <c r="AA471" s="2">
        <f t="shared" si="7"/>
        <v>0</v>
      </c>
    </row>
    <row r="472" spans="1:28" x14ac:dyDescent="0.25">
      <c r="A472" t="s">
        <v>33</v>
      </c>
      <c r="B472" t="s">
        <v>1896</v>
      </c>
      <c r="C472" t="s">
        <v>21</v>
      </c>
      <c r="D472" t="s">
        <v>1897</v>
      </c>
      <c r="E472" t="s">
        <v>1898</v>
      </c>
      <c r="F472" t="s">
        <v>1899</v>
      </c>
      <c r="G472" t="s">
        <v>24</v>
      </c>
      <c r="H472" t="s">
        <v>1900</v>
      </c>
      <c r="N472" t="s">
        <v>119</v>
      </c>
      <c r="X472" s="2">
        <f>IFERROR(VLOOKUP(I472,'Rate Sheet'!$D:$F,3,FALSE),0)</f>
        <v>0</v>
      </c>
      <c r="Y472" s="2">
        <f>IFERROR(VLOOKUP(J472,'Rate Sheet'!$D:$F,3,FALSE),0)</f>
        <v>0</v>
      </c>
      <c r="Z472" s="2">
        <f>IFERROR(VLOOKUP(K472,'Rate Sheet'!$D:$F,3,FALSE),0)</f>
        <v>0</v>
      </c>
      <c r="AA472" s="2">
        <f t="shared" si="7"/>
        <v>0</v>
      </c>
    </row>
    <row r="473" spans="1:28" x14ac:dyDescent="0.25">
      <c r="A473" t="s">
        <v>33</v>
      </c>
      <c r="B473" t="s">
        <v>1901</v>
      </c>
      <c r="C473" t="s">
        <v>21</v>
      </c>
      <c r="D473" t="s">
        <v>1901</v>
      </c>
      <c r="E473" t="s">
        <v>1902</v>
      </c>
      <c r="F473" t="s">
        <v>1903</v>
      </c>
      <c r="G473" t="s">
        <v>24</v>
      </c>
      <c r="H473" t="s">
        <v>1904</v>
      </c>
      <c r="I473" t="s">
        <v>46</v>
      </c>
      <c r="N473" t="s">
        <v>38</v>
      </c>
      <c r="S473" t="s">
        <v>48</v>
      </c>
      <c r="V473" t="s">
        <v>5582</v>
      </c>
      <c r="W473" t="s">
        <v>5583</v>
      </c>
      <c r="X473" s="2">
        <f>IFERROR(VLOOKUP(I473,'Rate Sheet'!$D:$F,3,FALSE),0)</f>
        <v>14.333333333333334</v>
      </c>
      <c r="Y473" s="2">
        <f>IFERROR(VLOOKUP(J473,'Rate Sheet'!$D:$F,3,FALSE),0)</f>
        <v>0</v>
      </c>
      <c r="Z473" s="2">
        <f>IFERROR(VLOOKUP(K473,'Rate Sheet'!$D:$F,3,FALSE),0)</f>
        <v>0</v>
      </c>
      <c r="AA473" s="2">
        <f t="shared" si="7"/>
        <v>14.333333333333334</v>
      </c>
      <c r="AB473">
        <v>1</v>
      </c>
    </row>
    <row r="474" spans="1:28" x14ac:dyDescent="0.25">
      <c r="A474" t="s">
        <v>33</v>
      </c>
      <c r="B474" t="s">
        <v>1905</v>
      </c>
      <c r="C474" t="s">
        <v>21</v>
      </c>
      <c r="D474" t="s">
        <v>1905</v>
      </c>
      <c r="E474" t="s">
        <v>324</v>
      </c>
      <c r="F474" t="s">
        <v>1906</v>
      </c>
      <c r="G474" t="s">
        <v>24</v>
      </c>
      <c r="H474" s="1" t="s">
        <v>1907</v>
      </c>
      <c r="I474" t="s">
        <v>46</v>
      </c>
      <c r="N474" t="s">
        <v>273</v>
      </c>
      <c r="S474" t="s">
        <v>48</v>
      </c>
      <c r="V474" t="s">
        <v>5621</v>
      </c>
      <c r="W474" t="s">
        <v>5622</v>
      </c>
      <c r="X474" s="2">
        <f>IFERROR(VLOOKUP(I474,'Rate Sheet'!$D:$F,3,FALSE),0)</f>
        <v>14.333333333333334</v>
      </c>
      <c r="Y474" s="2">
        <f>IFERROR(VLOOKUP(J474,'Rate Sheet'!$D:$F,3,FALSE),0)</f>
        <v>0</v>
      </c>
      <c r="Z474" s="2">
        <f>IFERROR(VLOOKUP(K474,'Rate Sheet'!$D:$F,3,FALSE),0)</f>
        <v>0</v>
      </c>
      <c r="AA474" s="2">
        <f t="shared" si="7"/>
        <v>14.333333333333334</v>
      </c>
      <c r="AB474">
        <v>1</v>
      </c>
    </row>
    <row r="475" spans="1:28" x14ac:dyDescent="0.25">
      <c r="A475" t="s">
        <v>33</v>
      </c>
      <c r="B475" t="s">
        <v>1908</v>
      </c>
      <c r="C475" t="s">
        <v>21</v>
      </c>
      <c r="D475" t="s">
        <v>1908</v>
      </c>
      <c r="E475" t="s">
        <v>988</v>
      </c>
      <c r="F475" t="s">
        <v>1909</v>
      </c>
      <c r="G475" t="s">
        <v>24</v>
      </c>
      <c r="H475" t="s">
        <v>1910</v>
      </c>
      <c r="I475" t="s">
        <v>46</v>
      </c>
      <c r="N475" t="s">
        <v>207</v>
      </c>
      <c r="S475" t="s">
        <v>48</v>
      </c>
      <c r="V475" t="s">
        <v>5614</v>
      </c>
      <c r="W475" t="s">
        <v>1184</v>
      </c>
      <c r="X475" s="2">
        <f>IFERROR(VLOOKUP(I475,'Rate Sheet'!$D:$F,3,FALSE),0)</f>
        <v>14.333333333333334</v>
      </c>
      <c r="Y475" s="2">
        <f>IFERROR(VLOOKUP(J475,'Rate Sheet'!$D:$F,3,FALSE),0)</f>
        <v>0</v>
      </c>
      <c r="Z475" s="2">
        <f>IFERROR(VLOOKUP(K475,'Rate Sheet'!$D:$F,3,FALSE),0)</f>
        <v>0</v>
      </c>
      <c r="AA475" s="2">
        <f t="shared" si="7"/>
        <v>14.333333333333334</v>
      </c>
      <c r="AB475">
        <v>1</v>
      </c>
    </row>
    <row r="476" spans="1:28" x14ac:dyDescent="0.25">
      <c r="A476" t="s">
        <v>33</v>
      </c>
      <c r="B476" t="s">
        <v>1911</v>
      </c>
      <c r="C476" t="s">
        <v>21</v>
      </c>
      <c r="D476" t="s">
        <v>1911</v>
      </c>
      <c r="E476" t="s">
        <v>723</v>
      </c>
      <c r="F476" t="s">
        <v>1912</v>
      </c>
      <c r="G476" t="s">
        <v>24</v>
      </c>
      <c r="H476" t="s">
        <v>1913</v>
      </c>
      <c r="I476" t="s">
        <v>46</v>
      </c>
      <c r="N476" t="s">
        <v>507</v>
      </c>
      <c r="S476" t="s">
        <v>48</v>
      </c>
      <c r="V476" t="s">
        <v>5645</v>
      </c>
      <c r="W476" t="s">
        <v>507</v>
      </c>
      <c r="X476" s="2">
        <f>IFERROR(VLOOKUP(I476,'Rate Sheet'!$D:$F,3,FALSE),0)</f>
        <v>14.333333333333334</v>
      </c>
      <c r="Y476" s="2">
        <f>IFERROR(VLOOKUP(J476,'Rate Sheet'!$D:$F,3,FALSE),0)</f>
        <v>0</v>
      </c>
      <c r="Z476" s="2">
        <f>IFERROR(VLOOKUP(K476,'Rate Sheet'!$D:$F,3,FALSE),0)</f>
        <v>0</v>
      </c>
      <c r="AA476" s="2">
        <f t="shared" si="7"/>
        <v>14.333333333333334</v>
      </c>
      <c r="AB476">
        <v>1</v>
      </c>
    </row>
    <row r="477" spans="1:28" x14ac:dyDescent="0.25">
      <c r="A477" t="s">
        <v>33</v>
      </c>
      <c r="B477" t="s">
        <v>1914</v>
      </c>
      <c r="C477" t="s">
        <v>29</v>
      </c>
      <c r="D477" t="s">
        <v>1914</v>
      </c>
      <c r="E477" t="s">
        <v>145</v>
      </c>
      <c r="F477" t="s">
        <v>1915</v>
      </c>
      <c r="G477" t="s">
        <v>24</v>
      </c>
      <c r="H477" t="s">
        <v>1916</v>
      </c>
      <c r="I477" t="s">
        <v>46</v>
      </c>
      <c r="N477" t="s">
        <v>511</v>
      </c>
      <c r="S477" t="s">
        <v>48</v>
      </c>
      <c r="V477" t="s">
        <v>5617</v>
      </c>
      <c r="W477" t="s">
        <v>511</v>
      </c>
      <c r="X477" s="2">
        <f>IFERROR(VLOOKUP(I477,'Rate Sheet'!$D:$F,3,FALSE),0)</f>
        <v>14.333333333333334</v>
      </c>
      <c r="Y477" s="2">
        <f>IFERROR(VLOOKUP(J477,'Rate Sheet'!$D:$F,3,FALSE),0)</f>
        <v>0</v>
      </c>
      <c r="Z477" s="2">
        <f>IFERROR(VLOOKUP(K477,'Rate Sheet'!$D:$F,3,FALSE),0)</f>
        <v>0</v>
      </c>
      <c r="AA477" s="2">
        <f t="shared" si="7"/>
        <v>14.333333333333334</v>
      </c>
      <c r="AB477">
        <v>1</v>
      </c>
    </row>
    <row r="478" spans="1:28" x14ac:dyDescent="0.25">
      <c r="A478" t="s">
        <v>33</v>
      </c>
      <c r="B478" t="s">
        <v>1917</v>
      </c>
      <c r="C478" t="s">
        <v>21</v>
      </c>
      <c r="D478" t="s">
        <v>1917</v>
      </c>
      <c r="E478" t="s">
        <v>306</v>
      </c>
      <c r="F478" t="s">
        <v>432</v>
      </c>
      <c r="G478" t="s">
        <v>24</v>
      </c>
      <c r="H478" t="s">
        <v>1918</v>
      </c>
      <c r="I478" t="s">
        <v>46</v>
      </c>
      <c r="N478" t="s">
        <v>119</v>
      </c>
      <c r="S478" t="s">
        <v>48</v>
      </c>
      <c r="V478" t="s">
        <v>5598</v>
      </c>
      <c r="W478" t="s">
        <v>119</v>
      </c>
      <c r="X478" s="2">
        <f>IFERROR(VLOOKUP(I478,'Rate Sheet'!$D:$F,3,FALSE),0)</f>
        <v>14.333333333333334</v>
      </c>
      <c r="Y478" s="2">
        <f>IFERROR(VLOOKUP(J478,'Rate Sheet'!$D:$F,3,FALSE),0)</f>
        <v>0</v>
      </c>
      <c r="Z478" s="2">
        <f>IFERROR(VLOOKUP(K478,'Rate Sheet'!$D:$F,3,FALSE),0)</f>
        <v>0</v>
      </c>
      <c r="AA478" s="2">
        <f t="shared" si="7"/>
        <v>14.333333333333334</v>
      </c>
      <c r="AB478">
        <v>1</v>
      </c>
    </row>
    <row r="479" spans="1:28" x14ac:dyDescent="0.25">
      <c r="A479" t="s">
        <v>33</v>
      </c>
      <c r="B479" t="s">
        <v>1919</v>
      </c>
      <c r="C479" t="s">
        <v>21</v>
      </c>
      <c r="D479" t="s">
        <v>1919</v>
      </c>
      <c r="E479" t="s">
        <v>1920</v>
      </c>
      <c r="F479" t="s">
        <v>1921</v>
      </c>
      <c r="G479" t="s">
        <v>24</v>
      </c>
      <c r="H479" t="s">
        <v>1922</v>
      </c>
      <c r="N479" t="s">
        <v>1923</v>
      </c>
      <c r="X479" s="2">
        <f>IFERROR(VLOOKUP(I479,'Rate Sheet'!$D:$F,3,FALSE),0)</f>
        <v>0</v>
      </c>
      <c r="Y479" s="2">
        <f>IFERROR(VLOOKUP(J479,'Rate Sheet'!$D:$F,3,FALSE),0)</f>
        <v>0</v>
      </c>
      <c r="Z479" s="2">
        <f>IFERROR(VLOOKUP(K479,'Rate Sheet'!$D:$F,3,FALSE),0)</f>
        <v>0</v>
      </c>
      <c r="AA479" s="2">
        <f t="shared" si="7"/>
        <v>0</v>
      </c>
    </row>
    <row r="480" spans="1:28" x14ac:dyDescent="0.25">
      <c r="A480" t="s">
        <v>33</v>
      </c>
      <c r="B480" t="s">
        <v>1928</v>
      </c>
      <c r="C480" t="s">
        <v>21</v>
      </c>
      <c r="D480" t="s">
        <v>1928</v>
      </c>
      <c r="E480" t="s">
        <v>1929</v>
      </c>
      <c r="F480" t="s">
        <v>1930</v>
      </c>
      <c r="G480" t="s">
        <v>24</v>
      </c>
      <c r="H480" t="s">
        <v>1931</v>
      </c>
      <c r="I480" t="s">
        <v>46</v>
      </c>
      <c r="N480" t="s">
        <v>370</v>
      </c>
      <c r="S480" t="s">
        <v>48</v>
      </c>
      <c r="V480" t="s">
        <v>5714</v>
      </c>
      <c r="W480" t="s">
        <v>370</v>
      </c>
      <c r="X480" s="2">
        <f>IFERROR(VLOOKUP(I480,'Rate Sheet'!$D:$F,3,FALSE),0)</f>
        <v>14.333333333333334</v>
      </c>
      <c r="Y480" s="2">
        <f>IFERROR(VLOOKUP(J480,'Rate Sheet'!$D:$F,3,FALSE),0)</f>
        <v>0</v>
      </c>
      <c r="Z480" s="2">
        <f>IFERROR(VLOOKUP(K480,'Rate Sheet'!$D:$F,3,FALSE),0)</f>
        <v>0</v>
      </c>
      <c r="AA480" s="2">
        <f t="shared" si="7"/>
        <v>14.333333333333334</v>
      </c>
      <c r="AB480">
        <v>1</v>
      </c>
    </row>
    <row r="481" spans="1:28" x14ac:dyDescent="0.25">
      <c r="A481" t="s">
        <v>33</v>
      </c>
      <c r="B481" t="s">
        <v>1932</v>
      </c>
      <c r="C481" t="s">
        <v>21</v>
      </c>
      <c r="D481" t="s">
        <v>1932</v>
      </c>
      <c r="E481" t="s">
        <v>1933</v>
      </c>
      <c r="F481" t="s">
        <v>1934</v>
      </c>
      <c r="G481" t="s">
        <v>24</v>
      </c>
      <c r="H481" t="s">
        <v>1935</v>
      </c>
      <c r="I481" t="s">
        <v>46</v>
      </c>
      <c r="N481" t="s">
        <v>697</v>
      </c>
      <c r="S481" t="s">
        <v>48</v>
      </c>
      <c r="V481" t="s">
        <v>5692</v>
      </c>
      <c r="W481" t="s">
        <v>5693</v>
      </c>
      <c r="X481" s="2">
        <f>IFERROR(VLOOKUP(I481,'Rate Sheet'!$D:$F,3,FALSE),0)</f>
        <v>14.333333333333334</v>
      </c>
      <c r="Y481" s="2">
        <f>IFERROR(VLOOKUP(J481,'Rate Sheet'!$D:$F,3,FALSE),0)</f>
        <v>0</v>
      </c>
      <c r="Z481" s="2">
        <f>IFERROR(VLOOKUP(K481,'Rate Sheet'!$D:$F,3,FALSE),0)</f>
        <v>0</v>
      </c>
      <c r="AA481" s="2">
        <f t="shared" si="7"/>
        <v>14.333333333333334</v>
      </c>
      <c r="AB481">
        <v>1</v>
      </c>
    </row>
    <row r="482" spans="1:28" x14ac:dyDescent="0.25">
      <c r="A482" t="s">
        <v>33</v>
      </c>
      <c r="B482" t="s">
        <v>1936</v>
      </c>
      <c r="C482" t="s">
        <v>21</v>
      </c>
      <c r="D482" t="s">
        <v>1936</v>
      </c>
      <c r="E482" t="s">
        <v>126</v>
      </c>
      <c r="F482" t="s">
        <v>1937</v>
      </c>
      <c r="G482" t="s">
        <v>24</v>
      </c>
      <c r="H482" s="1" t="s">
        <v>1938</v>
      </c>
      <c r="I482" t="s">
        <v>46</v>
      </c>
      <c r="N482" t="s">
        <v>63</v>
      </c>
      <c r="S482" t="s">
        <v>48</v>
      </c>
      <c r="V482" t="s">
        <v>5584</v>
      </c>
      <c r="W482" t="s">
        <v>63</v>
      </c>
      <c r="X482" s="2">
        <f>IFERROR(VLOOKUP(I482,'Rate Sheet'!$D:$F,3,FALSE),0)</f>
        <v>14.333333333333334</v>
      </c>
      <c r="Y482" s="2">
        <f>IFERROR(VLOOKUP(J482,'Rate Sheet'!$D:$F,3,FALSE),0)</f>
        <v>0</v>
      </c>
      <c r="Z482" s="2">
        <f>IFERROR(VLOOKUP(K482,'Rate Sheet'!$D:$F,3,FALSE),0)</f>
        <v>0</v>
      </c>
      <c r="AA482" s="2">
        <f t="shared" si="7"/>
        <v>14.333333333333334</v>
      </c>
      <c r="AB482">
        <v>1</v>
      </c>
    </row>
    <row r="483" spans="1:28" x14ac:dyDescent="0.25">
      <c r="A483" t="s">
        <v>33</v>
      </c>
      <c r="B483" t="s">
        <v>1939</v>
      </c>
      <c r="C483" t="s">
        <v>21</v>
      </c>
      <c r="D483" t="s">
        <v>1939</v>
      </c>
      <c r="E483" t="s">
        <v>635</v>
      </c>
      <c r="F483" t="s">
        <v>1940</v>
      </c>
      <c r="G483" t="s">
        <v>24</v>
      </c>
      <c r="H483" t="s">
        <v>1941</v>
      </c>
      <c r="I483" t="s">
        <v>73</v>
      </c>
      <c r="N483" t="s">
        <v>38</v>
      </c>
      <c r="S483" t="s">
        <v>75</v>
      </c>
      <c r="V483" t="s">
        <v>5582</v>
      </c>
      <c r="W483" t="s">
        <v>5583</v>
      </c>
      <c r="X483" s="2">
        <f>IFERROR(VLOOKUP(I483,'Rate Sheet'!$D:$F,3,FALSE),0)</f>
        <v>8.6983333333333324</v>
      </c>
      <c r="Y483" s="2">
        <f>IFERROR(VLOOKUP(J483,'Rate Sheet'!$D:$F,3,FALSE),0)</f>
        <v>0</v>
      </c>
      <c r="Z483" s="2">
        <f>IFERROR(VLOOKUP(K483,'Rate Sheet'!$D:$F,3,FALSE),0)</f>
        <v>0</v>
      </c>
      <c r="AA483" s="2">
        <f t="shared" si="7"/>
        <v>8.6983333333333324</v>
      </c>
      <c r="AB483">
        <v>1</v>
      </c>
    </row>
    <row r="484" spans="1:28" x14ac:dyDescent="0.25">
      <c r="A484" t="s">
        <v>33</v>
      </c>
      <c r="B484" t="s">
        <v>1942</v>
      </c>
      <c r="C484" t="s">
        <v>21</v>
      </c>
      <c r="D484" t="s">
        <v>1942</v>
      </c>
      <c r="E484" t="s">
        <v>796</v>
      </c>
      <c r="F484" t="s">
        <v>1943</v>
      </c>
      <c r="G484" t="s">
        <v>24</v>
      </c>
      <c r="H484" t="s">
        <v>1944</v>
      </c>
      <c r="I484" t="s">
        <v>46</v>
      </c>
      <c r="N484" t="s">
        <v>697</v>
      </c>
      <c r="S484" t="s">
        <v>48</v>
      </c>
      <c r="V484" s="10" t="s">
        <v>5692</v>
      </c>
      <c r="W484" s="10" t="s">
        <v>5693</v>
      </c>
      <c r="X484" s="2">
        <f>IFERROR(VLOOKUP(I484,'Rate Sheet'!$D:$F,3,FALSE),0)</f>
        <v>14.333333333333334</v>
      </c>
      <c r="Y484" s="2">
        <f>IFERROR(VLOOKUP(J484,'Rate Sheet'!$D:$F,3,FALSE),0)</f>
        <v>0</v>
      </c>
      <c r="Z484" s="2">
        <f>IFERROR(VLOOKUP(K484,'Rate Sheet'!$D:$F,3,FALSE),0)</f>
        <v>0</v>
      </c>
      <c r="AA484" s="2">
        <f t="shared" si="7"/>
        <v>14.333333333333334</v>
      </c>
      <c r="AB484">
        <v>1</v>
      </c>
    </row>
    <row r="485" spans="1:28" x14ac:dyDescent="0.25">
      <c r="A485" t="s">
        <v>33</v>
      </c>
      <c r="B485" t="s">
        <v>1945</v>
      </c>
      <c r="C485" t="s">
        <v>21</v>
      </c>
      <c r="D485" t="s">
        <v>1945</v>
      </c>
      <c r="E485" t="s">
        <v>1946</v>
      </c>
      <c r="F485" t="s">
        <v>1538</v>
      </c>
      <c r="G485" t="s">
        <v>24</v>
      </c>
      <c r="H485" t="s">
        <v>1947</v>
      </c>
      <c r="I485" t="s">
        <v>46</v>
      </c>
      <c r="N485" t="s">
        <v>349</v>
      </c>
      <c r="S485" t="s">
        <v>48</v>
      </c>
      <c r="V485" t="s">
        <v>5630</v>
      </c>
      <c r="W485" t="s">
        <v>5631</v>
      </c>
      <c r="X485" s="2">
        <f>IFERROR(VLOOKUP(I485,'Rate Sheet'!$D:$F,3,FALSE),0)</f>
        <v>14.333333333333334</v>
      </c>
      <c r="Y485" s="2">
        <f>IFERROR(VLOOKUP(J485,'Rate Sheet'!$D:$F,3,FALSE),0)</f>
        <v>0</v>
      </c>
      <c r="Z485" s="2">
        <f>IFERROR(VLOOKUP(K485,'Rate Sheet'!$D:$F,3,FALSE),0)</f>
        <v>0</v>
      </c>
      <c r="AA485" s="2">
        <f t="shared" si="7"/>
        <v>14.333333333333334</v>
      </c>
      <c r="AB485">
        <v>1</v>
      </c>
    </row>
    <row r="486" spans="1:28" x14ac:dyDescent="0.25">
      <c r="A486" t="s">
        <v>33</v>
      </c>
      <c r="B486" t="s">
        <v>1948</v>
      </c>
      <c r="C486" t="s">
        <v>21</v>
      </c>
      <c r="D486" t="s">
        <v>1948</v>
      </c>
      <c r="E486" t="s">
        <v>359</v>
      </c>
      <c r="F486" t="s">
        <v>1949</v>
      </c>
      <c r="G486" t="s">
        <v>24</v>
      </c>
      <c r="H486" t="s">
        <v>1950</v>
      </c>
      <c r="I486" t="s">
        <v>46</v>
      </c>
      <c r="N486" t="s">
        <v>986</v>
      </c>
      <c r="S486" t="s">
        <v>48</v>
      </c>
      <c r="V486" t="s">
        <v>5715</v>
      </c>
      <c r="W486" t="s">
        <v>5716</v>
      </c>
      <c r="X486" s="2">
        <f>IFERROR(VLOOKUP(I486,'Rate Sheet'!$D:$F,3,FALSE),0)</f>
        <v>14.333333333333334</v>
      </c>
      <c r="Y486" s="2">
        <f>IFERROR(VLOOKUP(J486,'Rate Sheet'!$D:$F,3,FALSE),0)</f>
        <v>0</v>
      </c>
      <c r="Z486" s="2">
        <f>IFERROR(VLOOKUP(K486,'Rate Sheet'!$D:$F,3,FALSE),0)</f>
        <v>0</v>
      </c>
      <c r="AA486" s="2">
        <f t="shared" si="7"/>
        <v>14.333333333333334</v>
      </c>
      <c r="AB486">
        <v>1</v>
      </c>
    </row>
    <row r="487" spans="1:28" x14ac:dyDescent="0.25">
      <c r="A487" t="s">
        <v>33</v>
      </c>
      <c r="B487" t="s">
        <v>1951</v>
      </c>
      <c r="C487" t="s">
        <v>21</v>
      </c>
      <c r="D487" t="s">
        <v>1951</v>
      </c>
      <c r="E487" t="s">
        <v>1952</v>
      </c>
      <c r="F487" t="s">
        <v>1953</v>
      </c>
      <c r="G487" t="s">
        <v>24</v>
      </c>
      <c r="H487" t="s">
        <v>1954</v>
      </c>
      <c r="L487" t="s">
        <v>26</v>
      </c>
      <c r="N487" t="s">
        <v>27</v>
      </c>
      <c r="X487" s="2">
        <f>IFERROR(VLOOKUP(I487,'Rate Sheet'!$D:$F,3,FALSE),0)</f>
        <v>0</v>
      </c>
      <c r="Y487" s="2">
        <f>IFERROR(VLOOKUP(J487,'Rate Sheet'!$D:$F,3,FALSE),0)</f>
        <v>0</v>
      </c>
      <c r="Z487" s="2">
        <f>IFERROR(VLOOKUP(K487,'Rate Sheet'!$D:$F,3,FALSE),0)</f>
        <v>0</v>
      </c>
      <c r="AA487" s="2">
        <f t="shared" si="7"/>
        <v>0</v>
      </c>
    </row>
    <row r="488" spans="1:28" x14ac:dyDescent="0.25">
      <c r="A488" t="s">
        <v>33</v>
      </c>
      <c r="B488" t="s">
        <v>1955</v>
      </c>
      <c r="C488" t="s">
        <v>21</v>
      </c>
      <c r="D488" t="s">
        <v>1956</v>
      </c>
      <c r="E488" t="s">
        <v>1957</v>
      </c>
      <c r="F488" t="s">
        <v>1958</v>
      </c>
      <c r="G488" t="s">
        <v>24</v>
      </c>
      <c r="H488" t="s">
        <v>1959</v>
      </c>
      <c r="L488" t="s">
        <v>26</v>
      </c>
      <c r="N488" t="s">
        <v>27</v>
      </c>
      <c r="X488" s="2">
        <f>IFERROR(VLOOKUP(I488,'Rate Sheet'!$D:$F,3,FALSE),0)</f>
        <v>0</v>
      </c>
      <c r="Y488" s="2">
        <f>IFERROR(VLOOKUP(J488,'Rate Sheet'!$D:$F,3,FALSE),0)</f>
        <v>0</v>
      </c>
      <c r="Z488" s="2">
        <f>IFERROR(VLOOKUP(K488,'Rate Sheet'!$D:$F,3,FALSE),0)</f>
        <v>0</v>
      </c>
      <c r="AA488" s="2">
        <f t="shared" si="7"/>
        <v>0</v>
      </c>
    </row>
    <row r="489" spans="1:28" x14ac:dyDescent="0.25">
      <c r="A489" t="s">
        <v>33</v>
      </c>
      <c r="B489" t="s">
        <v>1960</v>
      </c>
      <c r="C489" t="s">
        <v>21</v>
      </c>
      <c r="D489" t="s">
        <v>1960</v>
      </c>
      <c r="E489" t="s">
        <v>1961</v>
      </c>
      <c r="F489" t="s">
        <v>1962</v>
      </c>
      <c r="G489" t="s">
        <v>24</v>
      </c>
      <c r="H489" t="s">
        <v>1963</v>
      </c>
      <c r="I489" t="s">
        <v>46</v>
      </c>
      <c r="N489" t="s">
        <v>349</v>
      </c>
      <c r="S489" t="s">
        <v>48</v>
      </c>
      <c r="V489" t="s">
        <v>5630</v>
      </c>
      <c r="W489" t="s">
        <v>5631</v>
      </c>
      <c r="X489" s="2">
        <f>IFERROR(VLOOKUP(I489,'Rate Sheet'!$D:$F,3,FALSE),0)</f>
        <v>14.333333333333334</v>
      </c>
      <c r="Y489" s="2">
        <f>IFERROR(VLOOKUP(J489,'Rate Sheet'!$D:$F,3,FALSE),0)</f>
        <v>0</v>
      </c>
      <c r="Z489" s="2">
        <f>IFERROR(VLOOKUP(K489,'Rate Sheet'!$D:$F,3,FALSE),0)</f>
        <v>0</v>
      </c>
      <c r="AA489" s="2">
        <f t="shared" si="7"/>
        <v>14.333333333333334</v>
      </c>
      <c r="AB489">
        <v>1</v>
      </c>
    </row>
    <row r="490" spans="1:28" x14ac:dyDescent="0.25">
      <c r="A490" t="s">
        <v>33</v>
      </c>
      <c r="B490" t="s">
        <v>1964</v>
      </c>
      <c r="C490" t="s">
        <v>21</v>
      </c>
      <c r="D490" t="s">
        <v>1964</v>
      </c>
      <c r="E490" t="s">
        <v>898</v>
      </c>
      <c r="F490" t="s">
        <v>1965</v>
      </c>
      <c r="G490" t="s">
        <v>24</v>
      </c>
      <c r="H490" t="s">
        <v>1966</v>
      </c>
      <c r="I490" t="s">
        <v>73</v>
      </c>
      <c r="N490" t="s">
        <v>273</v>
      </c>
      <c r="S490" t="s">
        <v>75</v>
      </c>
      <c r="V490" t="s">
        <v>5621</v>
      </c>
      <c r="W490" t="s">
        <v>5622</v>
      </c>
      <c r="X490" s="2">
        <f>IFERROR(VLOOKUP(I490,'Rate Sheet'!$D:$F,3,FALSE),0)</f>
        <v>8.6983333333333324</v>
      </c>
      <c r="Y490" s="2">
        <f>IFERROR(VLOOKUP(J490,'Rate Sheet'!$D:$F,3,FALSE),0)</f>
        <v>0</v>
      </c>
      <c r="Z490" s="2">
        <f>IFERROR(VLOOKUP(K490,'Rate Sheet'!$D:$F,3,FALSE),0)</f>
        <v>0</v>
      </c>
      <c r="AA490" s="2">
        <f t="shared" si="7"/>
        <v>8.6983333333333324</v>
      </c>
      <c r="AB490">
        <v>1</v>
      </c>
    </row>
    <row r="491" spans="1:28" x14ac:dyDescent="0.25">
      <c r="A491" t="s">
        <v>33</v>
      </c>
      <c r="B491" t="s">
        <v>1967</v>
      </c>
      <c r="C491" t="s">
        <v>21</v>
      </c>
      <c r="D491" t="s">
        <v>1967</v>
      </c>
      <c r="E491" t="s">
        <v>1968</v>
      </c>
      <c r="F491" t="s">
        <v>1969</v>
      </c>
      <c r="G491" t="s">
        <v>24</v>
      </c>
      <c r="H491" t="s">
        <v>1970</v>
      </c>
      <c r="I491" t="s">
        <v>46</v>
      </c>
      <c r="N491" t="s">
        <v>1971</v>
      </c>
      <c r="S491" t="s">
        <v>48</v>
      </c>
      <c r="V491" t="s">
        <v>5600</v>
      </c>
      <c r="W491" t="s">
        <v>5601</v>
      </c>
      <c r="X491" s="2">
        <f>IFERROR(VLOOKUP(I491,'Rate Sheet'!$D:$F,3,FALSE),0)</f>
        <v>14.333333333333334</v>
      </c>
      <c r="Y491" s="2">
        <f>IFERROR(VLOOKUP(J491,'Rate Sheet'!$D:$F,3,FALSE),0)</f>
        <v>0</v>
      </c>
      <c r="Z491" s="2">
        <f>IFERROR(VLOOKUP(K491,'Rate Sheet'!$D:$F,3,FALSE),0)</f>
        <v>0</v>
      </c>
      <c r="AA491" s="2">
        <f t="shared" si="7"/>
        <v>14.333333333333334</v>
      </c>
      <c r="AB491">
        <v>1</v>
      </c>
    </row>
    <row r="492" spans="1:28" x14ac:dyDescent="0.25">
      <c r="A492" t="s">
        <v>33</v>
      </c>
      <c r="B492" t="s">
        <v>1972</v>
      </c>
      <c r="C492" t="s">
        <v>21</v>
      </c>
      <c r="D492" t="s">
        <v>1972</v>
      </c>
      <c r="E492" t="s">
        <v>519</v>
      </c>
      <c r="F492" t="s">
        <v>603</v>
      </c>
      <c r="G492" t="s">
        <v>24</v>
      </c>
      <c r="H492" t="s">
        <v>1973</v>
      </c>
      <c r="I492" t="s">
        <v>46</v>
      </c>
      <c r="N492" t="s">
        <v>273</v>
      </c>
      <c r="S492" t="s">
        <v>48</v>
      </c>
      <c r="V492" t="s">
        <v>5621</v>
      </c>
      <c r="W492" t="s">
        <v>5622</v>
      </c>
      <c r="X492" s="2">
        <f>IFERROR(VLOOKUP(I492,'Rate Sheet'!$D:$F,3,FALSE),0)</f>
        <v>14.333333333333334</v>
      </c>
      <c r="Y492" s="2">
        <f>IFERROR(VLOOKUP(J492,'Rate Sheet'!$D:$F,3,FALSE),0)</f>
        <v>0</v>
      </c>
      <c r="Z492" s="2">
        <f>IFERROR(VLOOKUP(K492,'Rate Sheet'!$D:$F,3,FALSE),0)</f>
        <v>0</v>
      </c>
      <c r="AA492" s="2">
        <f t="shared" si="7"/>
        <v>14.333333333333334</v>
      </c>
      <c r="AB492">
        <v>1</v>
      </c>
    </row>
    <row r="493" spans="1:28" x14ac:dyDescent="0.25">
      <c r="A493" t="s">
        <v>33</v>
      </c>
      <c r="B493" t="s">
        <v>1974</v>
      </c>
      <c r="C493" t="s">
        <v>21</v>
      </c>
      <c r="D493" t="s">
        <v>1974</v>
      </c>
      <c r="E493" t="s">
        <v>735</v>
      </c>
      <c r="F493" t="s">
        <v>1975</v>
      </c>
      <c r="G493" t="s">
        <v>24</v>
      </c>
      <c r="H493" t="s">
        <v>1976</v>
      </c>
      <c r="I493" t="s">
        <v>46</v>
      </c>
      <c r="N493" t="s">
        <v>484</v>
      </c>
      <c r="S493" t="s">
        <v>48</v>
      </c>
      <c r="V493" t="s">
        <v>5717</v>
      </c>
      <c r="W493" t="s">
        <v>2801</v>
      </c>
      <c r="X493" s="2">
        <f>IFERROR(VLOOKUP(I493,'Rate Sheet'!$D:$F,3,FALSE),0)</f>
        <v>14.333333333333334</v>
      </c>
      <c r="Y493" s="2">
        <f>IFERROR(VLOOKUP(J493,'Rate Sheet'!$D:$F,3,FALSE),0)</f>
        <v>0</v>
      </c>
      <c r="Z493" s="2">
        <f>IFERROR(VLOOKUP(K493,'Rate Sheet'!$D:$F,3,FALSE),0)</f>
        <v>0</v>
      </c>
      <c r="AA493" s="2">
        <f t="shared" si="7"/>
        <v>14.333333333333334</v>
      </c>
      <c r="AB493">
        <v>1</v>
      </c>
    </row>
    <row r="494" spans="1:28" x14ac:dyDescent="0.25">
      <c r="A494" t="s">
        <v>33</v>
      </c>
      <c r="B494" t="s">
        <v>1977</v>
      </c>
      <c r="C494" t="s">
        <v>21</v>
      </c>
      <c r="D494" t="s">
        <v>1977</v>
      </c>
      <c r="E494" t="s">
        <v>1978</v>
      </c>
      <c r="F494" t="s">
        <v>1979</v>
      </c>
      <c r="G494" t="s">
        <v>24</v>
      </c>
      <c r="H494" t="s">
        <v>1980</v>
      </c>
      <c r="I494" t="s">
        <v>46</v>
      </c>
      <c r="N494" t="s">
        <v>1981</v>
      </c>
      <c r="S494" t="s">
        <v>48</v>
      </c>
      <c r="V494" t="s">
        <v>5718</v>
      </c>
      <c r="W494" t="s">
        <v>1981</v>
      </c>
      <c r="X494" s="2">
        <f>IFERROR(VLOOKUP(I494,'Rate Sheet'!$D:$F,3,FALSE),0)</f>
        <v>14.333333333333334</v>
      </c>
      <c r="Y494" s="2">
        <f>IFERROR(VLOOKUP(J494,'Rate Sheet'!$D:$F,3,FALSE),0)</f>
        <v>0</v>
      </c>
      <c r="Z494" s="2">
        <f>IFERROR(VLOOKUP(K494,'Rate Sheet'!$D:$F,3,FALSE),0)</f>
        <v>0</v>
      </c>
      <c r="AA494" s="2">
        <f t="shared" si="7"/>
        <v>14.333333333333334</v>
      </c>
      <c r="AB494">
        <v>1</v>
      </c>
    </row>
    <row r="495" spans="1:28" x14ac:dyDescent="0.25">
      <c r="A495" t="s">
        <v>33</v>
      </c>
      <c r="B495" t="s">
        <v>1982</v>
      </c>
      <c r="C495" t="s">
        <v>21</v>
      </c>
      <c r="D495" t="s">
        <v>1982</v>
      </c>
      <c r="E495" t="s">
        <v>1983</v>
      </c>
      <c r="F495" t="s">
        <v>1984</v>
      </c>
      <c r="G495" t="s">
        <v>24</v>
      </c>
      <c r="H495" t="s">
        <v>1985</v>
      </c>
      <c r="I495" t="s">
        <v>46</v>
      </c>
      <c r="N495" t="s">
        <v>1986</v>
      </c>
      <c r="S495" t="s">
        <v>48</v>
      </c>
      <c r="V495" t="s">
        <v>5719</v>
      </c>
      <c r="W495" t="s">
        <v>5720</v>
      </c>
      <c r="X495" s="2">
        <f>IFERROR(VLOOKUP(I495,'Rate Sheet'!$D:$F,3,FALSE),0)</f>
        <v>14.333333333333334</v>
      </c>
      <c r="Y495" s="2">
        <f>IFERROR(VLOOKUP(J495,'Rate Sheet'!$D:$F,3,FALSE),0)</f>
        <v>0</v>
      </c>
      <c r="Z495" s="2">
        <f>IFERROR(VLOOKUP(K495,'Rate Sheet'!$D:$F,3,FALSE),0)</f>
        <v>0</v>
      </c>
      <c r="AA495" s="2">
        <f t="shared" si="7"/>
        <v>14.333333333333334</v>
      </c>
      <c r="AB495">
        <v>1</v>
      </c>
    </row>
    <row r="496" spans="1:28" x14ac:dyDescent="0.25">
      <c r="A496" t="s">
        <v>33</v>
      </c>
      <c r="B496" t="s">
        <v>1987</v>
      </c>
      <c r="C496" t="s">
        <v>21</v>
      </c>
      <c r="D496" t="s">
        <v>1987</v>
      </c>
      <c r="E496" t="s">
        <v>992</v>
      </c>
      <c r="F496" t="s">
        <v>603</v>
      </c>
      <c r="G496" t="s">
        <v>24</v>
      </c>
      <c r="H496" t="s">
        <v>1988</v>
      </c>
      <c r="N496" t="s">
        <v>1252</v>
      </c>
      <c r="X496" s="2">
        <f>IFERROR(VLOOKUP(I496,'Rate Sheet'!$D:$F,3,FALSE),0)</f>
        <v>0</v>
      </c>
      <c r="Y496" s="2">
        <f>IFERROR(VLOOKUP(J496,'Rate Sheet'!$D:$F,3,FALSE),0)</f>
        <v>0</v>
      </c>
      <c r="Z496" s="2">
        <f>IFERROR(VLOOKUP(K496,'Rate Sheet'!$D:$F,3,FALSE),0)</f>
        <v>0</v>
      </c>
      <c r="AA496" s="2">
        <f t="shared" si="7"/>
        <v>0</v>
      </c>
    </row>
    <row r="497" spans="1:28" x14ac:dyDescent="0.25">
      <c r="A497" t="s">
        <v>33</v>
      </c>
      <c r="B497" t="s">
        <v>1989</v>
      </c>
      <c r="C497" t="s">
        <v>21</v>
      </c>
      <c r="D497" t="s">
        <v>1989</v>
      </c>
      <c r="E497" t="s">
        <v>1990</v>
      </c>
      <c r="F497" t="s">
        <v>1991</v>
      </c>
      <c r="G497" t="s">
        <v>24</v>
      </c>
      <c r="H497" t="s">
        <v>1992</v>
      </c>
      <c r="N497" t="s">
        <v>697</v>
      </c>
      <c r="X497" s="2">
        <f>IFERROR(VLOOKUP(I497,'Rate Sheet'!$D:$F,3,FALSE),0)</f>
        <v>0</v>
      </c>
      <c r="Y497" s="2">
        <f>IFERROR(VLOOKUP(J497,'Rate Sheet'!$D:$F,3,FALSE),0)</f>
        <v>0</v>
      </c>
      <c r="Z497" s="2">
        <f>IFERROR(VLOOKUP(K497,'Rate Sheet'!$D:$F,3,FALSE),0)</f>
        <v>0</v>
      </c>
      <c r="AA497" s="2">
        <f t="shared" si="7"/>
        <v>0</v>
      </c>
    </row>
    <row r="498" spans="1:28" x14ac:dyDescent="0.25">
      <c r="A498" t="s">
        <v>33</v>
      </c>
      <c r="B498" t="s">
        <v>1993</v>
      </c>
      <c r="C498" t="s">
        <v>21</v>
      </c>
      <c r="D498" t="s">
        <v>1993</v>
      </c>
      <c r="E498" t="s">
        <v>1994</v>
      </c>
      <c r="F498" t="s">
        <v>1995</v>
      </c>
      <c r="G498" t="s">
        <v>24</v>
      </c>
      <c r="H498" t="s">
        <v>1996</v>
      </c>
      <c r="N498" t="s">
        <v>819</v>
      </c>
      <c r="X498" s="2">
        <f>IFERROR(VLOOKUP(I498,'Rate Sheet'!$D:$F,3,FALSE),0)</f>
        <v>0</v>
      </c>
      <c r="Y498" s="2">
        <f>IFERROR(VLOOKUP(J498,'Rate Sheet'!$D:$F,3,FALSE),0)</f>
        <v>0</v>
      </c>
      <c r="Z498" s="2">
        <f>IFERROR(VLOOKUP(K498,'Rate Sheet'!$D:$F,3,FALSE),0)</f>
        <v>0</v>
      </c>
      <c r="AA498" s="2">
        <f t="shared" si="7"/>
        <v>0</v>
      </c>
    </row>
    <row r="499" spans="1:28" x14ac:dyDescent="0.25">
      <c r="A499" t="s">
        <v>33</v>
      </c>
      <c r="B499" t="s">
        <v>1997</v>
      </c>
      <c r="C499" t="s">
        <v>21</v>
      </c>
      <c r="D499" t="s">
        <v>1997</v>
      </c>
      <c r="E499" t="s">
        <v>178</v>
      </c>
      <c r="F499" t="s">
        <v>1998</v>
      </c>
      <c r="G499" t="s">
        <v>24</v>
      </c>
      <c r="H499" t="s">
        <v>1999</v>
      </c>
      <c r="I499" t="s">
        <v>46</v>
      </c>
      <c r="N499" t="s">
        <v>986</v>
      </c>
      <c r="S499" t="s">
        <v>48</v>
      </c>
      <c r="V499" t="s">
        <v>5715</v>
      </c>
      <c r="W499" t="s">
        <v>5716</v>
      </c>
      <c r="X499" s="2">
        <f>IFERROR(VLOOKUP(I499,'Rate Sheet'!$D:$F,3,FALSE),0)</f>
        <v>14.333333333333334</v>
      </c>
      <c r="Y499" s="2">
        <f>IFERROR(VLOOKUP(J499,'Rate Sheet'!$D:$F,3,FALSE),0)</f>
        <v>0</v>
      </c>
      <c r="Z499" s="2">
        <f>IFERROR(VLOOKUP(K499,'Rate Sheet'!$D:$F,3,FALSE),0)</f>
        <v>0</v>
      </c>
      <c r="AA499" s="2">
        <f t="shared" si="7"/>
        <v>14.333333333333334</v>
      </c>
      <c r="AB499">
        <v>1</v>
      </c>
    </row>
    <row r="500" spans="1:28" x14ac:dyDescent="0.25">
      <c r="A500" t="s">
        <v>33</v>
      </c>
      <c r="B500" t="s">
        <v>2000</v>
      </c>
      <c r="C500" t="s">
        <v>29</v>
      </c>
      <c r="D500" t="s">
        <v>2000</v>
      </c>
      <c r="E500" t="s">
        <v>1654</v>
      </c>
      <c r="F500" t="s">
        <v>2001</v>
      </c>
      <c r="G500" t="s">
        <v>24</v>
      </c>
      <c r="H500" t="s">
        <v>2002</v>
      </c>
      <c r="I500" t="s">
        <v>46</v>
      </c>
      <c r="N500" t="s">
        <v>246</v>
      </c>
      <c r="S500" t="s">
        <v>48</v>
      </c>
      <c r="V500" t="s">
        <v>5661</v>
      </c>
      <c r="W500" t="s">
        <v>246</v>
      </c>
      <c r="X500" s="2">
        <f>IFERROR(VLOOKUP(I500,'Rate Sheet'!$D:$F,3,FALSE),0)</f>
        <v>14.333333333333334</v>
      </c>
      <c r="Y500" s="2">
        <f>IFERROR(VLOOKUP(J500,'Rate Sheet'!$D:$F,3,FALSE),0)</f>
        <v>0</v>
      </c>
      <c r="Z500" s="2">
        <f>IFERROR(VLOOKUP(K500,'Rate Sheet'!$D:$F,3,FALSE),0)</f>
        <v>0</v>
      </c>
      <c r="AA500" s="2">
        <f t="shared" si="7"/>
        <v>14.333333333333334</v>
      </c>
      <c r="AB500">
        <v>1</v>
      </c>
    </row>
    <row r="501" spans="1:28" x14ac:dyDescent="0.25">
      <c r="A501" t="s">
        <v>33</v>
      </c>
      <c r="B501" t="s">
        <v>2003</v>
      </c>
      <c r="C501" t="s">
        <v>29</v>
      </c>
      <c r="D501" t="s">
        <v>2003</v>
      </c>
      <c r="E501" t="s">
        <v>2004</v>
      </c>
      <c r="F501" t="s">
        <v>2005</v>
      </c>
      <c r="G501" t="s">
        <v>24</v>
      </c>
      <c r="H501" t="s">
        <v>2006</v>
      </c>
      <c r="N501" t="s">
        <v>601</v>
      </c>
      <c r="X501" s="2">
        <f>IFERROR(VLOOKUP(I501,'Rate Sheet'!$D:$F,3,FALSE),0)</f>
        <v>0</v>
      </c>
      <c r="Y501" s="2">
        <f>IFERROR(VLOOKUP(J501,'Rate Sheet'!$D:$F,3,FALSE),0)</f>
        <v>0</v>
      </c>
      <c r="Z501" s="2">
        <f>IFERROR(VLOOKUP(K501,'Rate Sheet'!$D:$F,3,FALSE),0)</f>
        <v>0</v>
      </c>
      <c r="AA501" s="2">
        <f t="shared" si="7"/>
        <v>0</v>
      </c>
    </row>
    <row r="502" spans="1:28" x14ac:dyDescent="0.25">
      <c r="A502" t="s">
        <v>33</v>
      </c>
      <c r="B502" t="s">
        <v>2007</v>
      </c>
      <c r="C502" t="s">
        <v>21</v>
      </c>
      <c r="D502" t="s">
        <v>2007</v>
      </c>
      <c r="E502" t="s">
        <v>2008</v>
      </c>
      <c r="F502" t="s">
        <v>1538</v>
      </c>
      <c r="G502" t="s">
        <v>24</v>
      </c>
      <c r="H502" t="s">
        <v>2009</v>
      </c>
      <c r="N502" t="s">
        <v>27</v>
      </c>
      <c r="X502" s="2">
        <f>IFERROR(VLOOKUP(I502,'Rate Sheet'!$D:$F,3,FALSE),0)</f>
        <v>0</v>
      </c>
      <c r="Y502" s="2">
        <f>IFERROR(VLOOKUP(J502,'Rate Sheet'!$D:$F,3,FALSE),0)</f>
        <v>0</v>
      </c>
      <c r="Z502" s="2">
        <f>IFERROR(VLOOKUP(K502,'Rate Sheet'!$D:$F,3,FALSE),0)</f>
        <v>0</v>
      </c>
      <c r="AA502" s="2">
        <f t="shared" si="7"/>
        <v>0</v>
      </c>
    </row>
    <row r="503" spans="1:28" x14ac:dyDescent="0.25">
      <c r="A503" t="s">
        <v>33</v>
      </c>
      <c r="B503" t="s">
        <v>2010</v>
      </c>
      <c r="C503" t="s">
        <v>21</v>
      </c>
      <c r="D503" t="s">
        <v>2010</v>
      </c>
      <c r="E503" t="s">
        <v>2011</v>
      </c>
      <c r="F503" t="s">
        <v>2012</v>
      </c>
      <c r="G503" t="s">
        <v>24</v>
      </c>
      <c r="H503" t="s">
        <v>2013</v>
      </c>
      <c r="N503" t="s">
        <v>2014</v>
      </c>
      <c r="X503" s="2">
        <f>IFERROR(VLOOKUP(I503,'Rate Sheet'!$D:$F,3,FALSE),0)</f>
        <v>0</v>
      </c>
      <c r="Y503" s="2">
        <f>IFERROR(VLOOKUP(J503,'Rate Sheet'!$D:$F,3,FALSE),0)</f>
        <v>0</v>
      </c>
      <c r="Z503" s="2">
        <f>IFERROR(VLOOKUP(K503,'Rate Sheet'!$D:$F,3,FALSE),0)</f>
        <v>0</v>
      </c>
      <c r="AA503" s="2">
        <f t="shared" si="7"/>
        <v>0</v>
      </c>
    </row>
    <row r="504" spans="1:28" x14ac:dyDescent="0.25">
      <c r="A504" t="s">
        <v>33</v>
      </c>
      <c r="B504" t="s">
        <v>2015</v>
      </c>
      <c r="C504" t="s">
        <v>21</v>
      </c>
      <c r="D504" t="s">
        <v>2016</v>
      </c>
      <c r="E504" t="s">
        <v>1890</v>
      </c>
      <c r="F504" t="s">
        <v>2017</v>
      </c>
      <c r="G504" t="s">
        <v>24</v>
      </c>
      <c r="H504" t="s">
        <v>2018</v>
      </c>
      <c r="N504" t="s">
        <v>484</v>
      </c>
      <c r="X504" s="2">
        <f>IFERROR(VLOOKUP(I504,'Rate Sheet'!$D:$F,3,FALSE),0)</f>
        <v>0</v>
      </c>
      <c r="Y504" s="2">
        <f>IFERROR(VLOOKUP(J504,'Rate Sheet'!$D:$F,3,FALSE),0)</f>
        <v>0</v>
      </c>
      <c r="Z504" s="2">
        <f>IFERROR(VLOOKUP(K504,'Rate Sheet'!$D:$F,3,FALSE),0)</f>
        <v>0</v>
      </c>
      <c r="AA504" s="2">
        <f t="shared" si="7"/>
        <v>0</v>
      </c>
    </row>
    <row r="505" spans="1:28" x14ac:dyDescent="0.25">
      <c r="A505" t="s">
        <v>33</v>
      </c>
      <c r="B505" t="s">
        <v>2019</v>
      </c>
      <c r="C505" t="s">
        <v>29</v>
      </c>
      <c r="D505" t="s">
        <v>2019</v>
      </c>
      <c r="E505" t="s">
        <v>2020</v>
      </c>
      <c r="F505" t="s">
        <v>2021</v>
      </c>
      <c r="G505" t="s">
        <v>24</v>
      </c>
      <c r="H505" t="s">
        <v>2022</v>
      </c>
      <c r="I505" t="s">
        <v>73</v>
      </c>
      <c r="N505" t="s">
        <v>190</v>
      </c>
      <c r="S505" t="s">
        <v>75</v>
      </c>
      <c r="V505" t="s">
        <v>5612</v>
      </c>
      <c r="W505" t="s">
        <v>5613</v>
      </c>
      <c r="X505" s="2">
        <f>IFERROR(VLOOKUP(I505,'Rate Sheet'!$D:$F,3,FALSE),0)</f>
        <v>8.6983333333333324</v>
      </c>
      <c r="Y505" s="2">
        <f>IFERROR(VLOOKUP(J505,'Rate Sheet'!$D:$F,3,FALSE),0)</f>
        <v>0</v>
      </c>
      <c r="Z505" s="2">
        <f>IFERROR(VLOOKUP(K505,'Rate Sheet'!$D:$F,3,FALSE),0)</f>
        <v>0</v>
      </c>
      <c r="AA505" s="2">
        <f t="shared" si="7"/>
        <v>8.6983333333333324</v>
      </c>
      <c r="AB505">
        <v>1</v>
      </c>
    </row>
    <row r="506" spans="1:28" x14ac:dyDescent="0.25">
      <c r="A506" t="s">
        <v>33</v>
      </c>
      <c r="B506" t="s">
        <v>2023</v>
      </c>
      <c r="C506" t="s">
        <v>21</v>
      </c>
      <c r="D506" t="s">
        <v>2023</v>
      </c>
      <c r="E506" t="s">
        <v>126</v>
      </c>
      <c r="F506" t="s">
        <v>2024</v>
      </c>
      <c r="G506" t="s">
        <v>24</v>
      </c>
      <c r="H506" t="s">
        <v>2025</v>
      </c>
      <c r="I506" t="s">
        <v>46</v>
      </c>
      <c r="N506" t="s">
        <v>530</v>
      </c>
      <c r="S506" t="s">
        <v>48</v>
      </c>
      <c r="V506" t="s">
        <v>5712</v>
      </c>
      <c r="W506" t="s">
        <v>5713</v>
      </c>
      <c r="X506" s="2">
        <f>IFERROR(VLOOKUP(I506,'Rate Sheet'!$D:$F,3,FALSE),0)</f>
        <v>14.333333333333334</v>
      </c>
      <c r="Y506" s="2">
        <f>IFERROR(VLOOKUP(J506,'Rate Sheet'!$D:$F,3,FALSE),0)</f>
        <v>0</v>
      </c>
      <c r="Z506" s="2">
        <f>IFERROR(VLOOKUP(K506,'Rate Sheet'!$D:$F,3,FALSE),0)</f>
        <v>0</v>
      </c>
      <c r="AA506" s="2">
        <f t="shared" si="7"/>
        <v>14.333333333333334</v>
      </c>
      <c r="AB506">
        <v>1</v>
      </c>
    </row>
    <row r="507" spans="1:28" x14ac:dyDescent="0.25">
      <c r="A507" t="s">
        <v>33</v>
      </c>
      <c r="B507" t="s">
        <v>2026</v>
      </c>
      <c r="C507" t="s">
        <v>21</v>
      </c>
      <c r="D507" t="s">
        <v>2026</v>
      </c>
      <c r="E507" t="s">
        <v>135</v>
      </c>
      <c r="F507" t="s">
        <v>1484</v>
      </c>
      <c r="G507" t="s">
        <v>24</v>
      </c>
      <c r="H507" t="s">
        <v>2027</v>
      </c>
      <c r="I507" t="s">
        <v>46</v>
      </c>
      <c r="N507" t="s">
        <v>692</v>
      </c>
      <c r="S507" t="s">
        <v>48</v>
      </c>
      <c r="V507" t="s">
        <v>5640</v>
      </c>
      <c r="W507" t="s">
        <v>5641</v>
      </c>
      <c r="X507" s="2">
        <f>IFERROR(VLOOKUP(I507,'Rate Sheet'!$D:$F,3,FALSE),0)</f>
        <v>14.333333333333334</v>
      </c>
      <c r="Y507" s="2">
        <f>IFERROR(VLOOKUP(J507,'Rate Sheet'!$D:$F,3,FALSE),0)</f>
        <v>0</v>
      </c>
      <c r="Z507" s="2">
        <f>IFERROR(VLOOKUP(K507,'Rate Sheet'!$D:$F,3,FALSE),0)</f>
        <v>0</v>
      </c>
      <c r="AA507" s="2">
        <f t="shared" ref="AA507:AA570" si="8">SUM(X507:Z507)</f>
        <v>14.333333333333334</v>
      </c>
      <c r="AB507">
        <v>1</v>
      </c>
    </row>
    <row r="508" spans="1:28" x14ac:dyDescent="0.25">
      <c r="A508" t="s">
        <v>33</v>
      </c>
      <c r="B508" t="s">
        <v>2028</v>
      </c>
      <c r="C508" t="s">
        <v>21</v>
      </c>
      <c r="D508" t="s">
        <v>2028</v>
      </c>
      <c r="E508" t="s">
        <v>2029</v>
      </c>
      <c r="F508" t="s">
        <v>2030</v>
      </c>
      <c r="G508" t="s">
        <v>24</v>
      </c>
      <c r="H508" t="s">
        <v>2031</v>
      </c>
      <c r="I508" t="s">
        <v>46</v>
      </c>
      <c r="N508" t="s">
        <v>1923</v>
      </c>
      <c r="S508" t="s">
        <v>48</v>
      </c>
      <c r="V508" t="s">
        <v>5666</v>
      </c>
      <c r="W508" t="s">
        <v>1923</v>
      </c>
      <c r="X508" s="2">
        <f>IFERROR(VLOOKUP(I508,'Rate Sheet'!$D:$F,3,FALSE),0)</f>
        <v>14.333333333333334</v>
      </c>
      <c r="Y508" s="2">
        <f>IFERROR(VLOOKUP(J508,'Rate Sheet'!$D:$F,3,FALSE),0)</f>
        <v>0</v>
      </c>
      <c r="Z508" s="2">
        <f>IFERROR(VLOOKUP(K508,'Rate Sheet'!$D:$F,3,FALSE),0)</f>
        <v>0</v>
      </c>
      <c r="AA508" s="2">
        <f t="shared" si="8"/>
        <v>14.333333333333334</v>
      </c>
      <c r="AB508">
        <v>1</v>
      </c>
    </row>
    <row r="509" spans="1:28" x14ac:dyDescent="0.25">
      <c r="A509" t="s">
        <v>33</v>
      </c>
      <c r="B509" t="s">
        <v>2032</v>
      </c>
      <c r="C509" t="s">
        <v>21</v>
      </c>
      <c r="D509" t="s">
        <v>2032</v>
      </c>
      <c r="E509" t="s">
        <v>140</v>
      </c>
      <c r="F509" t="s">
        <v>450</v>
      </c>
      <c r="G509" t="s">
        <v>24</v>
      </c>
      <c r="H509" t="s">
        <v>2033</v>
      </c>
      <c r="I509" t="s">
        <v>46</v>
      </c>
      <c r="N509" t="s">
        <v>119</v>
      </c>
      <c r="S509" t="s">
        <v>48</v>
      </c>
      <c r="V509" t="s">
        <v>5598</v>
      </c>
      <c r="W509" t="s">
        <v>119</v>
      </c>
      <c r="X509" s="2">
        <f>IFERROR(VLOOKUP(I509,'Rate Sheet'!$D:$F,3,FALSE),0)</f>
        <v>14.333333333333334</v>
      </c>
      <c r="Y509" s="2">
        <f>IFERROR(VLOOKUP(J509,'Rate Sheet'!$D:$F,3,FALSE),0)</f>
        <v>0</v>
      </c>
      <c r="Z509" s="2">
        <f>IFERROR(VLOOKUP(K509,'Rate Sheet'!$D:$F,3,FALSE),0)</f>
        <v>0</v>
      </c>
      <c r="AA509" s="2">
        <f t="shared" si="8"/>
        <v>14.333333333333334</v>
      </c>
      <c r="AB509">
        <v>1</v>
      </c>
    </row>
    <row r="510" spans="1:28" x14ac:dyDescent="0.25">
      <c r="A510" t="s">
        <v>33</v>
      </c>
      <c r="B510" t="s">
        <v>2034</v>
      </c>
      <c r="C510" t="s">
        <v>21</v>
      </c>
      <c r="D510" t="s">
        <v>2034</v>
      </c>
      <c r="E510" t="s">
        <v>1484</v>
      </c>
      <c r="F510" t="s">
        <v>2035</v>
      </c>
      <c r="G510" t="s">
        <v>24</v>
      </c>
      <c r="H510" t="s">
        <v>2036</v>
      </c>
      <c r="I510" t="s">
        <v>46</v>
      </c>
      <c r="N510" t="s">
        <v>53</v>
      </c>
      <c r="S510" t="s">
        <v>48</v>
      </c>
      <c r="V510" s="10" t="s">
        <v>5580</v>
      </c>
      <c r="W510" s="10" t="s">
        <v>5581</v>
      </c>
      <c r="X510" s="2">
        <f>IFERROR(VLOOKUP(I510,'Rate Sheet'!$D:$F,3,FALSE),0)</f>
        <v>14.333333333333334</v>
      </c>
      <c r="Y510" s="2">
        <f>IFERROR(VLOOKUP(J510,'Rate Sheet'!$D:$F,3,FALSE),0)</f>
        <v>0</v>
      </c>
      <c r="Z510" s="2">
        <f>IFERROR(VLOOKUP(K510,'Rate Sheet'!$D:$F,3,FALSE),0)</f>
        <v>0</v>
      </c>
      <c r="AA510" s="2">
        <f t="shared" si="8"/>
        <v>14.333333333333334</v>
      </c>
      <c r="AB510">
        <v>1</v>
      </c>
    </row>
    <row r="511" spans="1:28" x14ac:dyDescent="0.25">
      <c r="A511" t="s">
        <v>33</v>
      </c>
      <c r="B511" t="s">
        <v>2037</v>
      </c>
      <c r="C511" t="s">
        <v>21</v>
      </c>
      <c r="D511" t="s">
        <v>2037</v>
      </c>
      <c r="E511" t="s">
        <v>1146</v>
      </c>
      <c r="F511" t="s">
        <v>2038</v>
      </c>
      <c r="G511" t="s">
        <v>24</v>
      </c>
      <c r="H511" t="s">
        <v>2039</v>
      </c>
      <c r="I511" t="s">
        <v>46</v>
      </c>
      <c r="N511" t="s">
        <v>389</v>
      </c>
      <c r="S511" t="s">
        <v>48</v>
      </c>
      <c r="V511" s="10" t="s">
        <v>5640</v>
      </c>
      <c r="W511" s="10" t="s">
        <v>5641</v>
      </c>
      <c r="X511" s="2">
        <f>IFERROR(VLOOKUP(I511,'Rate Sheet'!$D:$F,3,FALSE),0)</f>
        <v>14.333333333333334</v>
      </c>
      <c r="Y511" s="2">
        <f>IFERROR(VLOOKUP(J511,'Rate Sheet'!$D:$F,3,FALSE),0)</f>
        <v>0</v>
      </c>
      <c r="Z511" s="2">
        <f>IFERROR(VLOOKUP(K511,'Rate Sheet'!$D:$F,3,FALSE),0)</f>
        <v>0</v>
      </c>
      <c r="AA511" s="2">
        <f t="shared" si="8"/>
        <v>14.333333333333334</v>
      </c>
      <c r="AB511">
        <v>1</v>
      </c>
    </row>
    <row r="512" spans="1:28" x14ac:dyDescent="0.25">
      <c r="A512" t="s">
        <v>33</v>
      </c>
      <c r="B512" t="s">
        <v>2040</v>
      </c>
      <c r="C512" t="s">
        <v>21</v>
      </c>
      <c r="D512" t="s">
        <v>2040</v>
      </c>
      <c r="E512" t="s">
        <v>699</v>
      </c>
      <c r="F512" t="s">
        <v>2041</v>
      </c>
      <c r="G512" t="s">
        <v>24</v>
      </c>
      <c r="H512" t="s">
        <v>2042</v>
      </c>
      <c r="I512" t="s">
        <v>46</v>
      </c>
      <c r="N512" t="s">
        <v>1152</v>
      </c>
      <c r="S512" t="s">
        <v>48</v>
      </c>
      <c r="V512" t="s">
        <v>5688</v>
      </c>
      <c r="W512" t="s">
        <v>1152</v>
      </c>
      <c r="X512" s="2">
        <f>IFERROR(VLOOKUP(I512,'Rate Sheet'!$D:$F,3,FALSE),0)</f>
        <v>14.333333333333334</v>
      </c>
      <c r="Y512" s="2">
        <f>IFERROR(VLOOKUP(J512,'Rate Sheet'!$D:$F,3,FALSE),0)</f>
        <v>0</v>
      </c>
      <c r="Z512" s="2">
        <f>IFERROR(VLOOKUP(K512,'Rate Sheet'!$D:$F,3,FALSE),0)</f>
        <v>0</v>
      </c>
      <c r="AA512" s="2">
        <f t="shared" si="8"/>
        <v>14.333333333333334</v>
      </c>
      <c r="AB512">
        <v>1</v>
      </c>
    </row>
    <row r="513" spans="1:28" x14ac:dyDescent="0.25">
      <c r="A513" t="s">
        <v>33</v>
      </c>
      <c r="B513" t="s">
        <v>2043</v>
      </c>
      <c r="C513" t="s">
        <v>21</v>
      </c>
      <c r="D513" t="s">
        <v>2043</v>
      </c>
      <c r="E513" t="s">
        <v>2044</v>
      </c>
      <c r="F513" t="s">
        <v>2045</v>
      </c>
      <c r="G513" t="s">
        <v>24</v>
      </c>
      <c r="H513" t="s">
        <v>2046</v>
      </c>
      <c r="I513" t="s">
        <v>46</v>
      </c>
      <c r="N513" t="s">
        <v>38</v>
      </c>
      <c r="S513" t="s">
        <v>48</v>
      </c>
      <c r="V513" t="s">
        <v>5582</v>
      </c>
      <c r="W513" t="s">
        <v>5583</v>
      </c>
      <c r="X513" s="2">
        <f>IFERROR(VLOOKUP(I513,'Rate Sheet'!$D:$F,3,FALSE),0)</f>
        <v>14.333333333333334</v>
      </c>
      <c r="Y513" s="2">
        <f>IFERROR(VLOOKUP(J513,'Rate Sheet'!$D:$F,3,FALSE),0)</f>
        <v>0</v>
      </c>
      <c r="Z513" s="2">
        <f>IFERROR(VLOOKUP(K513,'Rate Sheet'!$D:$F,3,FALSE),0)</f>
        <v>0</v>
      </c>
      <c r="AA513" s="2">
        <f t="shared" si="8"/>
        <v>14.333333333333334</v>
      </c>
      <c r="AB513">
        <v>1</v>
      </c>
    </row>
    <row r="514" spans="1:28" x14ac:dyDescent="0.25">
      <c r="A514" t="s">
        <v>33</v>
      </c>
      <c r="B514" t="s">
        <v>2047</v>
      </c>
      <c r="C514" t="s">
        <v>21</v>
      </c>
      <c r="D514" t="s">
        <v>2047</v>
      </c>
      <c r="E514" t="s">
        <v>2048</v>
      </c>
      <c r="F514" t="s">
        <v>2049</v>
      </c>
      <c r="G514" t="s">
        <v>24</v>
      </c>
      <c r="H514" t="s">
        <v>2050</v>
      </c>
      <c r="N514" t="s">
        <v>287</v>
      </c>
      <c r="X514" s="2">
        <f>IFERROR(VLOOKUP(I514,'Rate Sheet'!$D:$F,3,FALSE),0)</f>
        <v>0</v>
      </c>
      <c r="Y514" s="2">
        <f>IFERROR(VLOOKUP(J514,'Rate Sheet'!$D:$F,3,FALSE),0)</f>
        <v>0</v>
      </c>
      <c r="Z514" s="2">
        <f>IFERROR(VLOOKUP(K514,'Rate Sheet'!$D:$F,3,FALSE),0)</f>
        <v>0</v>
      </c>
      <c r="AA514" s="2">
        <f t="shared" si="8"/>
        <v>0</v>
      </c>
    </row>
    <row r="515" spans="1:28" x14ac:dyDescent="0.25">
      <c r="A515" t="s">
        <v>33</v>
      </c>
      <c r="B515" t="s">
        <v>2051</v>
      </c>
      <c r="C515" t="s">
        <v>21</v>
      </c>
      <c r="D515" t="s">
        <v>2051</v>
      </c>
      <c r="E515" t="s">
        <v>2052</v>
      </c>
      <c r="F515" t="s">
        <v>2053</v>
      </c>
      <c r="G515" t="s">
        <v>24</v>
      </c>
      <c r="H515" t="s">
        <v>2054</v>
      </c>
      <c r="I515" t="s">
        <v>46</v>
      </c>
      <c r="N515" t="s">
        <v>697</v>
      </c>
      <c r="S515" t="s">
        <v>48</v>
      </c>
      <c r="V515" t="s">
        <v>5602</v>
      </c>
      <c r="W515" t="s">
        <v>5603</v>
      </c>
      <c r="X515" s="2">
        <f>IFERROR(VLOOKUP(I515,'Rate Sheet'!$D:$F,3,FALSE),0)</f>
        <v>14.333333333333334</v>
      </c>
      <c r="Y515" s="2">
        <f>IFERROR(VLOOKUP(J515,'Rate Sheet'!$D:$F,3,FALSE),0)</f>
        <v>0</v>
      </c>
      <c r="Z515" s="2">
        <f>IFERROR(VLOOKUP(K515,'Rate Sheet'!$D:$F,3,FALSE),0)</f>
        <v>0</v>
      </c>
      <c r="AA515" s="2">
        <f t="shared" si="8"/>
        <v>14.333333333333334</v>
      </c>
      <c r="AB515">
        <v>1</v>
      </c>
    </row>
    <row r="516" spans="1:28" x14ac:dyDescent="0.25">
      <c r="A516" t="s">
        <v>33</v>
      </c>
      <c r="B516" t="s">
        <v>2055</v>
      </c>
      <c r="C516" t="s">
        <v>21</v>
      </c>
      <c r="D516" t="s">
        <v>2055</v>
      </c>
      <c r="E516" t="s">
        <v>1063</v>
      </c>
      <c r="F516" t="s">
        <v>2056</v>
      </c>
      <c r="G516" t="s">
        <v>24</v>
      </c>
      <c r="H516" t="s">
        <v>2057</v>
      </c>
      <c r="I516" t="s">
        <v>46</v>
      </c>
      <c r="N516" t="s">
        <v>1433</v>
      </c>
      <c r="S516" t="s">
        <v>48</v>
      </c>
      <c r="V516" t="s">
        <v>5582</v>
      </c>
      <c r="W516" t="s">
        <v>5583</v>
      </c>
      <c r="X516" s="2">
        <f>IFERROR(VLOOKUP(I516,'Rate Sheet'!$D:$F,3,FALSE),0)</f>
        <v>14.333333333333334</v>
      </c>
      <c r="Y516" s="2">
        <f>IFERROR(VLOOKUP(J516,'Rate Sheet'!$D:$F,3,FALSE),0)</f>
        <v>0</v>
      </c>
      <c r="Z516" s="2">
        <f>IFERROR(VLOOKUP(K516,'Rate Sheet'!$D:$F,3,FALSE),0)</f>
        <v>0</v>
      </c>
      <c r="AA516" s="2">
        <f t="shared" si="8"/>
        <v>14.333333333333334</v>
      </c>
      <c r="AB516">
        <v>1</v>
      </c>
    </row>
    <row r="517" spans="1:28" x14ac:dyDescent="0.25">
      <c r="A517" t="s">
        <v>33</v>
      </c>
      <c r="B517" t="s">
        <v>2058</v>
      </c>
      <c r="C517" t="s">
        <v>21</v>
      </c>
      <c r="D517" t="s">
        <v>2059</v>
      </c>
      <c r="E517" t="s">
        <v>598</v>
      </c>
      <c r="F517" t="s">
        <v>2060</v>
      </c>
      <c r="G517" t="s">
        <v>24</v>
      </c>
      <c r="H517" t="s">
        <v>2061</v>
      </c>
      <c r="N517" t="s">
        <v>914</v>
      </c>
      <c r="X517" s="2">
        <f>IFERROR(VLOOKUP(I517,'Rate Sheet'!$D:$F,3,FALSE),0)</f>
        <v>0</v>
      </c>
      <c r="Y517" s="2">
        <f>IFERROR(VLOOKUP(J517,'Rate Sheet'!$D:$F,3,FALSE),0)</f>
        <v>0</v>
      </c>
      <c r="Z517" s="2">
        <f>IFERROR(VLOOKUP(K517,'Rate Sheet'!$D:$F,3,FALSE),0)</f>
        <v>0</v>
      </c>
      <c r="AA517" s="2">
        <f t="shared" si="8"/>
        <v>0</v>
      </c>
    </row>
    <row r="518" spans="1:28" x14ac:dyDescent="0.25">
      <c r="A518" t="s">
        <v>33</v>
      </c>
      <c r="B518" t="s">
        <v>2062</v>
      </c>
      <c r="C518" t="s">
        <v>21</v>
      </c>
      <c r="D518" t="s">
        <v>2062</v>
      </c>
      <c r="E518" t="s">
        <v>1488</v>
      </c>
      <c r="F518" t="s">
        <v>2063</v>
      </c>
      <c r="G518" t="s">
        <v>24</v>
      </c>
      <c r="H518" t="s">
        <v>2064</v>
      </c>
      <c r="N518" t="s">
        <v>349</v>
      </c>
      <c r="X518" s="2">
        <f>IFERROR(VLOOKUP(I518,'Rate Sheet'!$D:$F,3,FALSE),0)</f>
        <v>0</v>
      </c>
      <c r="Y518" s="2">
        <f>IFERROR(VLOOKUP(J518,'Rate Sheet'!$D:$F,3,FALSE),0)</f>
        <v>0</v>
      </c>
      <c r="Z518" s="2">
        <f>IFERROR(VLOOKUP(K518,'Rate Sheet'!$D:$F,3,FALSE),0)</f>
        <v>0</v>
      </c>
      <c r="AA518" s="2">
        <f t="shared" si="8"/>
        <v>0</v>
      </c>
    </row>
    <row r="519" spans="1:28" x14ac:dyDescent="0.25">
      <c r="A519" t="s">
        <v>33</v>
      </c>
      <c r="B519" t="s">
        <v>2065</v>
      </c>
      <c r="C519" t="s">
        <v>21</v>
      </c>
      <c r="D519" t="s">
        <v>2065</v>
      </c>
      <c r="E519" t="s">
        <v>2066</v>
      </c>
      <c r="F519" t="s">
        <v>2067</v>
      </c>
      <c r="G519" t="s">
        <v>24</v>
      </c>
      <c r="H519" t="s">
        <v>2068</v>
      </c>
      <c r="I519" t="s">
        <v>46</v>
      </c>
      <c r="N519" t="s">
        <v>349</v>
      </c>
      <c r="S519" t="s">
        <v>48</v>
      </c>
      <c r="V519" t="s">
        <v>5630</v>
      </c>
      <c r="W519" t="s">
        <v>5631</v>
      </c>
      <c r="X519" s="2">
        <f>IFERROR(VLOOKUP(I519,'Rate Sheet'!$D:$F,3,FALSE),0)</f>
        <v>14.333333333333334</v>
      </c>
      <c r="Y519" s="2">
        <f>IFERROR(VLOOKUP(J519,'Rate Sheet'!$D:$F,3,FALSE),0)</f>
        <v>0</v>
      </c>
      <c r="Z519" s="2">
        <f>IFERROR(VLOOKUP(K519,'Rate Sheet'!$D:$F,3,FALSE),0)</f>
        <v>0</v>
      </c>
      <c r="AA519" s="2">
        <f t="shared" si="8"/>
        <v>14.333333333333334</v>
      </c>
      <c r="AB519">
        <v>1</v>
      </c>
    </row>
    <row r="520" spans="1:28" x14ac:dyDescent="0.25">
      <c r="A520" t="s">
        <v>33</v>
      </c>
      <c r="B520" t="s">
        <v>2069</v>
      </c>
      <c r="C520" t="s">
        <v>21</v>
      </c>
      <c r="D520" t="s">
        <v>2069</v>
      </c>
      <c r="E520" t="s">
        <v>2070</v>
      </c>
      <c r="F520" t="s">
        <v>2071</v>
      </c>
      <c r="G520" t="s">
        <v>24</v>
      </c>
      <c r="H520" t="s">
        <v>2072</v>
      </c>
      <c r="I520" t="s">
        <v>46</v>
      </c>
      <c r="N520" t="s">
        <v>349</v>
      </c>
      <c r="S520" t="s">
        <v>48</v>
      </c>
      <c r="V520" t="s">
        <v>5630</v>
      </c>
      <c r="W520" t="s">
        <v>5631</v>
      </c>
      <c r="X520" s="2">
        <f>IFERROR(VLOOKUP(I520,'Rate Sheet'!$D:$F,3,FALSE),0)</f>
        <v>14.333333333333334</v>
      </c>
      <c r="Y520" s="2">
        <f>IFERROR(VLOOKUP(J520,'Rate Sheet'!$D:$F,3,FALSE),0)</f>
        <v>0</v>
      </c>
      <c r="Z520" s="2">
        <f>IFERROR(VLOOKUP(K520,'Rate Sheet'!$D:$F,3,FALSE),0)</f>
        <v>0</v>
      </c>
      <c r="AA520" s="2">
        <f t="shared" si="8"/>
        <v>14.333333333333334</v>
      </c>
      <c r="AB520">
        <v>1</v>
      </c>
    </row>
    <row r="521" spans="1:28" x14ac:dyDescent="0.25">
      <c r="A521" t="s">
        <v>33</v>
      </c>
      <c r="B521" t="s">
        <v>2073</v>
      </c>
      <c r="C521" t="s">
        <v>21</v>
      </c>
      <c r="D521" t="s">
        <v>2073</v>
      </c>
      <c r="E521" t="s">
        <v>1968</v>
      </c>
      <c r="F521" t="s">
        <v>2074</v>
      </c>
      <c r="G521" t="s">
        <v>24</v>
      </c>
      <c r="H521" t="s">
        <v>2075</v>
      </c>
      <c r="N521" t="s">
        <v>27</v>
      </c>
      <c r="X521" s="2">
        <f>IFERROR(VLOOKUP(I521,'Rate Sheet'!$D:$F,3,FALSE),0)</f>
        <v>0</v>
      </c>
      <c r="Y521" s="2">
        <f>IFERROR(VLOOKUP(J521,'Rate Sheet'!$D:$F,3,FALSE),0)</f>
        <v>0</v>
      </c>
      <c r="Z521" s="2">
        <f>IFERROR(VLOOKUP(K521,'Rate Sheet'!$D:$F,3,FALSE),0)</f>
        <v>0</v>
      </c>
      <c r="AA521" s="2">
        <f t="shared" si="8"/>
        <v>0</v>
      </c>
    </row>
    <row r="522" spans="1:28" x14ac:dyDescent="0.25">
      <c r="A522" t="s">
        <v>33</v>
      </c>
      <c r="B522" t="s">
        <v>2076</v>
      </c>
      <c r="C522" t="s">
        <v>21</v>
      </c>
      <c r="D522" t="s">
        <v>2076</v>
      </c>
      <c r="E522" t="s">
        <v>126</v>
      </c>
      <c r="F522" t="s">
        <v>2077</v>
      </c>
      <c r="G522" t="s">
        <v>24</v>
      </c>
      <c r="H522" t="s">
        <v>2078</v>
      </c>
      <c r="I522" t="s">
        <v>46</v>
      </c>
      <c r="N522" t="s">
        <v>317</v>
      </c>
      <c r="S522" t="s">
        <v>48</v>
      </c>
      <c r="V522" t="s">
        <v>5625</v>
      </c>
      <c r="W522" t="s">
        <v>317</v>
      </c>
      <c r="X522" s="2">
        <f>IFERROR(VLOOKUP(I522,'Rate Sheet'!$D:$F,3,FALSE),0)</f>
        <v>14.333333333333334</v>
      </c>
      <c r="Y522" s="2">
        <f>IFERROR(VLOOKUP(J522,'Rate Sheet'!$D:$F,3,FALSE),0)</f>
        <v>0</v>
      </c>
      <c r="Z522" s="2">
        <f>IFERROR(VLOOKUP(K522,'Rate Sheet'!$D:$F,3,FALSE),0)</f>
        <v>0</v>
      </c>
      <c r="AA522" s="2">
        <f t="shared" si="8"/>
        <v>14.333333333333334</v>
      </c>
      <c r="AB522">
        <v>1</v>
      </c>
    </row>
    <row r="523" spans="1:28" x14ac:dyDescent="0.25">
      <c r="A523" t="s">
        <v>33</v>
      </c>
      <c r="B523" t="s">
        <v>2079</v>
      </c>
      <c r="C523" t="s">
        <v>21</v>
      </c>
      <c r="D523" t="s">
        <v>2080</v>
      </c>
      <c r="E523" t="s">
        <v>221</v>
      </c>
      <c r="F523" t="s">
        <v>2081</v>
      </c>
      <c r="G523" t="s">
        <v>24</v>
      </c>
      <c r="H523" t="s">
        <v>2082</v>
      </c>
      <c r="I523" t="s">
        <v>46</v>
      </c>
      <c r="N523" t="s">
        <v>2083</v>
      </c>
      <c r="S523" t="s">
        <v>48</v>
      </c>
      <c r="V523" t="s">
        <v>5721</v>
      </c>
      <c r="W523" t="s">
        <v>5722</v>
      </c>
      <c r="X523" s="2">
        <f>IFERROR(VLOOKUP(I523,'Rate Sheet'!$D:$F,3,FALSE),0)</f>
        <v>14.333333333333334</v>
      </c>
      <c r="Y523" s="2">
        <f>IFERROR(VLOOKUP(J523,'Rate Sheet'!$D:$F,3,FALSE),0)</f>
        <v>0</v>
      </c>
      <c r="Z523" s="2">
        <f>IFERROR(VLOOKUP(K523,'Rate Sheet'!$D:$F,3,FALSE),0)</f>
        <v>0</v>
      </c>
      <c r="AA523" s="2">
        <f t="shared" si="8"/>
        <v>14.333333333333334</v>
      </c>
      <c r="AB523">
        <v>1</v>
      </c>
    </row>
    <row r="524" spans="1:28" x14ac:dyDescent="0.25">
      <c r="A524" t="s">
        <v>33</v>
      </c>
      <c r="B524" t="s">
        <v>2084</v>
      </c>
      <c r="C524" t="s">
        <v>21</v>
      </c>
      <c r="D524" t="s">
        <v>2085</v>
      </c>
      <c r="E524" t="s">
        <v>2086</v>
      </c>
      <c r="F524" t="s">
        <v>2087</v>
      </c>
      <c r="G524" t="s">
        <v>24</v>
      </c>
      <c r="H524" t="s">
        <v>2088</v>
      </c>
      <c r="I524" t="s">
        <v>46</v>
      </c>
      <c r="N524" t="s">
        <v>1402</v>
      </c>
      <c r="S524" t="s">
        <v>48</v>
      </c>
      <c r="V524" t="s">
        <v>5592</v>
      </c>
      <c r="W524" t="s">
        <v>97</v>
      </c>
      <c r="X524" s="2">
        <f>IFERROR(VLOOKUP(I524,'Rate Sheet'!$D:$F,3,FALSE),0)</f>
        <v>14.333333333333334</v>
      </c>
      <c r="Y524" s="2">
        <f>IFERROR(VLOOKUP(J524,'Rate Sheet'!$D:$F,3,FALSE),0)</f>
        <v>0</v>
      </c>
      <c r="Z524" s="2">
        <f>IFERROR(VLOOKUP(K524,'Rate Sheet'!$D:$F,3,FALSE),0)</f>
        <v>0</v>
      </c>
      <c r="AA524" s="2">
        <f t="shared" si="8"/>
        <v>14.333333333333334</v>
      </c>
      <c r="AB524">
        <v>1</v>
      </c>
    </row>
    <row r="525" spans="1:28" x14ac:dyDescent="0.25">
      <c r="A525" t="s">
        <v>33</v>
      </c>
      <c r="B525" t="s">
        <v>2089</v>
      </c>
      <c r="C525" t="s">
        <v>21</v>
      </c>
      <c r="D525" t="s">
        <v>2089</v>
      </c>
      <c r="E525" t="s">
        <v>2090</v>
      </c>
      <c r="F525" t="s">
        <v>2091</v>
      </c>
      <c r="G525" t="s">
        <v>24</v>
      </c>
      <c r="H525" t="s">
        <v>2092</v>
      </c>
      <c r="I525" t="s">
        <v>46</v>
      </c>
      <c r="N525" t="s">
        <v>1152</v>
      </c>
      <c r="S525" t="s">
        <v>48</v>
      </c>
      <c r="V525" t="s">
        <v>5688</v>
      </c>
      <c r="W525" t="s">
        <v>1152</v>
      </c>
      <c r="X525" s="2">
        <f>IFERROR(VLOOKUP(I525,'Rate Sheet'!$D:$F,3,FALSE),0)</f>
        <v>14.333333333333334</v>
      </c>
      <c r="Y525" s="2">
        <f>IFERROR(VLOOKUP(J525,'Rate Sheet'!$D:$F,3,FALSE),0)</f>
        <v>0</v>
      </c>
      <c r="Z525" s="2">
        <f>IFERROR(VLOOKUP(K525,'Rate Sheet'!$D:$F,3,FALSE),0)</f>
        <v>0</v>
      </c>
      <c r="AA525" s="2">
        <f t="shared" si="8"/>
        <v>14.333333333333334</v>
      </c>
      <c r="AB525">
        <v>1</v>
      </c>
    </row>
    <row r="526" spans="1:28" x14ac:dyDescent="0.25">
      <c r="A526" t="s">
        <v>33</v>
      </c>
      <c r="B526" t="s">
        <v>2093</v>
      </c>
      <c r="C526" t="s">
        <v>21</v>
      </c>
      <c r="D526" t="s">
        <v>2093</v>
      </c>
      <c r="E526" t="s">
        <v>2094</v>
      </c>
      <c r="F526" t="s">
        <v>2095</v>
      </c>
      <c r="G526" t="s">
        <v>24</v>
      </c>
      <c r="H526" t="s">
        <v>2096</v>
      </c>
      <c r="I526" t="s">
        <v>73</v>
      </c>
      <c r="N526" t="s">
        <v>53</v>
      </c>
      <c r="S526" t="s">
        <v>75</v>
      </c>
      <c r="V526" t="s">
        <v>5628</v>
      </c>
      <c r="W526" t="s">
        <v>5629</v>
      </c>
      <c r="X526" s="2">
        <f>IFERROR(VLOOKUP(I526,'Rate Sheet'!$D:$F,3,FALSE),0)</f>
        <v>8.6983333333333324</v>
      </c>
      <c r="Y526" s="2">
        <f>IFERROR(VLOOKUP(J526,'Rate Sheet'!$D:$F,3,FALSE),0)</f>
        <v>0</v>
      </c>
      <c r="Z526" s="2">
        <f>IFERROR(VLOOKUP(K526,'Rate Sheet'!$D:$F,3,FALSE),0)</f>
        <v>0</v>
      </c>
      <c r="AA526" s="2">
        <f t="shared" si="8"/>
        <v>8.6983333333333324</v>
      </c>
      <c r="AB526">
        <v>1</v>
      </c>
    </row>
    <row r="527" spans="1:28" x14ac:dyDescent="0.25">
      <c r="A527" t="s">
        <v>33</v>
      </c>
      <c r="B527" t="s">
        <v>2097</v>
      </c>
      <c r="C527" t="s">
        <v>21</v>
      </c>
      <c r="D527" t="s">
        <v>2097</v>
      </c>
      <c r="E527" t="s">
        <v>1149</v>
      </c>
      <c r="F527" t="s">
        <v>2098</v>
      </c>
      <c r="G527" t="s">
        <v>24</v>
      </c>
      <c r="H527" t="s">
        <v>2099</v>
      </c>
      <c r="I527" t="s">
        <v>46</v>
      </c>
      <c r="N527" t="s">
        <v>47</v>
      </c>
      <c r="S527" t="s">
        <v>48</v>
      </c>
      <c r="V527" t="s">
        <v>5578</v>
      </c>
      <c r="W527" t="s">
        <v>5579</v>
      </c>
      <c r="X527" s="2">
        <f>IFERROR(VLOOKUP(I527,'Rate Sheet'!$D:$F,3,FALSE),0)</f>
        <v>14.333333333333334</v>
      </c>
      <c r="Y527" s="2">
        <f>IFERROR(VLOOKUP(J527,'Rate Sheet'!$D:$F,3,FALSE),0)</f>
        <v>0</v>
      </c>
      <c r="Z527" s="2">
        <f>IFERROR(VLOOKUP(K527,'Rate Sheet'!$D:$F,3,FALSE),0)</f>
        <v>0</v>
      </c>
      <c r="AA527" s="2">
        <f t="shared" si="8"/>
        <v>14.333333333333334</v>
      </c>
      <c r="AB527">
        <v>1</v>
      </c>
    </row>
    <row r="528" spans="1:28" x14ac:dyDescent="0.25">
      <c r="A528" t="s">
        <v>33</v>
      </c>
      <c r="B528" t="s">
        <v>2100</v>
      </c>
      <c r="C528" t="s">
        <v>21</v>
      </c>
      <c r="D528" t="s">
        <v>2100</v>
      </c>
      <c r="E528" t="s">
        <v>342</v>
      </c>
      <c r="F528" t="s">
        <v>2101</v>
      </c>
      <c r="G528" t="s">
        <v>24</v>
      </c>
      <c r="H528" t="s">
        <v>2102</v>
      </c>
      <c r="I528" t="s">
        <v>46</v>
      </c>
      <c r="N528" t="s">
        <v>207</v>
      </c>
      <c r="S528" t="s">
        <v>48</v>
      </c>
      <c r="V528" t="s">
        <v>5614</v>
      </c>
      <c r="W528" t="s">
        <v>1184</v>
      </c>
      <c r="X528" s="2">
        <f>IFERROR(VLOOKUP(I528,'Rate Sheet'!$D:$F,3,FALSE),0)</f>
        <v>14.333333333333334</v>
      </c>
      <c r="Y528" s="2">
        <f>IFERROR(VLOOKUP(J528,'Rate Sheet'!$D:$F,3,FALSE),0)</f>
        <v>0</v>
      </c>
      <c r="Z528" s="2">
        <f>IFERROR(VLOOKUP(K528,'Rate Sheet'!$D:$F,3,FALSE),0)</f>
        <v>0</v>
      </c>
      <c r="AA528" s="2">
        <f t="shared" si="8"/>
        <v>14.333333333333334</v>
      </c>
      <c r="AB528">
        <v>1</v>
      </c>
    </row>
    <row r="529" spans="1:28" x14ac:dyDescent="0.25">
      <c r="A529" t="s">
        <v>33</v>
      </c>
      <c r="B529" t="s">
        <v>2103</v>
      </c>
      <c r="C529" t="s">
        <v>21</v>
      </c>
      <c r="D529" t="s">
        <v>2103</v>
      </c>
      <c r="E529" t="s">
        <v>2104</v>
      </c>
      <c r="F529" t="s">
        <v>168</v>
      </c>
      <c r="G529" t="s">
        <v>24</v>
      </c>
      <c r="H529" s="1" t="s">
        <v>2105</v>
      </c>
      <c r="I529" t="s">
        <v>46</v>
      </c>
      <c r="N529" t="s">
        <v>207</v>
      </c>
      <c r="S529" t="s">
        <v>48</v>
      </c>
      <c r="V529" t="s">
        <v>5614</v>
      </c>
      <c r="W529" t="s">
        <v>1184</v>
      </c>
      <c r="X529" s="2">
        <f>IFERROR(VLOOKUP(I529,'Rate Sheet'!$D:$F,3,FALSE),0)</f>
        <v>14.333333333333334</v>
      </c>
      <c r="Y529" s="2">
        <f>IFERROR(VLOOKUP(J529,'Rate Sheet'!$D:$F,3,FALSE),0)</f>
        <v>0</v>
      </c>
      <c r="Z529" s="2">
        <f>IFERROR(VLOOKUP(K529,'Rate Sheet'!$D:$F,3,FALSE),0)</f>
        <v>0</v>
      </c>
      <c r="AA529" s="2">
        <f t="shared" si="8"/>
        <v>14.333333333333334</v>
      </c>
      <c r="AB529">
        <v>1</v>
      </c>
    </row>
    <row r="530" spans="1:28" x14ac:dyDescent="0.25">
      <c r="A530" t="s">
        <v>33</v>
      </c>
      <c r="B530" t="s">
        <v>2106</v>
      </c>
      <c r="C530" t="s">
        <v>21</v>
      </c>
      <c r="D530" t="s">
        <v>2106</v>
      </c>
      <c r="E530" t="s">
        <v>778</v>
      </c>
      <c r="F530" t="s">
        <v>2107</v>
      </c>
      <c r="G530" t="s">
        <v>24</v>
      </c>
      <c r="H530" t="s">
        <v>2108</v>
      </c>
      <c r="I530" t="s">
        <v>46</v>
      </c>
      <c r="N530" t="s">
        <v>207</v>
      </c>
      <c r="S530" t="s">
        <v>48</v>
      </c>
      <c r="V530" t="s">
        <v>5614</v>
      </c>
      <c r="W530" t="s">
        <v>1184</v>
      </c>
      <c r="X530" s="2">
        <f>IFERROR(VLOOKUP(I530,'Rate Sheet'!$D:$F,3,FALSE),0)</f>
        <v>14.333333333333334</v>
      </c>
      <c r="Y530" s="2">
        <f>IFERROR(VLOOKUP(J530,'Rate Sheet'!$D:$F,3,FALSE),0)</f>
        <v>0</v>
      </c>
      <c r="Z530" s="2">
        <f>IFERROR(VLOOKUP(K530,'Rate Sheet'!$D:$F,3,FALSE),0)</f>
        <v>0</v>
      </c>
      <c r="AA530" s="2">
        <f t="shared" si="8"/>
        <v>14.333333333333334</v>
      </c>
      <c r="AB530">
        <v>1</v>
      </c>
    </row>
    <row r="531" spans="1:28" x14ac:dyDescent="0.25">
      <c r="A531" t="s">
        <v>33</v>
      </c>
      <c r="B531" t="s">
        <v>2109</v>
      </c>
      <c r="C531" t="s">
        <v>21</v>
      </c>
      <c r="D531" t="s">
        <v>2109</v>
      </c>
      <c r="E531" t="s">
        <v>1189</v>
      </c>
      <c r="F531" t="s">
        <v>2110</v>
      </c>
      <c r="G531" t="s">
        <v>24</v>
      </c>
      <c r="H531" t="s">
        <v>2111</v>
      </c>
      <c r="I531" t="s">
        <v>46</v>
      </c>
      <c r="N531" t="s">
        <v>1923</v>
      </c>
      <c r="S531" t="s">
        <v>48</v>
      </c>
      <c r="V531" t="s">
        <v>5675</v>
      </c>
      <c r="W531" t="s">
        <v>5676</v>
      </c>
      <c r="X531" s="2">
        <f>IFERROR(VLOOKUP(I531,'Rate Sheet'!$D:$F,3,FALSE),0)</f>
        <v>14.333333333333334</v>
      </c>
      <c r="Y531" s="2">
        <f>IFERROR(VLOOKUP(J531,'Rate Sheet'!$D:$F,3,FALSE),0)</f>
        <v>0</v>
      </c>
      <c r="Z531" s="2">
        <f>IFERROR(VLOOKUP(K531,'Rate Sheet'!$D:$F,3,FALSE),0)</f>
        <v>0</v>
      </c>
      <c r="AA531" s="2">
        <f t="shared" si="8"/>
        <v>14.333333333333334</v>
      </c>
      <c r="AB531">
        <v>1</v>
      </c>
    </row>
    <row r="532" spans="1:28" x14ac:dyDescent="0.25">
      <c r="A532" t="s">
        <v>33</v>
      </c>
      <c r="B532" t="s">
        <v>2112</v>
      </c>
      <c r="C532" t="s">
        <v>21</v>
      </c>
      <c r="D532" t="s">
        <v>2112</v>
      </c>
      <c r="E532" t="s">
        <v>2113</v>
      </c>
      <c r="F532" t="s">
        <v>2114</v>
      </c>
      <c r="G532" t="s">
        <v>24</v>
      </c>
      <c r="H532" t="s">
        <v>2115</v>
      </c>
      <c r="I532" t="s">
        <v>46</v>
      </c>
      <c r="N532" t="s">
        <v>389</v>
      </c>
      <c r="S532" t="s">
        <v>48</v>
      </c>
      <c r="V532" t="s">
        <v>5628</v>
      </c>
      <c r="W532" t="s">
        <v>5629</v>
      </c>
      <c r="X532" s="2">
        <f>IFERROR(VLOOKUP(I532,'Rate Sheet'!$D:$F,3,FALSE),0)</f>
        <v>14.333333333333334</v>
      </c>
      <c r="Y532" s="2">
        <f>IFERROR(VLOOKUP(J532,'Rate Sheet'!$D:$F,3,FALSE),0)</f>
        <v>0</v>
      </c>
      <c r="Z532" s="2">
        <f>IFERROR(VLOOKUP(K532,'Rate Sheet'!$D:$F,3,FALSE),0)</f>
        <v>0</v>
      </c>
      <c r="AA532" s="2">
        <f t="shared" si="8"/>
        <v>14.333333333333334</v>
      </c>
      <c r="AB532">
        <v>1</v>
      </c>
    </row>
    <row r="533" spans="1:28" x14ac:dyDescent="0.25">
      <c r="A533" t="s">
        <v>33</v>
      </c>
      <c r="B533" t="s">
        <v>2116</v>
      </c>
      <c r="C533" t="s">
        <v>21</v>
      </c>
      <c r="D533" t="s">
        <v>2116</v>
      </c>
      <c r="E533" t="s">
        <v>2117</v>
      </c>
      <c r="F533" t="s">
        <v>2118</v>
      </c>
      <c r="G533" t="s">
        <v>24</v>
      </c>
      <c r="H533" t="s">
        <v>2119</v>
      </c>
      <c r="I533" t="s">
        <v>46</v>
      </c>
      <c r="N533" t="s">
        <v>697</v>
      </c>
      <c r="S533" t="s">
        <v>48</v>
      </c>
      <c r="V533" t="s">
        <v>5692</v>
      </c>
      <c r="W533" t="s">
        <v>5693</v>
      </c>
      <c r="X533" s="2">
        <f>IFERROR(VLOOKUP(I533,'Rate Sheet'!$D:$F,3,FALSE),0)</f>
        <v>14.333333333333334</v>
      </c>
      <c r="Y533" s="2">
        <f>IFERROR(VLOOKUP(J533,'Rate Sheet'!$D:$F,3,FALSE),0)</f>
        <v>0</v>
      </c>
      <c r="Z533" s="2">
        <f>IFERROR(VLOOKUP(K533,'Rate Sheet'!$D:$F,3,FALSE),0)</f>
        <v>0</v>
      </c>
      <c r="AA533" s="2">
        <f t="shared" si="8"/>
        <v>14.333333333333334</v>
      </c>
      <c r="AB533">
        <v>1</v>
      </c>
    </row>
    <row r="534" spans="1:28" x14ac:dyDescent="0.25">
      <c r="A534" t="s">
        <v>33</v>
      </c>
      <c r="B534" t="s">
        <v>2120</v>
      </c>
      <c r="C534" t="s">
        <v>21</v>
      </c>
      <c r="D534" t="s">
        <v>2120</v>
      </c>
      <c r="E534" t="s">
        <v>2121</v>
      </c>
      <c r="F534" t="s">
        <v>2122</v>
      </c>
      <c r="G534" t="s">
        <v>24</v>
      </c>
      <c r="H534" s="1" t="s">
        <v>2123</v>
      </c>
      <c r="I534" t="s">
        <v>46</v>
      </c>
      <c r="N534" t="s">
        <v>2124</v>
      </c>
      <c r="S534" t="s">
        <v>48</v>
      </c>
      <c r="V534" t="s">
        <v>5723</v>
      </c>
      <c r="W534" t="s">
        <v>2124</v>
      </c>
      <c r="X534" s="2">
        <f>IFERROR(VLOOKUP(I534,'Rate Sheet'!$D:$F,3,FALSE),0)</f>
        <v>14.333333333333334</v>
      </c>
      <c r="Y534" s="2">
        <f>IFERROR(VLOOKUP(J534,'Rate Sheet'!$D:$F,3,FALSE),0)</f>
        <v>0</v>
      </c>
      <c r="Z534" s="2">
        <f>IFERROR(VLOOKUP(K534,'Rate Sheet'!$D:$F,3,FALSE),0)</f>
        <v>0</v>
      </c>
      <c r="AA534" s="2">
        <f t="shared" si="8"/>
        <v>14.333333333333334</v>
      </c>
      <c r="AB534">
        <v>1</v>
      </c>
    </row>
    <row r="535" spans="1:28" x14ac:dyDescent="0.25">
      <c r="A535" t="s">
        <v>33</v>
      </c>
      <c r="B535" t="s">
        <v>2125</v>
      </c>
      <c r="C535" t="s">
        <v>21</v>
      </c>
      <c r="D535" t="s">
        <v>2126</v>
      </c>
      <c r="E535" t="s">
        <v>2127</v>
      </c>
      <c r="F535" t="s">
        <v>330</v>
      </c>
      <c r="G535" t="s">
        <v>24</v>
      </c>
      <c r="H535" t="s">
        <v>2128</v>
      </c>
      <c r="I535" t="s">
        <v>46</v>
      </c>
      <c r="N535" t="s">
        <v>2083</v>
      </c>
      <c r="S535" t="s">
        <v>48</v>
      </c>
      <c r="V535" t="s">
        <v>5721</v>
      </c>
      <c r="W535" t="s">
        <v>5722</v>
      </c>
      <c r="X535" s="2">
        <f>IFERROR(VLOOKUP(I535,'Rate Sheet'!$D:$F,3,FALSE),0)</f>
        <v>14.333333333333334</v>
      </c>
      <c r="Y535" s="2">
        <f>IFERROR(VLOOKUP(J535,'Rate Sheet'!$D:$F,3,FALSE),0)</f>
        <v>0</v>
      </c>
      <c r="Z535" s="2">
        <f>IFERROR(VLOOKUP(K535,'Rate Sheet'!$D:$F,3,FALSE),0)</f>
        <v>0</v>
      </c>
      <c r="AA535" s="2">
        <f t="shared" si="8"/>
        <v>14.333333333333334</v>
      </c>
      <c r="AB535">
        <v>1</v>
      </c>
    </row>
    <row r="536" spans="1:28" x14ac:dyDescent="0.25">
      <c r="A536" t="s">
        <v>33</v>
      </c>
      <c r="B536" t="s">
        <v>2129</v>
      </c>
      <c r="C536" t="s">
        <v>21</v>
      </c>
      <c r="D536" t="s">
        <v>2129</v>
      </c>
      <c r="E536" t="s">
        <v>699</v>
      </c>
      <c r="F536" t="s">
        <v>2130</v>
      </c>
      <c r="G536" t="s">
        <v>24</v>
      </c>
      <c r="H536" t="s">
        <v>2131</v>
      </c>
      <c r="I536" t="s">
        <v>46</v>
      </c>
      <c r="N536" t="s">
        <v>2124</v>
      </c>
      <c r="S536" t="s">
        <v>48</v>
      </c>
      <c r="V536" t="s">
        <v>5723</v>
      </c>
      <c r="W536" t="s">
        <v>2124</v>
      </c>
      <c r="X536" s="2">
        <f>IFERROR(VLOOKUP(I536,'Rate Sheet'!$D:$F,3,FALSE),0)</f>
        <v>14.333333333333334</v>
      </c>
      <c r="Y536" s="2">
        <f>IFERROR(VLOOKUP(J536,'Rate Sheet'!$D:$F,3,FALSE),0)</f>
        <v>0</v>
      </c>
      <c r="Z536" s="2">
        <f>IFERROR(VLOOKUP(K536,'Rate Sheet'!$D:$F,3,FALSE),0)</f>
        <v>0</v>
      </c>
      <c r="AA536" s="2">
        <f t="shared" si="8"/>
        <v>14.333333333333334</v>
      </c>
      <c r="AB536">
        <v>1</v>
      </c>
    </row>
    <row r="537" spans="1:28" x14ac:dyDescent="0.25">
      <c r="A537" t="s">
        <v>33</v>
      </c>
      <c r="B537" t="s">
        <v>2132</v>
      </c>
      <c r="C537" t="s">
        <v>21</v>
      </c>
      <c r="D537" t="s">
        <v>2132</v>
      </c>
      <c r="E537" t="s">
        <v>192</v>
      </c>
      <c r="F537" t="s">
        <v>2133</v>
      </c>
      <c r="G537" t="s">
        <v>24</v>
      </c>
      <c r="H537" t="s">
        <v>2134</v>
      </c>
      <c r="I537" t="s">
        <v>46</v>
      </c>
      <c r="N537" t="s">
        <v>2083</v>
      </c>
      <c r="S537" t="s">
        <v>48</v>
      </c>
      <c r="V537" t="s">
        <v>5721</v>
      </c>
      <c r="W537" t="s">
        <v>5722</v>
      </c>
      <c r="X537" s="2">
        <f>IFERROR(VLOOKUP(I537,'Rate Sheet'!$D:$F,3,FALSE),0)</f>
        <v>14.333333333333334</v>
      </c>
      <c r="Y537" s="2">
        <f>IFERROR(VLOOKUP(J537,'Rate Sheet'!$D:$F,3,FALSE),0)</f>
        <v>0</v>
      </c>
      <c r="Z537" s="2">
        <f>IFERROR(VLOOKUP(K537,'Rate Sheet'!$D:$F,3,FALSE),0)</f>
        <v>0</v>
      </c>
      <c r="AA537" s="2">
        <f t="shared" si="8"/>
        <v>14.333333333333334</v>
      </c>
      <c r="AB537">
        <v>1</v>
      </c>
    </row>
    <row r="538" spans="1:28" x14ac:dyDescent="0.25">
      <c r="A538" t="s">
        <v>33</v>
      </c>
      <c r="B538" t="s">
        <v>2135</v>
      </c>
      <c r="C538" t="s">
        <v>21</v>
      </c>
      <c r="D538" t="s">
        <v>2135</v>
      </c>
      <c r="E538" t="s">
        <v>2136</v>
      </c>
      <c r="F538" t="s">
        <v>2137</v>
      </c>
      <c r="G538" t="s">
        <v>24</v>
      </c>
      <c r="H538" t="s">
        <v>2138</v>
      </c>
      <c r="I538" t="s">
        <v>46</v>
      </c>
      <c r="N538" t="s">
        <v>2124</v>
      </c>
      <c r="S538" t="s">
        <v>48</v>
      </c>
      <c r="V538" t="s">
        <v>5723</v>
      </c>
      <c r="W538" t="s">
        <v>2124</v>
      </c>
      <c r="X538" s="2">
        <f>IFERROR(VLOOKUP(I538,'Rate Sheet'!$D:$F,3,FALSE),0)</f>
        <v>14.333333333333334</v>
      </c>
      <c r="Y538" s="2">
        <f>IFERROR(VLOOKUP(J538,'Rate Sheet'!$D:$F,3,FALSE),0)</f>
        <v>0</v>
      </c>
      <c r="Z538" s="2">
        <f>IFERROR(VLOOKUP(K538,'Rate Sheet'!$D:$F,3,FALSE),0)</f>
        <v>0</v>
      </c>
      <c r="AA538" s="2">
        <f t="shared" si="8"/>
        <v>14.333333333333334</v>
      </c>
      <c r="AB538">
        <v>1</v>
      </c>
    </row>
    <row r="539" spans="1:28" x14ac:dyDescent="0.25">
      <c r="A539" t="s">
        <v>33</v>
      </c>
      <c r="B539" t="s">
        <v>2139</v>
      </c>
      <c r="C539" t="s">
        <v>21</v>
      </c>
      <c r="D539" t="s">
        <v>2139</v>
      </c>
      <c r="E539" t="s">
        <v>1315</v>
      </c>
      <c r="F539" t="s">
        <v>2140</v>
      </c>
      <c r="G539" t="s">
        <v>24</v>
      </c>
      <c r="H539" t="s">
        <v>2141</v>
      </c>
      <c r="I539" t="s">
        <v>46</v>
      </c>
      <c r="N539" t="s">
        <v>2083</v>
      </c>
      <c r="S539" t="s">
        <v>48</v>
      </c>
      <c r="V539" t="s">
        <v>5721</v>
      </c>
      <c r="W539" t="s">
        <v>5722</v>
      </c>
      <c r="X539" s="2">
        <f>IFERROR(VLOOKUP(I539,'Rate Sheet'!$D:$F,3,FALSE),0)</f>
        <v>14.333333333333334</v>
      </c>
      <c r="Y539" s="2">
        <f>IFERROR(VLOOKUP(J539,'Rate Sheet'!$D:$F,3,FALSE),0)</f>
        <v>0</v>
      </c>
      <c r="Z539" s="2">
        <f>IFERROR(VLOOKUP(K539,'Rate Sheet'!$D:$F,3,FALSE),0)</f>
        <v>0</v>
      </c>
      <c r="AA539" s="2">
        <f t="shared" si="8"/>
        <v>14.333333333333334</v>
      </c>
      <c r="AB539">
        <v>1</v>
      </c>
    </row>
    <row r="540" spans="1:28" x14ac:dyDescent="0.25">
      <c r="A540" t="s">
        <v>33</v>
      </c>
      <c r="B540" t="s">
        <v>2142</v>
      </c>
      <c r="C540" t="s">
        <v>21</v>
      </c>
      <c r="D540" t="s">
        <v>2142</v>
      </c>
      <c r="E540" t="s">
        <v>1766</v>
      </c>
      <c r="F540" t="s">
        <v>2143</v>
      </c>
      <c r="G540" t="s">
        <v>24</v>
      </c>
      <c r="H540" t="s">
        <v>2144</v>
      </c>
      <c r="I540" t="s">
        <v>46</v>
      </c>
      <c r="N540" t="s">
        <v>2145</v>
      </c>
      <c r="S540" t="s">
        <v>48</v>
      </c>
      <c r="V540" s="10" t="s">
        <v>5726</v>
      </c>
      <c r="W540" s="10" t="s">
        <v>2145</v>
      </c>
      <c r="X540" s="2">
        <f>IFERROR(VLOOKUP(I540,'Rate Sheet'!$D:$F,3,FALSE),0)</f>
        <v>14.333333333333334</v>
      </c>
      <c r="Y540" s="2">
        <f>IFERROR(VLOOKUP(J540,'Rate Sheet'!$D:$F,3,FALSE),0)</f>
        <v>0</v>
      </c>
      <c r="Z540" s="2">
        <f>IFERROR(VLOOKUP(K540,'Rate Sheet'!$D:$F,3,FALSE),0)</f>
        <v>0</v>
      </c>
      <c r="AA540" s="2">
        <f t="shared" si="8"/>
        <v>14.333333333333334</v>
      </c>
      <c r="AB540">
        <v>1</v>
      </c>
    </row>
    <row r="541" spans="1:28" x14ac:dyDescent="0.25">
      <c r="A541" t="s">
        <v>33</v>
      </c>
      <c r="B541" t="s">
        <v>2146</v>
      </c>
      <c r="C541" t="s">
        <v>21</v>
      </c>
      <c r="D541" t="s">
        <v>2146</v>
      </c>
      <c r="E541" t="s">
        <v>2147</v>
      </c>
      <c r="F541" t="s">
        <v>2148</v>
      </c>
      <c r="G541" t="s">
        <v>24</v>
      </c>
      <c r="H541" t="s">
        <v>2149</v>
      </c>
      <c r="I541" t="s">
        <v>46</v>
      </c>
      <c r="N541" t="s">
        <v>2083</v>
      </c>
      <c r="S541" t="s">
        <v>48</v>
      </c>
      <c r="V541" t="s">
        <v>5721</v>
      </c>
      <c r="W541" t="s">
        <v>5722</v>
      </c>
      <c r="X541" s="2">
        <f>IFERROR(VLOOKUP(I541,'Rate Sheet'!$D:$F,3,FALSE),0)</f>
        <v>14.333333333333334</v>
      </c>
      <c r="Y541" s="2">
        <f>IFERROR(VLOOKUP(J541,'Rate Sheet'!$D:$F,3,FALSE),0)</f>
        <v>0</v>
      </c>
      <c r="Z541" s="2">
        <f>IFERROR(VLOOKUP(K541,'Rate Sheet'!$D:$F,3,FALSE),0)</f>
        <v>0</v>
      </c>
      <c r="AA541" s="2">
        <f t="shared" si="8"/>
        <v>14.333333333333334</v>
      </c>
      <c r="AB541">
        <v>1</v>
      </c>
    </row>
    <row r="542" spans="1:28" x14ac:dyDescent="0.25">
      <c r="A542" t="s">
        <v>33</v>
      </c>
      <c r="B542" t="s">
        <v>2150</v>
      </c>
      <c r="C542" t="s">
        <v>21</v>
      </c>
      <c r="D542" t="s">
        <v>2150</v>
      </c>
      <c r="E542" t="s">
        <v>2151</v>
      </c>
      <c r="F542" t="s">
        <v>2152</v>
      </c>
      <c r="G542" t="s">
        <v>24</v>
      </c>
      <c r="H542" t="s">
        <v>2153</v>
      </c>
      <c r="I542" t="s">
        <v>46</v>
      </c>
      <c r="N542" t="s">
        <v>2083</v>
      </c>
      <c r="S542" t="s">
        <v>48</v>
      </c>
      <c r="V542" t="s">
        <v>5724</v>
      </c>
      <c r="W542" t="s">
        <v>5725</v>
      </c>
      <c r="X542" s="2">
        <f>IFERROR(VLOOKUP(I542,'Rate Sheet'!$D:$F,3,FALSE),0)</f>
        <v>14.333333333333334</v>
      </c>
      <c r="Y542" s="2">
        <f>IFERROR(VLOOKUP(J542,'Rate Sheet'!$D:$F,3,FALSE),0)</f>
        <v>0</v>
      </c>
      <c r="Z542" s="2">
        <f>IFERROR(VLOOKUP(K542,'Rate Sheet'!$D:$F,3,FALSE),0)</f>
        <v>0</v>
      </c>
      <c r="AA542" s="2">
        <f t="shared" si="8"/>
        <v>14.333333333333334</v>
      </c>
      <c r="AB542">
        <v>1</v>
      </c>
    </row>
    <row r="543" spans="1:28" x14ac:dyDescent="0.25">
      <c r="A543" t="s">
        <v>33</v>
      </c>
      <c r="B543" t="s">
        <v>2154</v>
      </c>
      <c r="C543" t="s">
        <v>21</v>
      </c>
      <c r="D543" t="s">
        <v>2154</v>
      </c>
      <c r="E543" t="s">
        <v>2155</v>
      </c>
      <c r="F543" t="s">
        <v>2156</v>
      </c>
      <c r="G543" t="s">
        <v>24</v>
      </c>
      <c r="H543" t="s">
        <v>2157</v>
      </c>
      <c r="I543" t="s">
        <v>46</v>
      </c>
      <c r="N543" t="s">
        <v>2083</v>
      </c>
      <c r="S543" t="s">
        <v>48</v>
      </c>
      <c r="V543" t="s">
        <v>5724</v>
      </c>
      <c r="W543" t="s">
        <v>5725</v>
      </c>
      <c r="X543" s="2">
        <f>IFERROR(VLOOKUP(I543,'Rate Sheet'!$D:$F,3,FALSE),0)</f>
        <v>14.333333333333334</v>
      </c>
      <c r="Y543" s="2">
        <f>IFERROR(VLOOKUP(J543,'Rate Sheet'!$D:$F,3,FALSE),0)</f>
        <v>0</v>
      </c>
      <c r="Z543" s="2">
        <f>IFERROR(VLOOKUP(K543,'Rate Sheet'!$D:$F,3,FALSE),0)</f>
        <v>0</v>
      </c>
      <c r="AA543" s="2">
        <f t="shared" si="8"/>
        <v>14.333333333333334</v>
      </c>
      <c r="AB543">
        <v>1</v>
      </c>
    </row>
    <row r="544" spans="1:28" x14ac:dyDescent="0.25">
      <c r="A544" t="s">
        <v>33</v>
      </c>
      <c r="B544" t="s">
        <v>2158</v>
      </c>
      <c r="C544" t="s">
        <v>21</v>
      </c>
      <c r="D544" t="s">
        <v>2158</v>
      </c>
      <c r="E544" t="s">
        <v>2159</v>
      </c>
      <c r="F544" t="s">
        <v>2160</v>
      </c>
      <c r="G544" t="s">
        <v>24</v>
      </c>
      <c r="H544" t="s">
        <v>2161</v>
      </c>
      <c r="I544" t="s">
        <v>46</v>
      </c>
      <c r="N544" t="s">
        <v>2083</v>
      </c>
      <c r="S544" t="s">
        <v>48</v>
      </c>
      <c r="V544" t="s">
        <v>5721</v>
      </c>
      <c r="W544" t="s">
        <v>5722</v>
      </c>
      <c r="X544" s="2">
        <f>IFERROR(VLOOKUP(I544,'Rate Sheet'!$D:$F,3,FALSE),0)</f>
        <v>14.333333333333334</v>
      </c>
      <c r="Y544" s="2">
        <f>IFERROR(VLOOKUP(J544,'Rate Sheet'!$D:$F,3,FALSE),0)</f>
        <v>0</v>
      </c>
      <c r="Z544" s="2">
        <f>IFERROR(VLOOKUP(K544,'Rate Sheet'!$D:$F,3,FALSE),0)</f>
        <v>0</v>
      </c>
      <c r="AA544" s="2">
        <f t="shared" si="8"/>
        <v>14.333333333333334</v>
      </c>
      <c r="AB544">
        <v>1</v>
      </c>
    </row>
    <row r="545" spans="1:28" x14ac:dyDescent="0.25">
      <c r="A545" t="s">
        <v>33</v>
      </c>
      <c r="B545" t="s">
        <v>2162</v>
      </c>
      <c r="C545" t="s">
        <v>21</v>
      </c>
      <c r="D545" t="s">
        <v>2162</v>
      </c>
      <c r="E545" t="s">
        <v>372</v>
      </c>
      <c r="F545" t="s">
        <v>2163</v>
      </c>
      <c r="G545" t="s">
        <v>24</v>
      </c>
      <c r="H545" t="s">
        <v>2164</v>
      </c>
      <c r="I545" t="s">
        <v>46</v>
      </c>
      <c r="N545" t="s">
        <v>2124</v>
      </c>
      <c r="S545" t="s">
        <v>48</v>
      </c>
      <c r="V545" t="s">
        <v>5723</v>
      </c>
      <c r="W545" t="s">
        <v>2124</v>
      </c>
      <c r="X545" s="2">
        <f>IFERROR(VLOOKUP(I545,'Rate Sheet'!$D:$F,3,FALSE),0)</f>
        <v>14.333333333333334</v>
      </c>
      <c r="Y545" s="2">
        <f>IFERROR(VLOOKUP(J545,'Rate Sheet'!$D:$F,3,FALSE),0)</f>
        <v>0</v>
      </c>
      <c r="Z545" s="2">
        <f>IFERROR(VLOOKUP(K545,'Rate Sheet'!$D:$F,3,FALSE),0)</f>
        <v>0</v>
      </c>
      <c r="AA545" s="2">
        <f t="shared" si="8"/>
        <v>14.333333333333334</v>
      </c>
      <c r="AB545">
        <v>1</v>
      </c>
    </row>
    <row r="546" spans="1:28" x14ac:dyDescent="0.25">
      <c r="A546" t="s">
        <v>33</v>
      </c>
      <c r="B546" t="s">
        <v>2165</v>
      </c>
      <c r="C546" t="s">
        <v>21</v>
      </c>
      <c r="D546" t="s">
        <v>2165</v>
      </c>
      <c r="E546" t="s">
        <v>284</v>
      </c>
      <c r="F546" t="s">
        <v>2166</v>
      </c>
      <c r="G546" t="s">
        <v>24</v>
      </c>
      <c r="H546" t="s">
        <v>2167</v>
      </c>
      <c r="I546" t="s">
        <v>46</v>
      </c>
      <c r="N546" t="s">
        <v>2083</v>
      </c>
      <c r="S546" t="s">
        <v>48</v>
      </c>
      <c r="V546" t="s">
        <v>5721</v>
      </c>
      <c r="W546" t="s">
        <v>5722</v>
      </c>
      <c r="X546" s="2">
        <f>IFERROR(VLOOKUP(I546,'Rate Sheet'!$D:$F,3,FALSE),0)</f>
        <v>14.333333333333334</v>
      </c>
      <c r="Y546" s="2">
        <f>IFERROR(VLOOKUP(J546,'Rate Sheet'!$D:$F,3,FALSE),0)</f>
        <v>0</v>
      </c>
      <c r="Z546" s="2">
        <f>IFERROR(VLOOKUP(K546,'Rate Sheet'!$D:$F,3,FALSE),0)</f>
        <v>0</v>
      </c>
      <c r="AA546" s="2">
        <f t="shared" si="8"/>
        <v>14.333333333333334</v>
      </c>
      <c r="AB546">
        <v>1</v>
      </c>
    </row>
    <row r="547" spans="1:28" x14ac:dyDescent="0.25">
      <c r="A547" t="s">
        <v>33</v>
      </c>
      <c r="B547" t="s">
        <v>2168</v>
      </c>
      <c r="C547" t="s">
        <v>21</v>
      </c>
      <c r="D547" t="s">
        <v>2168</v>
      </c>
      <c r="E547" t="s">
        <v>1745</v>
      </c>
      <c r="F547" t="s">
        <v>2169</v>
      </c>
      <c r="G547" t="s">
        <v>24</v>
      </c>
      <c r="H547" t="s">
        <v>2170</v>
      </c>
      <c r="N547" t="s">
        <v>2083</v>
      </c>
      <c r="X547" s="2">
        <f>IFERROR(VLOOKUP(I547,'Rate Sheet'!$D:$F,3,FALSE),0)</f>
        <v>0</v>
      </c>
      <c r="Y547" s="2">
        <f>IFERROR(VLOOKUP(J547,'Rate Sheet'!$D:$F,3,FALSE),0)</f>
        <v>0</v>
      </c>
      <c r="Z547" s="2">
        <f>IFERROR(VLOOKUP(K547,'Rate Sheet'!$D:$F,3,FALSE),0)</f>
        <v>0</v>
      </c>
      <c r="AA547" s="2">
        <f t="shared" si="8"/>
        <v>0</v>
      </c>
    </row>
    <row r="548" spans="1:28" x14ac:dyDescent="0.25">
      <c r="A548" t="s">
        <v>33</v>
      </c>
      <c r="B548" t="s">
        <v>2171</v>
      </c>
      <c r="C548" t="s">
        <v>21</v>
      </c>
      <c r="D548" t="s">
        <v>2171</v>
      </c>
      <c r="E548" t="s">
        <v>2172</v>
      </c>
      <c r="F548" t="s">
        <v>822</v>
      </c>
      <c r="G548" t="s">
        <v>24</v>
      </c>
      <c r="H548" t="s">
        <v>2173</v>
      </c>
      <c r="I548" t="s">
        <v>46</v>
      </c>
      <c r="N548" t="s">
        <v>2083</v>
      </c>
      <c r="S548" t="s">
        <v>48</v>
      </c>
      <c r="V548" t="s">
        <v>5721</v>
      </c>
      <c r="W548" t="s">
        <v>5722</v>
      </c>
      <c r="X548" s="2">
        <f>IFERROR(VLOOKUP(I548,'Rate Sheet'!$D:$F,3,FALSE),0)</f>
        <v>14.333333333333334</v>
      </c>
      <c r="Y548" s="2">
        <f>IFERROR(VLOOKUP(J548,'Rate Sheet'!$D:$F,3,FALSE),0)</f>
        <v>0</v>
      </c>
      <c r="Z548" s="2">
        <f>IFERROR(VLOOKUP(K548,'Rate Sheet'!$D:$F,3,FALSE),0)</f>
        <v>0</v>
      </c>
      <c r="AA548" s="2">
        <f t="shared" si="8"/>
        <v>14.333333333333334</v>
      </c>
      <c r="AB548">
        <v>1</v>
      </c>
    </row>
    <row r="549" spans="1:28" x14ac:dyDescent="0.25">
      <c r="A549" t="s">
        <v>33</v>
      </c>
      <c r="B549" t="s">
        <v>2174</v>
      </c>
      <c r="C549" t="s">
        <v>21</v>
      </c>
      <c r="D549" t="s">
        <v>2174</v>
      </c>
      <c r="E549" t="s">
        <v>2175</v>
      </c>
      <c r="F549" t="s">
        <v>2176</v>
      </c>
      <c r="G549" t="s">
        <v>24</v>
      </c>
      <c r="H549" t="s">
        <v>2177</v>
      </c>
      <c r="I549" t="s">
        <v>46</v>
      </c>
      <c r="N549" t="s">
        <v>2124</v>
      </c>
      <c r="S549" t="s">
        <v>48</v>
      </c>
      <c r="V549" t="s">
        <v>5723</v>
      </c>
      <c r="W549" t="s">
        <v>2124</v>
      </c>
      <c r="X549" s="2">
        <f>IFERROR(VLOOKUP(I549,'Rate Sheet'!$D:$F,3,FALSE),0)</f>
        <v>14.333333333333334</v>
      </c>
      <c r="Y549" s="2">
        <f>IFERROR(VLOOKUP(J549,'Rate Sheet'!$D:$F,3,FALSE),0)</f>
        <v>0</v>
      </c>
      <c r="Z549" s="2">
        <f>IFERROR(VLOOKUP(K549,'Rate Sheet'!$D:$F,3,FALSE),0)</f>
        <v>0</v>
      </c>
      <c r="AA549" s="2">
        <f t="shared" si="8"/>
        <v>14.333333333333334</v>
      </c>
      <c r="AB549">
        <v>1</v>
      </c>
    </row>
    <row r="550" spans="1:28" x14ac:dyDescent="0.25">
      <c r="A550" t="s">
        <v>33</v>
      </c>
      <c r="B550" t="s">
        <v>2178</v>
      </c>
      <c r="C550" t="s">
        <v>21</v>
      </c>
      <c r="D550" t="s">
        <v>2178</v>
      </c>
      <c r="E550" t="s">
        <v>1813</v>
      </c>
      <c r="F550" t="s">
        <v>2179</v>
      </c>
      <c r="G550" t="s">
        <v>24</v>
      </c>
      <c r="H550" s="1" t="s">
        <v>2180</v>
      </c>
      <c r="I550" t="s">
        <v>46</v>
      </c>
      <c r="N550" t="s">
        <v>2083</v>
      </c>
      <c r="S550" t="s">
        <v>48</v>
      </c>
      <c r="V550" t="s">
        <v>5721</v>
      </c>
      <c r="W550" t="s">
        <v>5722</v>
      </c>
      <c r="X550" s="2">
        <f>IFERROR(VLOOKUP(I550,'Rate Sheet'!$D:$F,3,FALSE),0)</f>
        <v>14.333333333333334</v>
      </c>
      <c r="Y550" s="2">
        <f>IFERROR(VLOOKUP(J550,'Rate Sheet'!$D:$F,3,FALSE),0)</f>
        <v>0</v>
      </c>
      <c r="Z550" s="2">
        <f>IFERROR(VLOOKUP(K550,'Rate Sheet'!$D:$F,3,FALSE),0)</f>
        <v>0</v>
      </c>
      <c r="AA550" s="2">
        <f t="shared" si="8"/>
        <v>14.333333333333334</v>
      </c>
      <c r="AB550">
        <v>1</v>
      </c>
    </row>
    <row r="551" spans="1:28" x14ac:dyDescent="0.25">
      <c r="A551" t="s">
        <v>33</v>
      </c>
      <c r="B551" t="s">
        <v>2181</v>
      </c>
      <c r="C551" t="s">
        <v>21</v>
      </c>
      <c r="D551" t="s">
        <v>2181</v>
      </c>
      <c r="E551" t="s">
        <v>2182</v>
      </c>
      <c r="F551" t="s">
        <v>2183</v>
      </c>
      <c r="G551" t="s">
        <v>24</v>
      </c>
      <c r="H551" t="s">
        <v>2184</v>
      </c>
      <c r="I551" t="s">
        <v>46</v>
      </c>
      <c r="N551" t="s">
        <v>2083</v>
      </c>
      <c r="S551" t="s">
        <v>48</v>
      </c>
      <c r="V551" t="s">
        <v>5721</v>
      </c>
      <c r="W551" t="s">
        <v>5722</v>
      </c>
      <c r="X551" s="2">
        <f>IFERROR(VLOOKUP(I551,'Rate Sheet'!$D:$F,3,FALSE),0)</f>
        <v>14.333333333333334</v>
      </c>
      <c r="Y551" s="2">
        <f>IFERROR(VLOOKUP(J551,'Rate Sheet'!$D:$F,3,FALSE),0)</f>
        <v>0</v>
      </c>
      <c r="Z551" s="2">
        <f>IFERROR(VLOOKUP(K551,'Rate Sheet'!$D:$F,3,FALSE),0)</f>
        <v>0</v>
      </c>
      <c r="AA551" s="2">
        <f t="shared" si="8"/>
        <v>14.333333333333334</v>
      </c>
      <c r="AB551">
        <v>1</v>
      </c>
    </row>
    <row r="552" spans="1:28" x14ac:dyDescent="0.25">
      <c r="A552" t="s">
        <v>33</v>
      </c>
      <c r="B552" t="s">
        <v>2185</v>
      </c>
      <c r="C552" t="s">
        <v>21</v>
      </c>
      <c r="D552" t="s">
        <v>2185</v>
      </c>
      <c r="E552" t="s">
        <v>2186</v>
      </c>
      <c r="F552" t="s">
        <v>2187</v>
      </c>
      <c r="G552" t="s">
        <v>24</v>
      </c>
      <c r="H552" t="s">
        <v>2188</v>
      </c>
      <c r="N552" t="s">
        <v>2124</v>
      </c>
      <c r="X552" s="2">
        <f>IFERROR(VLOOKUP(I552,'Rate Sheet'!$D:$F,3,FALSE),0)</f>
        <v>0</v>
      </c>
      <c r="Y552" s="2">
        <f>IFERROR(VLOOKUP(J552,'Rate Sheet'!$D:$F,3,FALSE),0)</f>
        <v>0</v>
      </c>
      <c r="Z552" s="2">
        <f>IFERROR(VLOOKUP(K552,'Rate Sheet'!$D:$F,3,FALSE),0)</f>
        <v>0</v>
      </c>
      <c r="AA552" s="2">
        <f t="shared" si="8"/>
        <v>0</v>
      </c>
    </row>
    <row r="553" spans="1:28" x14ac:dyDescent="0.25">
      <c r="A553" t="s">
        <v>33</v>
      </c>
      <c r="B553" t="s">
        <v>2189</v>
      </c>
      <c r="C553" t="s">
        <v>21</v>
      </c>
      <c r="D553" t="s">
        <v>2189</v>
      </c>
      <c r="E553" t="s">
        <v>2190</v>
      </c>
      <c r="F553" t="s">
        <v>2191</v>
      </c>
      <c r="G553" t="s">
        <v>24</v>
      </c>
      <c r="H553" t="s">
        <v>2192</v>
      </c>
      <c r="I553" t="s">
        <v>46</v>
      </c>
      <c r="N553" t="s">
        <v>2083</v>
      </c>
      <c r="S553" t="s">
        <v>48</v>
      </c>
      <c r="V553" t="s">
        <v>5721</v>
      </c>
      <c r="W553" t="s">
        <v>5722</v>
      </c>
      <c r="X553" s="2">
        <f>IFERROR(VLOOKUP(I553,'Rate Sheet'!$D:$F,3,FALSE),0)</f>
        <v>14.333333333333334</v>
      </c>
      <c r="Y553" s="2">
        <f>IFERROR(VLOOKUP(J553,'Rate Sheet'!$D:$F,3,FALSE),0)</f>
        <v>0</v>
      </c>
      <c r="Z553" s="2">
        <f>IFERROR(VLOOKUP(K553,'Rate Sheet'!$D:$F,3,FALSE),0)</f>
        <v>0</v>
      </c>
      <c r="AA553" s="2">
        <f t="shared" si="8"/>
        <v>14.333333333333334</v>
      </c>
      <c r="AB553">
        <v>1</v>
      </c>
    </row>
    <row r="554" spans="1:28" x14ac:dyDescent="0.25">
      <c r="A554" t="s">
        <v>33</v>
      </c>
      <c r="B554" t="s">
        <v>2193</v>
      </c>
      <c r="C554" t="s">
        <v>21</v>
      </c>
      <c r="D554" t="s">
        <v>2193</v>
      </c>
      <c r="E554" t="s">
        <v>2194</v>
      </c>
      <c r="F554" t="s">
        <v>2195</v>
      </c>
      <c r="G554" t="s">
        <v>24</v>
      </c>
      <c r="H554" t="s">
        <v>2196</v>
      </c>
      <c r="I554" t="s">
        <v>46</v>
      </c>
      <c r="N554" t="s">
        <v>2083</v>
      </c>
      <c r="S554" t="s">
        <v>48</v>
      </c>
      <c r="V554" t="s">
        <v>5721</v>
      </c>
      <c r="W554" t="s">
        <v>5722</v>
      </c>
      <c r="X554" s="2">
        <f>IFERROR(VLOOKUP(I554,'Rate Sheet'!$D:$F,3,FALSE),0)</f>
        <v>14.333333333333334</v>
      </c>
      <c r="Y554" s="2">
        <f>IFERROR(VLOOKUP(J554,'Rate Sheet'!$D:$F,3,FALSE),0)</f>
        <v>0</v>
      </c>
      <c r="Z554" s="2">
        <f>IFERROR(VLOOKUP(K554,'Rate Sheet'!$D:$F,3,FALSE),0)</f>
        <v>0</v>
      </c>
      <c r="AA554" s="2">
        <f t="shared" si="8"/>
        <v>14.333333333333334</v>
      </c>
      <c r="AB554">
        <v>1</v>
      </c>
    </row>
    <row r="555" spans="1:28" x14ac:dyDescent="0.25">
      <c r="A555" t="s">
        <v>33</v>
      </c>
      <c r="B555" t="s">
        <v>2197</v>
      </c>
      <c r="C555" t="s">
        <v>21</v>
      </c>
      <c r="D555" t="s">
        <v>2197</v>
      </c>
      <c r="E555" t="s">
        <v>2198</v>
      </c>
      <c r="F555" t="s">
        <v>2199</v>
      </c>
      <c r="G555" t="s">
        <v>24</v>
      </c>
      <c r="H555" t="s">
        <v>2200</v>
      </c>
      <c r="I555" t="s">
        <v>46</v>
      </c>
      <c r="N555" t="s">
        <v>2124</v>
      </c>
      <c r="S555" t="s">
        <v>48</v>
      </c>
      <c r="V555" t="s">
        <v>5723</v>
      </c>
      <c r="W555" t="s">
        <v>2124</v>
      </c>
      <c r="X555" s="2">
        <f>IFERROR(VLOOKUP(I555,'Rate Sheet'!$D:$F,3,FALSE),0)</f>
        <v>14.333333333333334</v>
      </c>
      <c r="Y555" s="2">
        <f>IFERROR(VLOOKUP(J555,'Rate Sheet'!$D:$F,3,FALSE),0)</f>
        <v>0</v>
      </c>
      <c r="Z555" s="2">
        <f>IFERROR(VLOOKUP(K555,'Rate Sheet'!$D:$F,3,FALSE),0)</f>
        <v>0</v>
      </c>
      <c r="AA555" s="2">
        <f t="shared" si="8"/>
        <v>14.333333333333334</v>
      </c>
      <c r="AB555">
        <v>1</v>
      </c>
    </row>
    <row r="556" spans="1:28" x14ac:dyDescent="0.25">
      <c r="A556" t="s">
        <v>33</v>
      </c>
      <c r="B556" t="s">
        <v>2201</v>
      </c>
      <c r="C556" t="s">
        <v>21</v>
      </c>
      <c r="D556" t="s">
        <v>2201</v>
      </c>
      <c r="E556" t="s">
        <v>1745</v>
      </c>
      <c r="F556" t="s">
        <v>2202</v>
      </c>
      <c r="G556" t="s">
        <v>24</v>
      </c>
      <c r="H556" t="s">
        <v>2203</v>
      </c>
      <c r="I556" t="s">
        <v>46</v>
      </c>
      <c r="N556" t="s">
        <v>2083</v>
      </c>
      <c r="S556" t="s">
        <v>48</v>
      </c>
      <c r="V556" t="s">
        <v>5721</v>
      </c>
      <c r="W556" t="s">
        <v>5722</v>
      </c>
      <c r="X556" s="2">
        <f>IFERROR(VLOOKUP(I556,'Rate Sheet'!$D:$F,3,FALSE),0)</f>
        <v>14.333333333333334</v>
      </c>
      <c r="Y556" s="2">
        <f>IFERROR(VLOOKUP(J556,'Rate Sheet'!$D:$F,3,FALSE),0)</f>
        <v>0</v>
      </c>
      <c r="Z556" s="2">
        <f>IFERROR(VLOOKUP(K556,'Rate Sheet'!$D:$F,3,FALSE),0)</f>
        <v>0</v>
      </c>
      <c r="AA556" s="2">
        <f t="shared" si="8"/>
        <v>14.333333333333334</v>
      </c>
      <c r="AB556">
        <v>1</v>
      </c>
    </row>
    <row r="557" spans="1:28" x14ac:dyDescent="0.25">
      <c r="A557" t="s">
        <v>33</v>
      </c>
      <c r="B557" t="s">
        <v>2204</v>
      </c>
      <c r="C557" t="s">
        <v>21</v>
      </c>
      <c r="D557" t="s">
        <v>2204</v>
      </c>
      <c r="E557" t="s">
        <v>178</v>
      </c>
      <c r="F557" t="s">
        <v>2205</v>
      </c>
      <c r="G557" t="s">
        <v>24</v>
      </c>
      <c r="H557" t="s">
        <v>2206</v>
      </c>
      <c r="I557" t="s">
        <v>46</v>
      </c>
      <c r="N557" t="s">
        <v>2124</v>
      </c>
      <c r="S557" t="s">
        <v>48</v>
      </c>
      <c r="V557" t="s">
        <v>5723</v>
      </c>
      <c r="W557" t="s">
        <v>2124</v>
      </c>
      <c r="X557" s="2">
        <f>IFERROR(VLOOKUP(I557,'Rate Sheet'!$D:$F,3,FALSE),0)</f>
        <v>14.333333333333334</v>
      </c>
      <c r="Y557" s="2">
        <f>IFERROR(VLOOKUP(J557,'Rate Sheet'!$D:$F,3,FALSE),0)</f>
        <v>0</v>
      </c>
      <c r="Z557" s="2">
        <f>IFERROR(VLOOKUP(K557,'Rate Sheet'!$D:$F,3,FALSE),0)</f>
        <v>0</v>
      </c>
      <c r="AA557" s="2">
        <f t="shared" si="8"/>
        <v>14.333333333333334</v>
      </c>
      <c r="AB557">
        <v>1</v>
      </c>
    </row>
    <row r="558" spans="1:28" x14ac:dyDescent="0.25">
      <c r="A558" t="s">
        <v>33</v>
      </c>
      <c r="B558" t="s">
        <v>2207</v>
      </c>
      <c r="C558" t="s">
        <v>21</v>
      </c>
      <c r="D558" t="s">
        <v>2207</v>
      </c>
      <c r="E558" t="s">
        <v>380</v>
      </c>
      <c r="F558" t="s">
        <v>2208</v>
      </c>
      <c r="G558" t="s">
        <v>24</v>
      </c>
      <c r="H558" t="s">
        <v>2209</v>
      </c>
      <c r="I558" t="s">
        <v>46</v>
      </c>
      <c r="N558" t="s">
        <v>2124</v>
      </c>
      <c r="S558" t="s">
        <v>48</v>
      </c>
      <c r="V558" t="s">
        <v>5723</v>
      </c>
      <c r="W558" t="s">
        <v>2124</v>
      </c>
      <c r="X558" s="2">
        <f>IFERROR(VLOOKUP(I558,'Rate Sheet'!$D:$F,3,FALSE),0)</f>
        <v>14.333333333333334</v>
      </c>
      <c r="Y558" s="2">
        <f>IFERROR(VLOOKUP(J558,'Rate Sheet'!$D:$F,3,FALSE),0)</f>
        <v>0</v>
      </c>
      <c r="Z558" s="2">
        <f>IFERROR(VLOOKUP(K558,'Rate Sheet'!$D:$F,3,FALSE),0)</f>
        <v>0</v>
      </c>
      <c r="AA558" s="2">
        <f t="shared" si="8"/>
        <v>14.333333333333334</v>
      </c>
      <c r="AB558">
        <v>1</v>
      </c>
    </row>
    <row r="559" spans="1:28" x14ac:dyDescent="0.25">
      <c r="A559" t="s">
        <v>33</v>
      </c>
      <c r="B559" t="s">
        <v>2210</v>
      </c>
      <c r="C559" t="s">
        <v>21</v>
      </c>
      <c r="D559" t="s">
        <v>2210</v>
      </c>
      <c r="E559" t="s">
        <v>2211</v>
      </c>
      <c r="F559" t="s">
        <v>2212</v>
      </c>
      <c r="G559" t="s">
        <v>24</v>
      </c>
      <c r="H559" t="s">
        <v>2213</v>
      </c>
      <c r="N559" t="s">
        <v>2083</v>
      </c>
      <c r="X559" s="2">
        <f>IFERROR(VLOOKUP(I559,'Rate Sheet'!$D:$F,3,FALSE),0)</f>
        <v>0</v>
      </c>
      <c r="Y559" s="2">
        <f>IFERROR(VLOOKUP(J559,'Rate Sheet'!$D:$F,3,FALSE),0)</f>
        <v>0</v>
      </c>
      <c r="Z559" s="2">
        <f>IFERROR(VLOOKUP(K559,'Rate Sheet'!$D:$F,3,FALSE),0)</f>
        <v>0</v>
      </c>
      <c r="AA559" s="2">
        <f t="shared" si="8"/>
        <v>0</v>
      </c>
    </row>
    <row r="560" spans="1:28" x14ac:dyDescent="0.25">
      <c r="A560" t="s">
        <v>33</v>
      </c>
      <c r="B560" t="s">
        <v>2214</v>
      </c>
      <c r="C560" t="s">
        <v>21</v>
      </c>
      <c r="D560" t="s">
        <v>2214</v>
      </c>
      <c r="E560" t="s">
        <v>2215</v>
      </c>
      <c r="F560" t="s">
        <v>2216</v>
      </c>
      <c r="G560" t="s">
        <v>24</v>
      </c>
      <c r="H560" s="1" t="s">
        <v>2217</v>
      </c>
      <c r="I560" t="s">
        <v>46</v>
      </c>
      <c r="N560" t="s">
        <v>2083</v>
      </c>
      <c r="S560" t="s">
        <v>48</v>
      </c>
      <c r="V560" t="s">
        <v>5721</v>
      </c>
      <c r="W560" t="s">
        <v>5722</v>
      </c>
      <c r="X560" s="2">
        <f>IFERROR(VLOOKUP(I560,'Rate Sheet'!$D:$F,3,FALSE),0)</f>
        <v>14.333333333333334</v>
      </c>
      <c r="Y560" s="2">
        <f>IFERROR(VLOOKUP(J560,'Rate Sheet'!$D:$F,3,FALSE),0)</f>
        <v>0</v>
      </c>
      <c r="Z560" s="2">
        <f>IFERROR(VLOOKUP(K560,'Rate Sheet'!$D:$F,3,FALSE),0)</f>
        <v>0</v>
      </c>
      <c r="AA560" s="2">
        <f t="shared" si="8"/>
        <v>14.333333333333334</v>
      </c>
      <c r="AB560">
        <v>1</v>
      </c>
    </row>
    <row r="561" spans="1:28" x14ac:dyDescent="0.25">
      <c r="A561" t="s">
        <v>33</v>
      </c>
      <c r="B561" t="s">
        <v>2218</v>
      </c>
      <c r="C561" t="s">
        <v>21</v>
      </c>
      <c r="D561" t="s">
        <v>2218</v>
      </c>
      <c r="E561" t="s">
        <v>435</v>
      </c>
      <c r="F561" t="s">
        <v>2219</v>
      </c>
      <c r="G561" t="s">
        <v>24</v>
      </c>
      <c r="H561" t="s">
        <v>2220</v>
      </c>
      <c r="I561" t="s">
        <v>46</v>
      </c>
      <c r="N561" t="s">
        <v>2124</v>
      </c>
      <c r="S561" t="s">
        <v>48</v>
      </c>
      <c r="V561" t="s">
        <v>5723</v>
      </c>
      <c r="W561" t="s">
        <v>2124</v>
      </c>
      <c r="X561" s="2">
        <f>IFERROR(VLOOKUP(I561,'Rate Sheet'!$D:$F,3,FALSE),0)</f>
        <v>14.333333333333334</v>
      </c>
      <c r="Y561" s="2">
        <f>IFERROR(VLOOKUP(J561,'Rate Sheet'!$D:$F,3,FALSE),0)</f>
        <v>0</v>
      </c>
      <c r="Z561" s="2">
        <f>IFERROR(VLOOKUP(K561,'Rate Sheet'!$D:$F,3,FALSE),0)</f>
        <v>0</v>
      </c>
      <c r="AA561" s="2">
        <f t="shared" si="8"/>
        <v>14.333333333333334</v>
      </c>
      <c r="AB561">
        <v>1</v>
      </c>
    </row>
    <row r="562" spans="1:28" x14ac:dyDescent="0.25">
      <c r="A562" t="s">
        <v>33</v>
      </c>
      <c r="B562" t="s">
        <v>2221</v>
      </c>
      <c r="C562" t="s">
        <v>21</v>
      </c>
      <c r="D562" t="s">
        <v>2221</v>
      </c>
      <c r="E562" t="s">
        <v>1766</v>
      </c>
      <c r="F562" t="s">
        <v>2222</v>
      </c>
      <c r="G562" t="s">
        <v>24</v>
      </c>
      <c r="H562" t="s">
        <v>2223</v>
      </c>
      <c r="I562" t="s">
        <v>46</v>
      </c>
      <c r="N562" t="s">
        <v>2145</v>
      </c>
      <c r="S562" t="s">
        <v>48</v>
      </c>
      <c r="V562" t="s">
        <v>5726</v>
      </c>
      <c r="W562" t="s">
        <v>2145</v>
      </c>
      <c r="X562" s="2">
        <f>IFERROR(VLOOKUP(I562,'Rate Sheet'!$D:$F,3,FALSE),0)</f>
        <v>14.333333333333334</v>
      </c>
      <c r="Y562" s="2">
        <f>IFERROR(VLOOKUP(J562,'Rate Sheet'!$D:$F,3,FALSE),0)</f>
        <v>0</v>
      </c>
      <c r="Z562" s="2">
        <f>IFERROR(VLOOKUP(K562,'Rate Sheet'!$D:$F,3,FALSE),0)</f>
        <v>0</v>
      </c>
      <c r="AA562" s="2">
        <f t="shared" si="8"/>
        <v>14.333333333333334</v>
      </c>
      <c r="AB562">
        <v>1</v>
      </c>
    </row>
    <row r="563" spans="1:28" x14ac:dyDescent="0.25">
      <c r="A563" t="s">
        <v>33</v>
      </c>
      <c r="B563" t="s">
        <v>2224</v>
      </c>
      <c r="C563" t="s">
        <v>21</v>
      </c>
      <c r="D563" t="s">
        <v>2224</v>
      </c>
      <c r="E563" t="s">
        <v>1449</v>
      </c>
      <c r="F563" t="s">
        <v>2225</v>
      </c>
      <c r="G563" t="s">
        <v>24</v>
      </c>
      <c r="H563" t="s">
        <v>2226</v>
      </c>
      <c r="I563" t="s">
        <v>46</v>
      </c>
      <c r="N563" t="s">
        <v>2145</v>
      </c>
      <c r="S563" t="s">
        <v>48</v>
      </c>
      <c r="V563" t="s">
        <v>5726</v>
      </c>
      <c r="W563" t="s">
        <v>2145</v>
      </c>
      <c r="X563" s="2">
        <f>IFERROR(VLOOKUP(I563,'Rate Sheet'!$D:$F,3,FALSE),0)</f>
        <v>14.333333333333334</v>
      </c>
      <c r="Y563" s="2">
        <f>IFERROR(VLOOKUP(J563,'Rate Sheet'!$D:$F,3,FALSE),0)</f>
        <v>0</v>
      </c>
      <c r="Z563" s="2">
        <f>IFERROR(VLOOKUP(K563,'Rate Sheet'!$D:$F,3,FALSE),0)</f>
        <v>0</v>
      </c>
      <c r="AA563" s="2">
        <f t="shared" si="8"/>
        <v>14.333333333333334</v>
      </c>
      <c r="AB563">
        <v>1</v>
      </c>
    </row>
    <row r="564" spans="1:28" x14ac:dyDescent="0.25">
      <c r="A564" t="s">
        <v>33</v>
      </c>
      <c r="B564" t="s">
        <v>2227</v>
      </c>
      <c r="C564" t="s">
        <v>21</v>
      </c>
      <c r="D564" t="s">
        <v>2227</v>
      </c>
      <c r="E564" t="s">
        <v>2228</v>
      </c>
      <c r="F564" t="s">
        <v>2229</v>
      </c>
      <c r="G564" t="s">
        <v>24</v>
      </c>
      <c r="H564" t="s">
        <v>2230</v>
      </c>
      <c r="N564" t="s">
        <v>2145</v>
      </c>
      <c r="X564" s="2">
        <f>IFERROR(VLOOKUP(I564,'Rate Sheet'!$D:$F,3,FALSE),0)</f>
        <v>0</v>
      </c>
      <c r="Y564" s="2">
        <f>IFERROR(VLOOKUP(J564,'Rate Sheet'!$D:$F,3,FALSE),0)</f>
        <v>0</v>
      </c>
      <c r="Z564" s="2">
        <f>IFERROR(VLOOKUP(K564,'Rate Sheet'!$D:$F,3,FALSE),0)</f>
        <v>0</v>
      </c>
      <c r="AA564" s="2">
        <f t="shared" si="8"/>
        <v>0</v>
      </c>
    </row>
    <row r="565" spans="1:28" x14ac:dyDescent="0.25">
      <c r="A565" t="s">
        <v>33</v>
      </c>
      <c r="B565" t="s">
        <v>2231</v>
      </c>
      <c r="C565" t="s">
        <v>21</v>
      </c>
      <c r="D565" t="s">
        <v>2231</v>
      </c>
      <c r="E565" t="s">
        <v>1146</v>
      </c>
      <c r="F565" t="s">
        <v>2232</v>
      </c>
      <c r="G565" t="s">
        <v>24</v>
      </c>
      <c r="H565" t="s">
        <v>2233</v>
      </c>
      <c r="I565" t="s">
        <v>73</v>
      </c>
      <c r="N565" t="s">
        <v>2145</v>
      </c>
      <c r="S565" t="s">
        <v>75</v>
      </c>
      <c r="V565" t="s">
        <v>5726</v>
      </c>
      <c r="W565" t="s">
        <v>2145</v>
      </c>
      <c r="X565" s="2">
        <f>IFERROR(VLOOKUP(I565,'Rate Sheet'!$D:$F,3,FALSE),0)</f>
        <v>8.6983333333333324</v>
      </c>
      <c r="Y565" s="2">
        <f>IFERROR(VLOOKUP(J565,'Rate Sheet'!$D:$F,3,FALSE),0)</f>
        <v>0</v>
      </c>
      <c r="Z565" s="2">
        <f>IFERROR(VLOOKUP(K565,'Rate Sheet'!$D:$F,3,FALSE),0)</f>
        <v>0</v>
      </c>
      <c r="AA565" s="2">
        <f t="shared" si="8"/>
        <v>8.6983333333333324</v>
      </c>
      <c r="AB565">
        <v>1</v>
      </c>
    </row>
    <row r="566" spans="1:28" x14ac:dyDescent="0.25">
      <c r="A566" t="s">
        <v>33</v>
      </c>
      <c r="B566" t="s">
        <v>2234</v>
      </c>
      <c r="C566" t="s">
        <v>21</v>
      </c>
      <c r="D566" t="s">
        <v>2234</v>
      </c>
      <c r="E566" t="s">
        <v>1872</v>
      </c>
      <c r="F566" t="s">
        <v>2235</v>
      </c>
      <c r="G566" t="s">
        <v>24</v>
      </c>
      <c r="H566" t="s">
        <v>2236</v>
      </c>
      <c r="N566" t="s">
        <v>2145</v>
      </c>
      <c r="X566" s="2">
        <f>IFERROR(VLOOKUP(I566,'Rate Sheet'!$D:$F,3,FALSE),0)</f>
        <v>0</v>
      </c>
      <c r="Y566" s="2">
        <f>IFERROR(VLOOKUP(J566,'Rate Sheet'!$D:$F,3,FALSE),0)</f>
        <v>0</v>
      </c>
      <c r="Z566" s="2">
        <f>IFERROR(VLOOKUP(K566,'Rate Sheet'!$D:$F,3,FALSE),0)</f>
        <v>0</v>
      </c>
      <c r="AA566" s="2">
        <f t="shared" si="8"/>
        <v>0</v>
      </c>
    </row>
    <row r="567" spans="1:28" x14ac:dyDescent="0.25">
      <c r="A567" t="s">
        <v>33</v>
      </c>
      <c r="B567" t="s">
        <v>2237</v>
      </c>
      <c r="C567" t="s">
        <v>21</v>
      </c>
      <c r="D567" t="s">
        <v>2237</v>
      </c>
      <c r="E567" t="s">
        <v>2238</v>
      </c>
      <c r="F567" t="s">
        <v>2239</v>
      </c>
      <c r="G567" t="s">
        <v>24</v>
      </c>
      <c r="H567" t="s">
        <v>2240</v>
      </c>
      <c r="N567" t="s">
        <v>2145</v>
      </c>
      <c r="X567" s="2">
        <f>IFERROR(VLOOKUP(I567,'Rate Sheet'!$D:$F,3,FALSE),0)</f>
        <v>0</v>
      </c>
      <c r="Y567" s="2">
        <f>IFERROR(VLOOKUP(J567,'Rate Sheet'!$D:$F,3,FALSE),0)</f>
        <v>0</v>
      </c>
      <c r="Z567" s="2">
        <f>IFERROR(VLOOKUP(K567,'Rate Sheet'!$D:$F,3,FALSE),0)</f>
        <v>0</v>
      </c>
      <c r="AA567" s="2">
        <f t="shared" si="8"/>
        <v>0</v>
      </c>
    </row>
    <row r="568" spans="1:28" x14ac:dyDescent="0.25">
      <c r="A568" t="s">
        <v>33</v>
      </c>
      <c r="B568" t="s">
        <v>2241</v>
      </c>
      <c r="C568" t="s">
        <v>21</v>
      </c>
      <c r="D568" t="s">
        <v>2241</v>
      </c>
      <c r="E568" t="s">
        <v>1770</v>
      </c>
      <c r="F568" t="s">
        <v>2242</v>
      </c>
      <c r="G568" t="s">
        <v>24</v>
      </c>
      <c r="H568" t="s">
        <v>2243</v>
      </c>
      <c r="N568" t="s">
        <v>2145</v>
      </c>
      <c r="X568" s="2">
        <f>IFERROR(VLOOKUP(I568,'Rate Sheet'!$D:$F,3,FALSE),0)</f>
        <v>0</v>
      </c>
      <c r="Y568" s="2">
        <f>IFERROR(VLOOKUP(J568,'Rate Sheet'!$D:$F,3,FALSE),0)</f>
        <v>0</v>
      </c>
      <c r="Z568" s="2">
        <f>IFERROR(VLOOKUP(K568,'Rate Sheet'!$D:$F,3,FALSE),0)</f>
        <v>0</v>
      </c>
      <c r="AA568" s="2">
        <f t="shared" si="8"/>
        <v>0</v>
      </c>
    </row>
    <row r="569" spans="1:28" x14ac:dyDescent="0.25">
      <c r="A569" t="s">
        <v>33</v>
      </c>
      <c r="B569" t="s">
        <v>2244</v>
      </c>
      <c r="C569" t="s">
        <v>21</v>
      </c>
      <c r="D569" t="s">
        <v>2244</v>
      </c>
      <c r="E569" t="s">
        <v>2245</v>
      </c>
      <c r="F569" t="s">
        <v>2246</v>
      </c>
      <c r="G569" t="s">
        <v>24</v>
      </c>
      <c r="H569" t="s">
        <v>2247</v>
      </c>
      <c r="N569" t="s">
        <v>2145</v>
      </c>
      <c r="X569" s="2">
        <f>IFERROR(VLOOKUP(I569,'Rate Sheet'!$D:$F,3,FALSE),0)</f>
        <v>0</v>
      </c>
      <c r="Y569" s="2">
        <f>IFERROR(VLOOKUP(J569,'Rate Sheet'!$D:$F,3,FALSE),0)</f>
        <v>0</v>
      </c>
      <c r="Z569" s="2">
        <f>IFERROR(VLOOKUP(K569,'Rate Sheet'!$D:$F,3,FALSE),0)</f>
        <v>0</v>
      </c>
      <c r="AA569" s="2">
        <f t="shared" si="8"/>
        <v>0</v>
      </c>
    </row>
    <row r="570" spans="1:28" x14ac:dyDescent="0.25">
      <c r="A570" t="s">
        <v>33</v>
      </c>
      <c r="B570" t="s">
        <v>2248</v>
      </c>
      <c r="C570" t="s">
        <v>21</v>
      </c>
      <c r="D570" t="s">
        <v>2248</v>
      </c>
      <c r="E570" t="s">
        <v>334</v>
      </c>
      <c r="F570" t="s">
        <v>2249</v>
      </c>
      <c r="G570" t="s">
        <v>24</v>
      </c>
      <c r="H570" t="s">
        <v>2250</v>
      </c>
      <c r="I570" t="s">
        <v>46</v>
      </c>
      <c r="N570" t="s">
        <v>273</v>
      </c>
      <c r="S570" t="s">
        <v>48</v>
      </c>
      <c r="V570" t="s">
        <v>5621</v>
      </c>
      <c r="W570" t="s">
        <v>5622</v>
      </c>
      <c r="X570" s="2">
        <f>IFERROR(VLOOKUP(I570,'Rate Sheet'!$D:$F,3,FALSE),0)</f>
        <v>14.333333333333334</v>
      </c>
      <c r="Y570" s="2">
        <f>IFERROR(VLOOKUP(J570,'Rate Sheet'!$D:$F,3,FALSE),0)</f>
        <v>0</v>
      </c>
      <c r="Z570" s="2">
        <f>IFERROR(VLOOKUP(K570,'Rate Sheet'!$D:$F,3,FALSE),0)</f>
        <v>0</v>
      </c>
      <c r="AA570" s="2">
        <f t="shared" si="8"/>
        <v>14.333333333333334</v>
      </c>
      <c r="AB570">
        <v>1</v>
      </c>
    </row>
    <row r="571" spans="1:28" x14ac:dyDescent="0.25">
      <c r="A571" t="s">
        <v>33</v>
      </c>
      <c r="B571" t="s">
        <v>2251</v>
      </c>
      <c r="C571" t="s">
        <v>29</v>
      </c>
      <c r="D571" t="s">
        <v>2251</v>
      </c>
      <c r="E571" t="s">
        <v>22</v>
      </c>
      <c r="F571" t="s">
        <v>2252</v>
      </c>
      <c r="G571" t="s">
        <v>24</v>
      </c>
      <c r="H571" t="s">
        <v>2253</v>
      </c>
      <c r="I571" t="s">
        <v>46</v>
      </c>
      <c r="N571" t="s">
        <v>190</v>
      </c>
      <c r="S571" t="s">
        <v>48</v>
      </c>
      <c r="V571" t="s">
        <v>5612</v>
      </c>
      <c r="W571" t="s">
        <v>5613</v>
      </c>
      <c r="X571" s="2">
        <f>IFERROR(VLOOKUP(I571,'Rate Sheet'!$D:$F,3,FALSE),0)</f>
        <v>14.333333333333334</v>
      </c>
      <c r="Y571" s="2">
        <f>IFERROR(VLOOKUP(J571,'Rate Sheet'!$D:$F,3,FALSE),0)</f>
        <v>0</v>
      </c>
      <c r="Z571" s="2">
        <f>IFERROR(VLOOKUP(K571,'Rate Sheet'!$D:$F,3,FALSE),0)</f>
        <v>0</v>
      </c>
      <c r="AA571" s="2">
        <f t="shared" ref="AA571:AA633" si="9">SUM(X571:Z571)</f>
        <v>14.333333333333334</v>
      </c>
      <c r="AB571">
        <v>1</v>
      </c>
    </row>
    <row r="572" spans="1:28" x14ac:dyDescent="0.25">
      <c r="A572" t="s">
        <v>33</v>
      </c>
      <c r="B572" t="s">
        <v>2254</v>
      </c>
      <c r="C572" t="s">
        <v>21</v>
      </c>
      <c r="D572" t="s">
        <v>2254</v>
      </c>
      <c r="E572" t="s">
        <v>778</v>
      </c>
      <c r="F572" t="s">
        <v>2255</v>
      </c>
      <c r="G572" t="s">
        <v>24</v>
      </c>
      <c r="H572" t="s">
        <v>2256</v>
      </c>
      <c r="I572" t="s">
        <v>46</v>
      </c>
      <c r="N572" t="s">
        <v>1923</v>
      </c>
      <c r="S572" t="s">
        <v>48</v>
      </c>
      <c r="V572" t="s">
        <v>5666</v>
      </c>
      <c r="W572" t="s">
        <v>1923</v>
      </c>
      <c r="X572" s="2">
        <f>IFERROR(VLOOKUP(I572,'Rate Sheet'!$D:$F,3,FALSE),0)</f>
        <v>14.333333333333334</v>
      </c>
      <c r="Y572" s="2">
        <f>IFERROR(VLOOKUP(J572,'Rate Sheet'!$D:$F,3,FALSE),0)</f>
        <v>0</v>
      </c>
      <c r="Z572" s="2">
        <f>IFERROR(VLOOKUP(K572,'Rate Sheet'!$D:$F,3,FALSE),0)</f>
        <v>0</v>
      </c>
      <c r="AA572" s="2">
        <f t="shared" si="9"/>
        <v>14.333333333333334</v>
      </c>
      <c r="AB572">
        <v>1</v>
      </c>
    </row>
    <row r="573" spans="1:28" x14ac:dyDescent="0.25">
      <c r="A573" t="s">
        <v>33</v>
      </c>
      <c r="B573" t="s">
        <v>2257</v>
      </c>
      <c r="C573" t="s">
        <v>21</v>
      </c>
      <c r="D573" t="s">
        <v>2257</v>
      </c>
      <c r="E573" t="s">
        <v>2258</v>
      </c>
      <c r="F573" t="s">
        <v>2259</v>
      </c>
      <c r="G573" t="s">
        <v>24</v>
      </c>
      <c r="H573" t="s">
        <v>2260</v>
      </c>
      <c r="I573" t="s">
        <v>46</v>
      </c>
      <c r="N573" t="s">
        <v>697</v>
      </c>
      <c r="S573" t="s">
        <v>48</v>
      </c>
      <c r="V573" t="s">
        <v>5692</v>
      </c>
      <c r="W573" t="s">
        <v>5693</v>
      </c>
      <c r="X573" s="2">
        <f>IFERROR(VLOOKUP(I573,'Rate Sheet'!$D:$F,3,FALSE),0)</f>
        <v>14.333333333333334</v>
      </c>
      <c r="Y573" s="2">
        <f>IFERROR(VLOOKUP(J573,'Rate Sheet'!$D:$F,3,FALSE),0)</f>
        <v>0</v>
      </c>
      <c r="Z573" s="2">
        <f>IFERROR(VLOOKUP(K573,'Rate Sheet'!$D:$F,3,FALSE),0)</f>
        <v>0</v>
      </c>
      <c r="AA573" s="2">
        <f t="shared" si="9"/>
        <v>14.333333333333334</v>
      </c>
      <c r="AB573">
        <v>1</v>
      </c>
    </row>
    <row r="574" spans="1:28" x14ac:dyDescent="0.25">
      <c r="A574" t="s">
        <v>33</v>
      </c>
      <c r="B574" t="s">
        <v>2261</v>
      </c>
      <c r="C574" t="s">
        <v>21</v>
      </c>
      <c r="D574" t="s">
        <v>2261</v>
      </c>
      <c r="E574" t="s">
        <v>2262</v>
      </c>
      <c r="F574" t="s">
        <v>2263</v>
      </c>
      <c r="G574" t="s">
        <v>24</v>
      </c>
      <c r="H574" t="s">
        <v>2264</v>
      </c>
      <c r="I574" t="s">
        <v>46</v>
      </c>
      <c r="N574" t="s">
        <v>548</v>
      </c>
      <c r="S574" t="s">
        <v>48</v>
      </c>
      <c r="V574" t="s">
        <v>5650</v>
      </c>
      <c r="W574" t="s">
        <v>5651</v>
      </c>
      <c r="X574" s="2">
        <f>IFERROR(VLOOKUP(I574,'Rate Sheet'!$D:$F,3,FALSE),0)</f>
        <v>14.333333333333334</v>
      </c>
      <c r="Y574" s="2">
        <f>IFERROR(VLOOKUP(J574,'Rate Sheet'!$D:$F,3,FALSE),0)</f>
        <v>0</v>
      </c>
      <c r="Z574" s="2">
        <f>IFERROR(VLOOKUP(K574,'Rate Sheet'!$D:$F,3,FALSE),0)</f>
        <v>0</v>
      </c>
      <c r="AA574" s="2">
        <f t="shared" si="9"/>
        <v>14.333333333333334</v>
      </c>
      <c r="AB574">
        <v>1</v>
      </c>
    </row>
    <row r="575" spans="1:28" x14ac:dyDescent="0.25">
      <c r="A575" t="s">
        <v>33</v>
      </c>
      <c r="B575" t="s">
        <v>2265</v>
      </c>
      <c r="C575" t="s">
        <v>21</v>
      </c>
      <c r="D575" t="s">
        <v>2265</v>
      </c>
      <c r="E575" t="s">
        <v>796</v>
      </c>
      <c r="F575" t="s">
        <v>2266</v>
      </c>
      <c r="G575" t="s">
        <v>24</v>
      </c>
      <c r="H575" t="s">
        <v>2267</v>
      </c>
      <c r="N575" t="s">
        <v>1042</v>
      </c>
      <c r="X575" s="2">
        <f>IFERROR(VLOOKUP(I575,'Rate Sheet'!$D:$F,3,FALSE),0)</f>
        <v>0</v>
      </c>
      <c r="Y575" s="2">
        <f>IFERROR(VLOOKUP(J575,'Rate Sheet'!$D:$F,3,FALSE),0)</f>
        <v>0</v>
      </c>
      <c r="Z575" s="2">
        <f>IFERROR(VLOOKUP(K575,'Rate Sheet'!$D:$F,3,FALSE),0)</f>
        <v>0</v>
      </c>
      <c r="AA575" s="2">
        <f t="shared" si="9"/>
        <v>0</v>
      </c>
    </row>
    <row r="576" spans="1:28" x14ac:dyDescent="0.25">
      <c r="A576" t="s">
        <v>33</v>
      </c>
      <c r="B576" t="s">
        <v>2268</v>
      </c>
      <c r="C576" t="s">
        <v>21</v>
      </c>
      <c r="D576" t="s">
        <v>2268</v>
      </c>
      <c r="E576" t="s">
        <v>2269</v>
      </c>
      <c r="F576" t="s">
        <v>2270</v>
      </c>
      <c r="G576" t="s">
        <v>24</v>
      </c>
      <c r="H576" t="s">
        <v>2271</v>
      </c>
      <c r="I576" t="s">
        <v>73</v>
      </c>
      <c r="N576" t="s">
        <v>90</v>
      </c>
      <c r="S576" t="s">
        <v>75</v>
      </c>
      <c r="V576" t="s">
        <v>5591</v>
      </c>
      <c r="W576" t="s">
        <v>90</v>
      </c>
      <c r="X576" s="2">
        <f>IFERROR(VLOOKUP(I576,'Rate Sheet'!$D:$F,3,FALSE),0)</f>
        <v>8.6983333333333324</v>
      </c>
      <c r="Y576" s="2">
        <f>IFERROR(VLOOKUP(J576,'Rate Sheet'!$D:$F,3,FALSE),0)</f>
        <v>0</v>
      </c>
      <c r="Z576" s="2">
        <f>IFERROR(VLOOKUP(K576,'Rate Sheet'!$D:$F,3,FALSE),0)</f>
        <v>0</v>
      </c>
      <c r="AA576" s="2">
        <f t="shared" si="9"/>
        <v>8.6983333333333324</v>
      </c>
      <c r="AB576">
        <v>1</v>
      </c>
    </row>
    <row r="577" spans="1:28" x14ac:dyDescent="0.25">
      <c r="A577" t="s">
        <v>33</v>
      </c>
      <c r="B577" t="s">
        <v>2272</v>
      </c>
      <c r="C577" t="s">
        <v>92</v>
      </c>
      <c r="D577" t="s">
        <v>2273</v>
      </c>
      <c r="E577" t="s">
        <v>135</v>
      </c>
      <c r="F577" t="s">
        <v>2274</v>
      </c>
      <c r="G577" t="s">
        <v>24</v>
      </c>
      <c r="H577" t="s">
        <v>2275</v>
      </c>
      <c r="I577" t="s">
        <v>73</v>
      </c>
      <c r="N577" t="s">
        <v>97</v>
      </c>
      <c r="S577" t="s">
        <v>75</v>
      </c>
      <c r="V577" t="s">
        <v>5592</v>
      </c>
      <c r="W577" t="s">
        <v>97</v>
      </c>
      <c r="X577" s="2">
        <f>IFERROR(VLOOKUP(I577,'Rate Sheet'!$D:$F,3,FALSE),0)</f>
        <v>8.6983333333333324</v>
      </c>
      <c r="Y577" s="2">
        <f>IFERROR(VLOOKUP(J577,'Rate Sheet'!$D:$F,3,FALSE),0)</f>
        <v>0</v>
      </c>
      <c r="Z577" s="2">
        <f>IFERROR(VLOOKUP(K577,'Rate Sheet'!$D:$F,3,FALSE),0)</f>
        <v>0</v>
      </c>
      <c r="AA577" s="2">
        <f t="shared" si="9"/>
        <v>8.6983333333333324</v>
      </c>
      <c r="AB577">
        <v>1</v>
      </c>
    </row>
    <row r="578" spans="1:28" x14ac:dyDescent="0.25">
      <c r="A578" t="s">
        <v>33</v>
      </c>
      <c r="B578" t="s">
        <v>2276</v>
      </c>
      <c r="C578" t="s">
        <v>21</v>
      </c>
      <c r="D578" t="s">
        <v>2276</v>
      </c>
      <c r="E578" t="s">
        <v>2277</v>
      </c>
      <c r="F578" t="s">
        <v>2278</v>
      </c>
      <c r="G578" t="s">
        <v>24</v>
      </c>
      <c r="H578" t="s">
        <v>2279</v>
      </c>
      <c r="I578" t="s">
        <v>46</v>
      </c>
      <c r="N578" t="s">
        <v>185</v>
      </c>
      <c r="S578" t="s">
        <v>48</v>
      </c>
      <c r="V578" t="s">
        <v>5610</v>
      </c>
      <c r="W578" t="s">
        <v>5611</v>
      </c>
      <c r="X578" s="2">
        <f>IFERROR(VLOOKUP(I578,'Rate Sheet'!$D:$F,3,FALSE),0)</f>
        <v>14.333333333333334</v>
      </c>
      <c r="Y578" s="2">
        <f>IFERROR(VLOOKUP(J578,'Rate Sheet'!$D:$F,3,FALSE),0)</f>
        <v>0</v>
      </c>
      <c r="Z578" s="2">
        <f>IFERROR(VLOOKUP(K578,'Rate Sheet'!$D:$F,3,FALSE),0)</f>
        <v>0</v>
      </c>
      <c r="AA578" s="2">
        <f t="shared" si="9"/>
        <v>14.333333333333334</v>
      </c>
      <c r="AB578">
        <v>1</v>
      </c>
    </row>
    <row r="579" spans="1:28" x14ac:dyDescent="0.25">
      <c r="A579" t="s">
        <v>33</v>
      </c>
      <c r="B579" t="s">
        <v>2280</v>
      </c>
      <c r="C579" t="s">
        <v>92</v>
      </c>
      <c r="D579" t="s">
        <v>2280</v>
      </c>
      <c r="E579" t="s">
        <v>2281</v>
      </c>
      <c r="F579" t="s">
        <v>2282</v>
      </c>
      <c r="G579" t="s">
        <v>24</v>
      </c>
      <c r="H579" t="s">
        <v>2283</v>
      </c>
      <c r="N579" t="s">
        <v>97</v>
      </c>
      <c r="X579" s="2">
        <f>IFERROR(VLOOKUP(I579,'Rate Sheet'!$D:$F,3,FALSE),0)</f>
        <v>0</v>
      </c>
      <c r="Y579" s="2">
        <f>IFERROR(VLOOKUP(J579,'Rate Sheet'!$D:$F,3,FALSE),0)</f>
        <v>0</v>
      </c>
      <c r="Z579" s="2">
        <f>IFERROR(VLOOKUP(K579,'Rate Sheet'!$D:$F,3,FALSE),0)</f>
        <v>0</v>
      </c>
      <c r="AA579" s="2">
        <f t="shared" si="9"/>
        <v>0</v>
      </c>
    </row>
    <row r="580" spans="1:28" x14ac:dyDescent="0.25">
      <c r="A580" t="s">
        <v>33</v>
      </c>
      <c r="B580" t="s">
        <v>2284</v>
      </c>
      <c r="C580" t="s">
        <v>21</v>
      </c>
      <c r="D580" t="s">
        <v>2284</v>
      </c>
      <c r="E580" t="s">
        <v>2285</v>
      </c>
      <c r="F580" t="s">
        <v>2286</v>
      </c>
      <c r="G580" t="s">
        <v>24</v>
      </c>
      <c r="H580" t="s">
        <v>2287</v>
      </c>
      <c r="I580" t="s">
        <v>73</v>
      </c>
      <c r="N580" t="s">
        <v>292</v>
      </c>
      <c r="S580" t="s">
        <v>75</v>
      </c>
      <c r="V580" t="s">
        <v>5624</v>
      </c>
      <c r="W580" t="s">
        <v>292</v>
      </c>
      <c r="X580" s="2">
        <f>IFERROR(VLOOKUP(I580,'Rate Sheet'!$D:$F,3,FALSE),0)</f>
        <v>8.6983333333333324</v>
      </c>
      <c r="Y580" s="2">
        <f>IFERROR(VLOOKUP(J580,'Rate Sheet'!$D:$F,3,FALSE),0)</f>
        <v>0</v>
      </c>
      <c r="Z580" s="2">
        <f>IFERROR(VLOOKUP(K580,'Rate Sheet'!$D:$F,3,FALSE),0)</f>
        <v>0</v>
      </c>
      <c r="AA580" s="2">
        <f t="shared" si="9"/>
        <v>8.6983333333333324</v>
      </c>
      <c r="AB580">
        <v>1</v>
      </c>
    </row>
    <row r="581" spans="1:28" x14ac:dyDescent="0.25">
      <c r="A581" t="s">
        <v>33</v>
      </c>
      <c r="B581" t="s">
        <v>2288</v>
      </c>
      <c r="C581" t="s">
        <v>29</v>
      </c>
      <c r="D581" t="s">
        <v>2288</v>
      </c>
      <c r="E581" t="s">
        <v>1738</v>
      </c>
      <c r="F581" t="s">
        <v>2289</v>
      </c>
      <c r="G581" t="s">
        <v>24</v>
      </c>
      <c r="H581" t="s">
        <v>2290</v>
      </c>
      <c r="N581" t="s">
        <v>190</v>
      </c>
      <c r="X581" s="2">
        <f>IFERROR(VLOOKUP(I581,'Rate Sheet'!$D:$F,3,FALSE),0)</f>
        <v>0</v>
      </c>
      <c r="Y581" s="2">
        <f>IFERROR(VLOOKUP(J581,'Rate Sheet'!$D:$F,3,FALSE),0)</f>
        <v>0</v>
      </c>
      <c r="Z581" s="2">
        <f>IFERROR(VLOOKUP(K581,'Rate Sheet'!$D:$F,3,FALSE),0)</f>
        <v>0</v>
      </c>
      <c r="AA581" s="2">
        <f t="shared" si="9"/>
        <v>0</v>
      </c>
    </row>
    <row r="582" spans="1:28" x14ac:dyDescent="0.25">
      <c r="A582" t="s">
        <v>33</v>
      </c>
      <c r="B582" t="s">
        <v>2291</v>
      </c>
      <c r="C582" t="s">
        <v>21</v>
      </c>
      <c r="D582" t="s">
        <v>2291</v>
      </c>
      <c r="E582" t="s">
        <v>606</v>
      </c>
      <c r="F582" t="s">
        <v>2292</v>
      </c>
      <c r="G582" t="s">
        <v>24</v>
      </c>
      <c r="H582" t="s">
        <v>2293</v>
      </c>
      <c r="N582" t="s">
        <v>1042</v>
      </c>
      <c r="X582" s="2">
        <f>IFERROR(VLOOKUP(I582,'Rate Sheet'!$D:$F,3,FALSE),0)</f>
        <v>0</v>
      </c>
      <c r="Y582" s="2">
        <f>IFERROR(VLOOKUP(J582,'Rate Sheet'!$D:$F,3,FALSE),0)</f>
        <v>0</v>
      </c>
      <c r="Z582" s="2">
        <f>IFERROR(VLOOKUP(K582,'Rate Sheet'!$D:$F,3,FALSE),0)</f>
        <v>0</v>
      </c>
      <c r="AA582" s="2">
        <f t="shared" si="9"/>
        <v>0</v>
      </c>
    </row>
    <row r="583" spans="1:28" x14ac:dyDescent="0.25">
      <c r="A583" t="s">
        <v>33</v>
      </c>
      <c r="B583" t="s">
        <v>2294</v>
      </c>
      <c r="C583" t="s">
        <v>21</v>
      </c>
      <c r="D583" t="s">
        <v>2294</v>
      </c>
      <c r="E583" t="s">
        <v>2295</v>
      </c>
      <c r="F583" t="s">
        <v>2296</v>
      </c>
      <c r="G583" t="s">
        <v>24</v>
      </c>
      <c r="H583" t="s">
        <v>2297</v>
      </c>
      <c r="I583" t="s">
        <v>46</v>
      </c>
      <c r="J583" t="s">
        <v>3206</v>
      </c>
      <c r="N583" t="s">
        <v>349</v>
      </c>
      <c r="S583" t="s">
        <v>1056</v>
      </c>
      <c r="V583" t="s">
        <v>5630</v>
      </c>
      <c r="W583" t="s">
        <v>5631</v>
      </c>
      <c r="X583" s="2">
        <f>IFERROR(VLOOKUP(I583,'Rate Sheet'!$D:$F,3,FALSE),0)</f>
        <v>14.333333333333334</v>
      </c>
      <c r="Y583" s="2">
        <f>IFERROR(VLOOKUP(J583,'Rate Sheet'!$D:$F,3,FALSE),0)</f>
        <v>36.357500000000002</v>
      </c>
      <c r="Z583" s="2">
        <f>IFERROR(VLOOKUP(K583,'Rate Sheet'!$D:$F,3,FALSE),0)</f>
        <v>0</v>
      </c>
      <c r="AA583" s="2">
        <f t="shared" si="9"/>
        <v>50.690833333333337</v>
      </c>
      <c r="AB583">
        <v>1</v>
      </c>
    </row>
    <row r="584" spans="1:28" x14ac:dyDescent="0.25">
      <c r="A584" t="s">
        <v>33</v>
      </c>
      <c r="B584" t="s">
        <v>2298</v>
      </c>
      <c r="C584" t="s">
        <v>21</v>
      </c>
      <c r="D584" t="s">
        <v>2298</v>
      </c>
      <c r="E584" t="s">
        <v>2299</v>
      </c>
      <c r="F584" t="s">
        <v>2300</v>
      </c>
      <c r="G584" t="s">
        <v>24</v>
      </c>
      <c r="H584" t="s">
        <v>2301</v>
      </c>
      <c r="N584" t="s">
        <v>27</v>
      </c>
      <c r="X584" s="2">
        <f>IFERROR(VLOOKUP(I584,'Rate Sheet'!$D:$F,3,FALSE),0)</f>
        <v>0</v>
      </c>
      <c r="Y584" s="2">
        <f>IFERROR(VLOOKUP(J584,'Rate Sheet'!$D:$F,3,FALSE),0)</f>
        <v>0</v>
      </c>
      <c r="Z584" s="2">
        <f>IFERROR(VLOOKUP(K584,'Rate Sheet'!$D:$F,3,FALSE),0)</f>
        <v>0</v>
      </c>
      <c r="AA584" s="2">
        <f t="shared" si="9"/>
        <v>0</v>
      </c>
    </row>
    <row r="585" spans="1:28" x14ac:dyDescent="0.25">
      <c r="A585" t="s">
        <v>33</v>
      </c>
      <c r="B585" t="s">
        <v>2302</v>
      </c>
      <c r="C585" t="s">
        <v>21</v>
      </c>
      <c r="D585" t="s">
        <v>2302</v>
      </c>
      <c r="E585" t="s">
        <v>1430</v>
      </c>
      <c r="F585" t="s">
        <v>2303</v>
      </c>
      <c r="G585" t="s">
        <v>24</v>
      </c>
      <c r="H585" t="s">
        <v>2304</v>
      </c>
      <c r="I585" t="s">
        <v>46</v>
      </c>
      <c r="N585" t="s">
        <v>861</v>
      </c>
      <c r="S585" t="s">
        <v>48</v>
      </c>
      <c r="V585" t="s">
        <v>5683</v>
      </c>
      <c r="W585" t="s">
        <v>5684</v>
      </c>
      <c r="X585" s="2">
        <f>IFERROR(VLOOKUP(I585,'Rate Sheet'!$D:$F,3,FALSE),0)</f>
        <v>14.333333333333334</v>
      </c>
      <c r="Y585" s="2">
        <f>IFERROR(VLOOKUP(J585,'Rate Sheet'!$D:$F,3,FALSE),0)</f>
        <v>0</v>
      </c>
      <c r="Z585" s="2">
        <f>IFERROR(VLOOKUP(K585,'Rate Sheet'!$D:$F,3,FALSE),0)</f>
        <v>0</v>
      </c>
      <c r="AA585" s="2">
        <f t="shared" si="9"/>
        <v>14.333333333333334</v>
      </c>
      <c r="AB585">
        <v>1</v>
      </c>
    </row>
    <row r="586" spans="1:28" x14ac:dyDescent="0.25">
      <c r="A586" t="s">
        <v>33</v>
      </c>
      <c r="B586" t="s">
        <v>2305</v>
      </c>
      <c r="C586" t="s">
        <v>21</v>
      </c>
      <c r="D586" t="s">
        <v>2305</v>
      </c>
      <c r="E586" t="s">
        <v>894</v>
      </c>
      <c r="F586" t="s">
        <v>2306</v>
      </c>
      <c r="G586" t="s">
        <v>24</v>
      </c>
      <c r="H586" t="s">
        <v>2307</v>
      </c>
      <c r="I586" t="s">
        <v>46</v>
      </c>
      <c r="N586" t="s">
        <v>692</v>
      </c>
      <c r="S586" t="s">
        <v>48</v>
      </c>
      <c r="V586" t="s">
        <v>5628</v>
      </c>
      <c r="W586" t="s">
        <v>5629</v>
      </c>
      <c r="X586" s="2">
        <f>IFERROR(VLOOKUP(I586,'Rate Sheet'!$D:$F,3,FALSE),0)</f>
        <v>14.333333333333334</v>
      </c>
      <c r="Y586" s="2">
        <f>IFERROR(VLOOKUP(J586,'Rate Sheet'!$D:$F,3,FALSE),0)</f>
        <v>0</v>
      </c>
      <c r="Z586" s="2">
        <f>IFERROR(VLOOKUP(K586,'Rate Sheet'!$D:$F,3,FALSE),0)</f>
        <v>0</v>
      </c>
      <c r="AA586" s="2">
        <f t="shared" si="9"/>
        <v>14.333333333333334</v>
      </c>
      <c r="AB586">
        <v>1</v>
      </c>
    </row>
    <row r="587" spans="1:28" x14ac:dyDescent="0.25">
      <c r="A587" t="s">
        <v>33</v>
      </c>
      <c r="B587" t="s">
        <v>2308</v>
      </c>
      <c r="C587" t="s">
        <v>29</v>
      </c>
      <c r="D587" t="s">
        <v>2308</v>
      </c>
      <c r="E587" t="s">
        <v>2309</v>
      </c>
      <c r="F587" t="s">
        <v>2310</v>
      </c>
      <c r="G587" t="s">
        <v>24</v>
      </c>
      <c r="H587" t="s">
        <v>2311</v>
      </c>
      <c r="N587" t="s">
        <v>2312</v>
      </c>
      <c r="X587" s="2">
        <f>IFERROR(VLOOKUP(I587,'Rate Sheet'!$D:$F,3,FALSE),0)</f>
        <v>0</v>
      </c>
      <c r="Y587" s="2">
        <f>IFERROR(VLOOKUP(J587,'Rate Sheet'!$D:$F,3,FALSE),0)</f>
        <v>0</v>
      </c>
      <c r="Z587" s="2">
        <f>IFERROR(VLOOKUP(K587,'Rate Sheet'!$D:$F,3,FALSE),0)</f>
        <v>0</v>
      </c>
      <c r="AA587" s="2">
        <f t="shared" si="9"/>
        <v>0</v>
      </c>
    </row>
    <row r="588" spans="1:28" x14ac:dyDescent="0.25">
      <c r="A588" t="s">
        <v>33</v>
      </c>
      <c r="B588" t="s">
        <v>2313</v>
      </c>
      <c r="C588" t="s">
        <v>29</v>
      </c>
      <c r="D588" t="s">
        <v>2313</v>
      </c>
      <c r="E588" t="s">
        <v>187</v>
      </c>
      <c r="F588" t="s">
        <v>591</v>
      </c>
      <c r="G588" t="s">
        <v>24</v>
      </c>
      <c r="H588" s="1" t="s">
        <v>2314</v>
      </c>
      <c r="I588" t="s">
        <v>46</v>
      </c>
      <c r="N588" t="s">
        <v>246</v>
      </c>
      <c r="S588" t="s">
        <v>48</v>
      </c>
      <c r="V588" t="s">
        <v>5661</v>
      </c>
      <c r="W588" t="s">
        <v>246</v>
      </c>
      <c r="X588" s="2">
        <f>IFERROR(VLOOKUP(I588,'Rate Sheet'!$D:$F,3,FALSE),0)</f>
        <v>14.333333333333334</v>
      </c>
      <c r="Y588" s="2">
        <f>IFERROR(VLOOKUP(J588,'Rate Sheet'!$D:$F,3,FALSE),0)</f>
        <v>0</v>
      </c>
      <c r="Z588" s="2">
        <f>IFERROR(VLOOKUP(K588,'Rate Sheet'!$D:$F,3,FALSE),0)</f>
        <v>0</v>
      </c>
      <c r="AA588" s="2">
        <f t="shared" si="9"/>
        <v>14.333333333333334</v>
      </c>
      <c r="AB588">
        <v>1</v>
      </c>
    </row>
    <row r="589" spans="1:28" x14ac:dyDescent="0.25">
      <c r="A589" t="s">
        <v>33</v>
      </c>
      <c r="B589" t="s">
        <v>2315</v>
      </c>
      <c r="C589" t="s">
        <v>21</v>
      </c>
      <c r="D589" t="s">
        <v>2315</v>
      </c>
      <c r="E589" t="s">
        <v>236</v>
      </c>
      <c r="F589" t="s">
        <v>2316</v>
      </c>
      <c r="G589" t="s">
        <v>24</v>
      </c>
      <c r="H589" t="s">
        <v>2317</v>
      </c>
      <c r="I589" t="s">
        <v>46</v>
      </c>
      <c r="N589" t="s">
        <v>803</v>
      </c>
      <c r="S589" t="s">
        <v>48</v>
      </c>
      <c r="V589" s="10" t="s">
        <v>5665</v>
      </c>
      <c r="W589" s="10" t="s">
        <v>803</v>
      </c>
      <c r="X589" s="2">
        <f>IFERROR(VLOOKUP(I589,'Rate Sheet'!$D:$F,3,FALSE),0)</f>
        <v>14.333333333333334</v>
      </c>
      <c r="Y589" s="2">
        <f>IFERROR(VLOOKUP(J589,'Rate Sheet'!$D:$F,3,FALSE),0)</f>
        <v>0</v>
      </c>
      <c r="Z589" s="2">
        <f>IFERROR(VLOOKUP(K589,'Rate Sheet'!$D:$F,3,FALSE),0)</f>
        <v>0</v>
      </c>
      <c r="AA589" s="2">
        <f t="shared" si="9"/>
        <v>14.333333333333334</v>
      </c>
      <c r="AB589">
        <v>1</v>
      </c>
    </row>
    <row r="590" spans="1:28" x14ac:dyDescent="0.25">
      <c r="A590" t="s">
        <v>33</v>
      </c>
      <c r="B590" t="s">
        <v>2318</v>
      </c>
      <c r="C590" t="s">
        <v>21</v>
      </c>
      <c r="D590" t="s">
        <v>2318</v>
      </c>
      <c r="E590" t="s">
        <v>178</v>
      </c>
      <c r="F590" t="s">
        <v>2319</v>
      </c>
      <c r="G590" t="s">
        <v>24</v>
      </c>
      <c r="H590" t="s">
        <v>2320</v>
      </c>
      <c r="I590" t="s">
        <v>46</v>
      </c>
      <c r="N590" t="s">
        <v>1061</v>
      </c>
      <c r="S590" t="s">
        <v>48</v>
      </c>
      <c r="V590" t="s">
        <v>5679</v>
      </c>
      <c r="W590" t="s">
        <v>1061</v>
      </c>
      <c r="X590" s="2">
        <f>IFERROR(VLOOKUP(I590,'Rate Sheet'!$D:$F,3,FALSE),0)</f>
        <v>14.333333333333334</v>
      </c>
      <c r="Y590" s="2">
        <f>IFERROR(VLOOKUP(J590,'Rate Sheet'!$D:$F,3,FALSE),0)</f>
        <v>0</v>
      </c>
      <c r="Z590" s="2">
        <f>IFERROR(VLOOKUP(K590,'Rate Sheet'!$D:$F,3,FALSE),0)</f>
        <v>0</v>
      </c>
      <c r="AA590" s="2">
        <f t="shared" si="9"/>
        <v>14.333333333333334</v>
      </c>
      <c r="AB590">
        <v>1</v>
      </c>
    </row>
    <row r="591" spans="1:28" x14ac:dyDescent="0.25">
      <c r="A591" t="s">
        <v>33</v>
      </c>
      <c r="B591" t="s">
        <v>2321</v>
      </c>
      <c r="C591" t="s">
        <v>21</v>
      </c>
      <c r="D591" t="s">
        <v>2321</v>
      </c>
      <c r="E591" t="s">
        <v>2322</v>
      </c>
      <c r="F591" t="s">
        <v>2323</v>
      </c>
      <c r="G591" t="s">
        <v>24</v>
      </c>
      <c r="H591" t="s">
        <v>2324</v>
      </c>
      <c r="I591" t="s">
        <v>46</v>
      </c>
      <c r="N591" t="s">
        <v>317</v>
      </c>
      <c r="S591" t="s">
        <v>48</v>
      </c>
      <c r="V591" t="s">
        <v>5625</v>
      </c>
      <c r="W591" t="s">
        <v>317</v>
      </c>
      <c r="X591" s="2">
        <f>IFERROR(VLOOKUP(I591,'Rate Sheet'!$D:$F,3,FALSE),0)</f>
        <v>14.333333333333334</v>
      </c>
      <c r="Y591" s="2">
        <f>IFERROR(VLOOKUP(J591,'Rate Sheet'!$D:$F,3,FALSE),0)</f>
        <v>0</v>
      </c>
      <c r="Z591" s="2">
        <f>IFERROR(VLOOKUP(K591,'Rate Sheet'!$D:$F,3,FALSE),0)</f>
        <v>0</v>
      </c>
      <c r="AA591" s="2">
        <f t="shared" si="9"/>
        <v>14.333333333333334</v>
      </c>
      <c r="AB591">
        <v>1</v>
      </c>
    </row>
    <row r="592" spans="1:28" x14ac:dyDescent="0.25">
      <c r="A592" t="s">
        <v>33</v>
      </c>
      <c r="B592" t="s">
        <v>2325</v>
      </c>
      <c r="C592" t="s">
        <v>21</v>
      </c>
      <c r="D592" t="s">
        <v>2325</v>
      </c>
      <c r="E592" t="s">
        <v>2326</v>
      </c>
      <c r="F592" t="s">
        <v>2327</v>
      </c>
      <c r="G592" t="s">
        <v>24</v>
      </c>
      <c r="H592" s="1" t="s">
        <v>2328</v>
      </c>
      <c r="I592" t="s">
        <v>73</v>
      </c>
      <c r="L592" t="s">
        <v>26</v>
      </c>
      <c r="N592" t="s">
        <v>2329</v>
      </c>
      <c r="S592" t="s">
        <v>75</v>
      </c>
      <c r="V592" t="s">
        <v>5672</v>
      </c>
      <c r="W592" t="s">
        <v>2329</v>
      </c>
      <c r="X592" s="2">
        <f>IFERROR(VLOOKUP(I592,'Rate Sheet'!$D:$F,3,FALSE),0)</f>
        <v>8.6983333333333324</v>
      </c>
      <c r="Y592" s="2">
        <f>IFERROR(VLOOKUP(J592,'Rate Sheet'!$D:$F,3,FALSE),0)</f>
        <v>0</v>
      </c>
      <c r="Z592" s="2">
        <f>IFERROR(VLOOKUP(K592,'Rate Sheet'!$D:$F,3,FALSE),0)</f>
        <v>0</v>
      </c>
      <c r="AA592" s="2">
        <f t="shared" si="9"/>
        <v>8.6983333333333324</v>
      </c>
      <c r="AB592">
        <v>1</v>
      </c>
    </row>
    <row r="593" spans="1:28" x14ac:dyDescent="0.25">
      <c r="A593" t="s">
        <v>33</v>
      </c>
      <c r="B593" t="s">
        <v>2330</v>
      </c>
      <c r="C593" t="s">
        <v>21</v>
      </c>
      <c r="D593" t="s">
        <v>2330</v>
      </c>
      <c r="E593" t="s">
        <v>2331</v>
      </c>
      <c r="F593" t="s">
        <v>2332</v>
      </c>
      <c r="G593" t="s">
        <v>24</v>
      </c>
      <c r="H593" t="s">
        <v>2333</v>
      </c>
      <c r="N593" t="s">
        <v>327</v>
      </c>
      <c r="X593" s="2">
        <f>IFERROR(VLOOKUP(I593,'Rate Sheet'!$D:$F,3,FALSE),0)</f>
        <v>0</v>
      </c>
      <c r="Y593" s="2">
        <f>IFERROR(VLOOKUP(J593,'Rate Sheet'!$D:$F,3,FALSE),0)</f>
        <v>0</v>
      </c>
      <c r="Z593" s="2">
        <f>IFERROR(VLOOKUP(K593,'Rate Sheet'!$D:$F,3,FALSE),0)</f>
        <v>0</v>
      </c>
      <c r="AA593" s="2">
        <f t="shared" si="9"/>
        <v>0</v>
      </c>
    </row>
    <row r="594" spans="1:28" x14ac:dyDescent="0.25">
      <c r="A594" t="s">
        <v>33</v>
      </c>
      <c r="B594" t="s">
        <v>2334</v>
      </c>
      <c r="C594" t="s">
        <v>21</v>
      </c>
      <c r="D594" t="s">
        <v>2334</v>
      </c>
      <c r="E594" t="s">
        <v>2335</v>
      </c>
      <c r="F594" t="s">
        <v>2336</v>
      </c>
      <c r="G594" t="s">
        <v>24</v>
      </c>
      <c r="H594" t="s">
        <v>2337</v>
      </c>
      <c r="I594" t="s">
        <v>73</v>
      </c>
      <c r="N594" t="s">
        <v>2329</v>
      </c>
      <c r="S594" t="s">
        <v>75</v>
      </c>
      <c r="V594" t="s">
        <v>5672</v>
      </c>
      <c r="W594" t="s">
        <v>2329</v>
      </c>
      <c r="X594" s="2">
        <f>IFERROR(VLOOKUP(I594,'Rate Sheet'!$D:$F,3,FALSE),0)</f>
        <v>8.6983333333333324</v>
      </c>
      <c r="Y594" s="2">
        <f>IFERROR(VLOOKUP(J594,'Rate Sheet'!$D:$F,3,FALSE),0)</f>
        <v>0</v>
      </c>
      <c r="Z594" s="2">
        <f>IFERROR(VLOOKUP(K594,'Rate Sheet'!$D:$F,3,FALSE),0)</f>
        <v>0</v>
      </c>
      <c r="AA594" s="2">
        <f t="shared" si="9"/>
        <v>8.6983333333333324</v>
      </c>
      <c r="AB594">
        <v>1</v>
      </c>
    </row>
    <row r="595" spans="1:28" x14ac:dyDescent="0.25">
      <c r="A595" t="s">
        <v>33</v>
      </c>
      <c r="B595" t="s">
        <v>2338</v>
      </c>
      <c r="C595" t="s">
        <v>21</v>
      </c>
      <c r="D595" t="s">
        <v>2338</v>
      </c>
      <c r="E595" t="s">
        <v>2339</v>
      </c>
      <c r="F595" t="s">
        <v>2340</v>
      </c>
      <c r="G595" t="s">
        <v>24</v>
      </c>
      <c r="H595" t="s">
        <v>2341</v>
      </c>
      <c r="I595" t="s">
        <v>46</v>
      </c>
      <c r="N595" t="s">
        <v>415</v>
      </c>
      <c r="S595" t="s">
        <v>48</v>
      </c>
      <c r="V595" t="s">
        <v>5635</v>
      </c>
      <c r="W595" t="s">
        <v>415</v>
      </c>
      <c r="X595" s="2">
        <f>IFERROR(VLOOKUP(I595,'Rate Sheet'!$D:$F,3,FALSE),0)</f>
        <v>14.333333333333334</v>
      </c>
      <c r="Y595" s="2">
        <f>IFERROR(VLOOKUP(J595,'Rate Sheet'!$D:$F,3,FALSE),0)</f>
        <v>0</v>
      </c>
      <c r="Z595" s="2">
        <f>IFERROR(VLOOKUP(K595,'Rate Sheet'!$D:$F,3,FALSE),0)</f>
        <v>0</v>
      </c>
      <c r="AA595" s="2">
        <f t="shared" si="9"/>
        <v>14.333333333333334</v>
      </c>
      <c r="AB595">
        <v>1</v>
      </c>
    </row>
    <row r="596" spans="1:28" x14ac:dyDescent="0.25">
      <c r="A596" t="s">
        <v>33</v>
      </c>
      <c r="B596" t="s">
        <v>2342</v>
      </c>
      <c r="C596" t="s">
        <v>21</v>
      </c>
      <c r="D596" t="s">
        <v>2342</v>
      </c>
      <c r="E596" t="s">
        <v>1315</v>
      </c>
      <c r="F596" t="s">
        <v>2343</v>
      </c>
      <c r="G596" t="s">
        <v>24</v>
      </c>
      <c r="H596" t="s">
        <v>2344</v>
      </c>
      <c r="I596" t="s">
        <v>46</v>
      </c>
      <c r="N596" t="s">
        <v>287</v>
      </c>
      <c r="S596" t="s">
        <v>48</v>
      </c>
      <c r="V596" t="s">
        <v>5680</v>
      </c>
      <c r="W596" t="s">
        <v>5681</v>
      </c>
      <c r="X596" s="2">
        <f>IFERROR(VLOOKUP(I596,'Rate Sheet'!$D:$F,3,FALSE),0)</f>
        <v>14.333333333333334</v>
      </c>
      <c r="Y596" s="2">
        <f>IFERROR(VLOOKUP(J596,'Rate Sheet'!$D:$F,3,FALSE),0)</f>
        <v>0</v>
      </c>
      <c r="Z596" s="2">
        <f>IFERROR(VLOOKUP(K596,'Rate Sheet'!$D:$F,3,FALSE),0)</f>
        <v>0</v>
      </c>
      <c r="AA596" s="2">
        <f t="shared" si="9"/>
        <v>14.333333333333334</v>
      </c>
      <c r="AB596">
        <v>1</v>
      </c>
    </row>
    <row r="597" spans="1:28" x14ac:dyDescent="0.25">
      <c r="A597" t="s">
        <v>33</v>
      </c>
      <c r="B597" t="s">
        <v>2345</v>
      </c>
      <c r="C597" t="s">
        <v>21</v>
      </c>
      <c r="D597" t="s">
        <v>2345</v>
      </c>
      <c r="E597" t="s">
        <v>598</v>
      </c>
      <c r="F597" t="s">
        <v>2346</v>
      </c>
      <c r="G597" t="s">
        <v>24</v>
      </c>
      <c r="H597" t="s">
        <v>2347</v>
      </c>
      <c r="I597" t="s">
        <v>46</v>
      </c>
      <c r="N597" t="s">
        <v>535</v>
      </c>
      <c r="S597" t="s">
        <v>48</v>
      </c>
      <c r="V597" t="s">
        <v>5680</v>
      </c>
      <c r="W597" t="s">
        <v>5681</v>
      </c>
      <c r="X597" s="2">
        <f>IFERROR(VLOOKUP(I597,'Rate Sheet'!$D:$F,3,FALSE),0)</f>
        <v>14.333333333333334</v>
      </c>
      <c r="Y597" s="2">
        <f>IFERROR(VLOOKUP(J597,'Rate Sheet'!$D:$F,3,FALSE),0)</f>
        <v>0</v>
      </c>
      <c r="Z597" s="2">
        <f>IFERROR(VLOOKUP(K597,'Rate Sheet'!$D:$F,3,FALSE),0)</f>
        <v>0</v>
      </c>
      <c r="AA597" s="2">
        <f t="shared" si="9"/>
        <v>14.333333333333334</v>
      </c>
      <c r="AB597">
        <v>1</v>
      </c>
    </row>
    <row r="598" spans="1:28" x14ac:dyDescent="0.25">
      <c r="A598" t="s">
        <v>33</v>
      </c>
      <c r="B598" t="s">
        <v>2348</v>
      </c>
      <c r="C598" t="s">
        <v>29</v>
      </c>
      <c r="D598" t="s">
        <v>2348</v>
      </c>
      <c r="E598" t="s">
        <v>2349</v>
      </c>
      <c r="F598" t="s">
        <v>2350</v>
      </c>
      <c r="G598" t="s">
        <v>24</v>
      </c>
      <c r="H598" t="s">
        <v>2351</v>
      </c>
      <c r="I598" t="s">
        <v>46</v>
      </c>
      <c r="N598" t="s">
        <v>1389</v>
      </c>
      <c r="S598" t="s">
        <v>48</v>
      </c>
      <c r="V598" t="s">
        <v>5698</v>
      </c>
      <c r="W598" t="s">
        <v>1389</v>
      </c>
      <c r="X598" s="2">
        <f>IFERROR(VLOOKUP(I598,'Rate Sheet'!$D:$F,3,FALSE),0)</f>
        <v>14.333333333333334</v>
      </c>
      <c r="Y598" s="2">
        <f>IFERROR(VLOOKUP(J598,'Rate Sheet'!$D:$F,3,FALSE),0)</f>
        <v>0</v>
      </c>
      <c r="Z598" s="2">
        <f>IFERROR(VLOOKUP(K598,'Rate Sheet'!$D:$F,3,FALSE),0)</f>
        <v>0</v>
      </c>
      <c r="AA598" s="2">
        <f t="shared" si="9"/>
        <v>14.333333333333334</v>
      </c>
      <c r="AB598">
        <v>1</v>
      </c>
    </row>
    <row r="599" spans="1:28" x14ac:dyDescent="0.25">
      <c r="A599" t="s">
        <v>33</v>
      </c>
      <c r="B599" t="s">
        <v>2352</v>
      </c>
      <c r="C599" t="s">
        <v>29</v>
      </c>
      <c r="D599" t="s">
        <v>2352</v>
      </c>
      <c r="E599" t="s">
        <v>2353</v>
      </c>
      <c r="F599" t="s">
        <v>2354</v>
      </c>
      <c r="G599" t="s">
        <v>24</v>
      </c>
      <c r="H599" t="s">
        <v>2355</v>
      </c>
      <c r="N599" t="s">
        <v>2356</v>
      </c>
      <c r="X599" s="2">
        <f>IFERROR(VLOOKUP(I599,'Rate Sheet'!$D:$F,3,FALSE),0)</f>
        <v>0</v>
      </c>
      <c r="Y599" s="2">
        <f>IFERROR(VLOOKUP(J599,'Rate Sheet'!$D:$F,3,FALSE),0)</f>
        <v>0</v>
      </c>
      <c r="Z599" s="2">
        <f>IFERROR(VLOOKUP(K599,'Rate Sheet'!$D:$F,3,FALSE),0)</f>
        <v>0</v>
      </c>
      <c r="AA599" s="2">
        <f t="shared" si="9"/>
        <v>0</v>
      </c>
    </row>
    <row r="600" spans="1:28" x14ac:dyDescent="0.25">
      <c r="A600" t="s">
        <v>33</v>
      </c>
      <c r="B600" t="s">
        <v>2357</v>
      </c>
      <c r="C600" t="s">
        <v>21</v>
      </c>
      <c r="D600" t="s">
        <v>2357</v>
      </c>
      <c r="E600" t="s">
        <v>2358</v>
      </c>
      <c r="F600" t="s">
        <v>2359</v>
      </c>
      <c r="G600" t="s">
        <v>24</v>
      </c>
      <c r="H600" t="s">
        <v>2360</v>
      </c>
      <c r="N600" t="s">
        <v>27</v>
      </c>
      <c r="X600" s="2">
        <f>IFERROR(VLOOKUP(I600,'Rate Sheet'!$D:$F,3,FALSE),0)</f>
        <v>0</v>
      </c>
      <c r="Y600" s="2">
        <f>IFERROR(VLOOKUP(J600,'Rate Sheet'!$D:$F,3,FALSE),0)</f>
        <v>0</v>
      </c>
      <c r="Z600" s="2">
        <f>IFERROR(VLOOKUP(K600,'Rate Sheet'!$D:$F,3,FALSE),0)</f>
        <v>0</v>
      </c>
      <c r="AA600" s="2">
        <f t="shared" si="9"/>
        <v>0</v>
      </c>
    </row>
    <row r="601" spans="1:28" x14ac:dyDescent="0.25">
      <c r="A601" t="s">
        <v>33</v>
      </c>
      <c r="B601" t="s">
        <v>2361</v>
      </c>
      <c r="C601" t="s">
        <v>29</v>
      </c>
      <c r="D601" t="s">
        <v>2362</v>
      </c>
      <c r="E601" t="s">
        <v>2363</v>
      </c>
      <c r="F601" t="s">
        <v>2364</v>
      </c>
      <c r="G601" t="s">
        <v>24</v>
      </c>
      <c r="H601" t="s">
        <v>2365</v>
      </c>
      <c r="I601" t="s">
        <v>46</v>
      </c>
      <c r="N601" t="s">
        <v>861</v>
      </c>
      <c r="S601" t="s">
        <v>48</v>
      </c>
      <c r="V601" s="10" t="s">
        <v>5728</v>
      </c>
      <c r="W601" s="10" t="s">
        <v>861</v>
      </c>
      <c r="X601" s="2">
        <f>IFERROR(VLOOKUP(I601,'Rate Sheet'!$D:$F,3,FALSE),0)</f>
        <v>14.333333333333334</v>
      </c>
      <c r="Y601" s="2">
        <f>IFERROR(VLOOKUP(J601,'Rate Sheet'!$D:$F,3,FALSE),0)</f>
        <v>0</v>
      </c>
      <c r="Z601" s="2">
        <f>IFERROR(VLOOKUP(K601,'Rate Sheet'!$D:$F,3,FALSE),0)</f>
        <v>0</v>
      </c>
      <c r="AA601" s="2">
        <f t="shared" si="9"/>
        <v>14.333333333333334</v>
      </c>
      <c r="AB601">
        <v>1</v>
      </c>
    </row>
    <row r="602" spans="1:28" x14ac:dyDescent="0.25">
      <c r="A602" t="s">
        <v>33</v>
      </c>
      <c r="B602" t="s">
        <v>2366</v>
      </c>
      <c r="C602" t="s">
        <v>21</v>
      </c>
      <c r="D602" t="s">
        <v>2366</v>
      </c>
      <c r="E602" t="s">
        <v>1720</v>
      </c>
      <c r="F602" t="s">
        <v>515</v>
      </c>
      <c r="G602" t="s">
        <v>24</v>
      </c>
      <c r="H602" t="s">
        <v>2367</v>
      </c>
      <c r="I602" t="s">
        <v>46</v>
      </c>
      <c r="N602" t="s">
        <v>1152</v>
      </c>
      <c r="S602" t="s">
        <v>48</v>
      </c>
      <c r="V602" t="s">
        <v>5688</v>
      </c>
      <c r="W602" t="s">
        <v>1152</v>
      </c>
      <c r="X602" s="2">
        <f>IFERROR(VLOOKUP(I602,'Rate Sheet'!$D:$F,3,FALSE),0)</f>
        <v>14.333333333333334</v>
      </c>
      <c r="Y602" s="2">
        <f>IFERROR(VLOOKUP(J602,'Rate Sheet'!$D:$F,3,FALSE),0)</f>
        <v>0</v>
      </c>
      <c r="Z602" s="2">
        <f>IFERROR(VLOOKUP(K602,'Rate Sheet'!$D:$F,3,FALSE),0)</f>
        <v>0</v>
      </c>
      <c r="AA602" s="2">
        <f t="shared" si="9"/>
        <v>14.333333333333334</v>
      </c>
      <c r="AB602">
        <v>1</v>
      </c>
    </row>
    <row r="603" spans="1:28" x14ac:dyDescent="0.25">
      <c r="A603" t="s">
        <v>33</v>
      </c>
      <c r="B603" t="s">
        <v>2368</v>
      </c>
      <c r="C603" t="s">
        <v>29</v>
      </c>
      <c r="D603" t="s">
        <v>2368</v>
      </c>
      <c r="E603" t="s">
        <v>2369</v>
      </c>
      <c r="F603" t="s">
        <v>2370</v>
      </c>
      <c r="G603" t="s">
        <v>24</v>
      </c>
      <c r="H603" t="s">
        <v>2371</v>
      </c>
      <c r="L603" t="s">
        <v>26</v>
      </c>
      <c r="N603" t="s">
        <v>27</v>
      </c>
      <c r="X603" s="2">
        <f>IFERROR(VLOOKUP(I603,'Rate Sheet'!$D:$F,3,FALSE),0)</f>
        <v>0</v>
      </c>
      <c r="Y603" s="2">
        <f>IFERROR(VLOOKUP(J603,'Rate Sheet'!$D:$F,3,FALSE),0)</f>
        <v>0</v>
      </c>
      <c r="Z603" s="2">
        <f>IFERROR(VLOOKUP(K603,'Rate Sheet'!$D:$F,3,FALSE),0)</f>
        <v>0</v>
      </c>
      <c r="AA603" s="2">
        <f t="shared" si="9"/>
        <v>0</v>
      </c>
    </row>
    <row r="604" spans="1:28" x14ac:dyDescent="0.25">
      <c r="A604" t="s">
        <v>33</v>
      </c>
      <c r="B604" t="s">
        <v>2372</v>
      </c>
      <c r="C604" t="s">
        <v>29</v>
      </c>
      <c r="D604" t="s">
        <v>2372</v>
      </c>
      <c r="E604" t="s">
        <v>472</v>
      </c>
      <c r="F604" t="s">
        <v>2373</v>
      </c>
      <c r="G604" t="s">
        <v>24</v>
      </c>
      <c r="H604" s="1" t="s">
        <v>2374</v>
      </c>
      <c r="I604" t="s">
        <v>46</v>
      </c>
      <c r="N604" t="s">
        <v>511</v>
      </c>
      <c r="S604" t="s">
        <v>48</v>
      </c>
      <c r="V604" t="s">
        <v>5617</v>
      </c>
      <c r="W604" t="s">
        <v>511</v>
      </c>
      <c r="X604" s="2">
        <f>IFERROR(VLOOKUP(I604,'Rate Sheet'!$D:$F,3,FALSE),0)</f>
        <v>14.333333333333334</v>
      </c>
      <c r="Y604" s="2">
        <f>IFERROR(VLOOKUP(J604,'Rate Sheet'!$D:$F,3,FALSE),0)</f>
        <v>0</v>
      </c>
      <c r="Z604" s="2">
        <f>IFERROR(VLOOKUP(K604,'Rate Sheet'!$D:$F,3,FALSE),0)</f>
        <v>0</v>
      </c>
      <c r="AA604" s="2">
        <f t="shared" si="9"/>
        <v>14.333333333333334</v>
      </c>
      <c r="AB604">
        <v>1</v>
      </c>
    </row>
    <row r="605" spans="1:28" x14ac:dyDescent="0.25">
      <c r="A605" t="s">
        <v>33</v>
      </c>
      <c r="B605" t="s">
        <v>2375</v>
      </c>
      <c r="C605" t="s">
        <v>29</v>
      </c>
      <c r="D605" t="s">
        <v>2375</v>
      </c>
      <c r="E605" t="s">
        <v>2376</v>
      </c>
      <c r="F605" t="s">
        <v>2377</v>
      </c>
      <c r="G605" t="s">
        <v>24</v>
      </c>
      <c r="H605" t="s">
        <v>2378</v>
      </c>
      <c r="I605" t="s">
        <v>46</v>
      </c>
      <c r="N605" t="s">
        <v>246</v>
      </c>
      <c r="S605" t="s">
        <v>48</v>
      </c>
      <c r="V605" t="s">
        <v>5661</v>
      </c>
      <c r="W605" t="s">
        <v>246</v>
      </c>
      <c r="X605" s="2">
        <f>IFERROR(VLOOKUP(I605,'Rate Sheet'!$D:$F,3,FALSE),0)</f>
        <v>14.333333333333334</v>
      </c>
      <c r="Y605" s="2">
        <f>IFERROR(VLOOKUP(J605,'Rate Sheet'!$D:$F,3,FALSE),0)</f>
        <v>0</v>
      </c>
      <c r="Z605" s="2">
        <f>IFERROR(VLOOKUP(K605,'Rate Sheet'!$D:$F,3,FALSE),0)</f>
        <v>0</v>
      </c>
      <c r="AA605" s="2">
        <f t="shared" si="9"/>
        <v>14.333333333333334</v>
      </c>
      <c r="AB605">
        <v>1</v>
      </c>
    </row>
    <row r="606" spans="1:28" x14ac:dyDescent="0.25">
      <c r="A606" t="s">
        <v>33</v>
      </c>
      <c r="B606" t="s">
        <v>2379</v>
      </c>
      <c r="C606" t="s">
        <v>29</v>
      </c>
      <c r="D606" t="s">
        <v>2379</v>
      </c>
      <c r="E606" t="s">
        <v>1393</v>
      </c>
      <c r="F606" t="s">
        <v>2380</v>
      </c>
      <c r="G606" t="s">
        <v>24</v>
      </c>
      <c r="H606" t="s">
        <v>2381</v>
      </c>
      <c r="I606" t="s">
        <v>46</v>
      </c>
      <c r="N606" t="s">
        <v>511</v>
      </c>
      <c r="S606" t="s">
        <v>48</v>
      </c>
      <c r="V606" t="s">
        <v>5617</v>
      </c>
      <c r="W606" t="s">
        <v>511</v>
      </c>
      <c r="X606" s="2">
        <f>IFERROR(VLOOKUP(I606,'Rate Sheet'!$D:$F,3,FALSE),0)</f>
        <v>14.333333333333334</v>
      </c>
      <c r="Y606" s="2">
        <f>IFERROR(VLOOKUP(J606,'Rate Sheet'!$D:$F,3,FALSE),0)</f>
        <v>0</v>
      </c>
      <c r="Z606" s="2">
        <f>IFERROR(VLOOKUP(K606,'Rate Sheet'!$D:$F,3,FALSE),0)</f>
        <v>0</v>
      </c>
      <c r="AA606" s="2">
        <f t="shared" si="9"/>
        <v>14.333333333333334</v>
      </c>
      <c r="AB606">
        <v>1</v>
      </c>
    </row>
    <row r="607" spans="1:28" x14ac:dyDescent="0.25">
      <c r="A607" t="s">
        <v>33</v>
      </c>
      <c r="B607" t="s">
        <v>2382</v>
      </c>
      <c r="C607" t="s">
        <v>21</v>
      </c>
      <c r="D607" t="s">
        <v>2382</v>
      </c>
      <c r="E607" t="s">
        <v>2281</v>
      </c>
      <c r="F607" t="s">
        <v>2383</v>
      </c>
      <c r="G607" t="s">
        <v>24</v>
      </c>
      <c r="H607" t="s">
        <v>2384</v>
      </c>
      <c r="I607" t="s">
        <v>46</v>
      </c>
      <c r="N607" t="s">
        <v>738</v>
      </c>
      <c r="S607" t="s">
        <v>48</v>
      </c>
      <c r="V607" t="s">
        <v>5580</v>
      </c>
      <c r="W607" t="s">
        <v>5581</v>
      </c>
      <c r="X607" s="2">
        <f>IFERROR(VLOOKUP(I607,'Rate Sheet'!$D:$F,3,FALSE),0)</f>
        <v>14.333333333333334</v>
      </c>
      <c r="Y607" s="2">
        <f>IFERROR(VLOOKUP(J607,'Rate Sheet'!$D:$F,3,FALSE),0)</f>
        <v>0</v>
      </c>
      <c r="Z607" s="2">
        <f>IFERROR(VLOOKUP(K607,'Rate Sheet'!$D:$F,3,FALSE),0)</f>
        <v>0</v>
      </c>
      <c r="AA607" s="2">
        <f t="shared" si="9"/>
        <v>14.333333333333334</v>
      </c>
      <c r="AB607">
        <v>1</v>
      </c>
    </row>
    <row r="608" spans="1:28" x14ac:dyDescent="0.25">
      <c r="A608" t="s">
        <v>33</v>
      </c>
      <c r="B608" t="s">
        <v>2385</v>
      </c>
      <c r="C608" t="s">
        <v>21</v>
      </c>
      <c r="D608" t="s">
        <v>2385</v>
      </c>
      <c r="E608" t="s">
        <v>778</v>
      </c>
      <c r="F608" t="s">
        <v>2386</v>
      </c>
      <c r="G608" t="s">
        <v>24</v>
      </c>
      <c r="H608" t="s">
        <v>2387</v>
      </c>
      <c r="I608" t="s">
        <v>73</v>
      </c>
      <c r="N608" t="s">
        <v>119</v>
      </c>
      <c r="S608" t="s">
        <v>75</v>
      </c>
      <c r="V608" t="s">
        <v>5602</v>
      </c>
      <c r="W608" t="s">
        <v>5603</v>
      </c>
      <c r="X608" s="2">
        <f>IFERROR(VLOOKUP(I608,'Rate Sheet'!$D:$F,3,FALSE),0)</f>
        <v>8.6983333333333324</v>
      </c>
      <c r="Y608" s="2">
        <f>IFERROR(VLOOKUP(J608,'Rate Sheet'!$D:$F,3,FALSE),0)</f>
        <v>0</v>
      </c>
      <c r="Z608" s="2">
        <f>IFERROR(VLOOKUP(K608,'Rate Sheet'!$D:$F,3,FALSE),0)</f>
        <v>0</v>
      </c>
      <c r="AA608" s="2">
        <f t="shared" si="9"/>
        <v>8.6983333333333324</v>
      </c>
      <c r="AB608">
        <v>1</v>
      </c>
    </row>
    <row r="609" spans="1:28" x14ac:dyDescent="0.25">
      <c r="A609" t="s">
        <v>33</v>
      </c>
      <c r="B609" t="s">
        <v>2388</v>
      </c>
      <c r="C609" t="s">
        <v>21</v>
      </c>
      <c r="D609" t="s">
        <v>2388</v>
      </c>
      <c r="E609" t="s">
        <v>2389</v>
      </c>
      <c r="F609" t="s">
        <v>2390</v>
      </c>
      <c r="G609" t="s">
        <v>2391</v>
      </c>
      <c r="H609" t="s">
        <v>2392</v>
      </c>
      <c r="I609" t="s">
        <v>46</v>
      </c>
      <c r="N609" t="s">
        <v>38</v>
      </c>
      <c r="S609" t="s">
        <v>48</v>
      </c>
      <c r="V609" t="s">
        <v>5582</v>
      </c>
      <c r="W609" t="s">
        <v>5583</v>
      </c>
      <c r="X609" s="2">
        <f>IFERROR(VLOOKUP(I609,'Rate Sheet'!$D:$F,3,FALSE),0)</f>
        <v>14.333333333333334</v>
      </c>
      <c r="Y609" s="2">
        <f>IFERROR(VLOOKUP(J609,'Rate Sheet'!$D:$F,3,FALSE),0)</f>
        <v>0</v>
      </c>
      <c r="Z609" s="2">
        <f>IFERROR(VLOOKUP(K609,'Rate Sheet'!$D:$F,3,FALSE),0)</f>
        <v>0</v>
      </c>
      <c r="AA609" s="2">
        <f t="shared" si="9"/>
        <v>14.333333333333334</v>
      </c>
      <c r="AB609">
        <v>1</v>
      </c>
    </row>
    <row r="610" spans="1:28" x14ac:dyDescent="0.25">
      <c r="A610" t="s">
        <v>33</v>
      </c>
      <c r="B610" t="s">
        <v>2400</v>
      </c>
      <c r="C610" t="s">
        <v>21</v>
      </c>
      <c r="D610" t="s">
        <v>2400</v>
      </c>
      <c r="E610" t="s">
        <v>939</v>
      </c>
      <c r="F610" t="s">
        <v>2401</v>
      </c>
      <c r="G610" t="s">
        <v>24</v>
      </c>
      <c r="H610" t="s">
        <v>2402</v>
      </c>
      <c r="I610" t="s">
        <v>46</v>
      </c>
      <c r="N610" t="s">
        <v>108</v>
      </c>
      <c r="S610" t="s">
        <v>48</v>
      </c>
      <c r="V610" t="s">
        <v>5595</v>
      </c>
      <c r="W610" t="s">
        <v>108</v>
      </c>
      <c r="X610" s="2">
        <f>IFERROR(VLOOKUP(I610,'Rate Sheet'!$D:$F,3,FALSE),0)</f>
        <v>14.333333333333334</v>
      </c>
      <c r="Y610" s="2">
        <f>IFERROR(VLOOKUP(J610,'Rate Sheet'!$D:$F,3,FALSE),0)</f>
        <v>0</v>
      </c>
      <c r="Z610" s="2">
        <f>IFERROR(VLOOKUP(K610,'Rate Sheet'!$D:$F,3,FALSE),0)</f>
        <v>0</v>
      </c>
      <c r="AA610" s="2">
        <f t="shared" si="9"/>
        <v>14.333333333333334</v>
      </c>
      <c r="AB610">
        <v>1</v>
      </c>
    </row>
    <row r="611" spans="1:28" x14ac:dyDescent="0.25">
      <c r="A611" t="s">
        <v>33</v>
      </c>
      <c r="B611" t="s">
        <v>2403</v>
      </c>
      <c r="C611" t="s">
        <v>29</v>
      </c>
      <c r="D611" t="s">
        <v>2403</v>
      </c>
      <c r="E611" t="s">
        <v>2404</v>
      </c>
      <c r="F611" t="s">
        <v>2405</v>
      </c>
      <c r="G611" t="s">
        <v>24</v>
      </c>
      <c r="H611" t="s">
        <v>2406</v>
      </c>
      <c r="I611" t="s">
        <v>46</v>
      </c>
      <c r="N611" t="s">
        <v>2312</v>
      </c>
      <c r="S611" t="s">
        <v>48</v>
      </c>
      <c r="V611" t="s">
        <v>5727</v>
      </c>
      <c r="W611" t="s">
        <v>2312</v>
      </c>
      <c r="X611" s="2">
        <f>IFERROR(VLOOKUP(I611,'Rate Sheet'!$D:$F,3,FALSE),0)</f>
        <v>14.333333333333334</v>
      </c>
      <c r="Y611" s="2">
        <f>IFERROR(VLOOKUP(J611,'Rate Sheet'!$D:$F,3,FALSE),0)</f>
        <v>0</v>
      </c>
      <c r="Z611" s="2">
        <f>IFERROR(VLOOKUP(K611,'Rate Sheet'!$D:$F,3,FALSE),0)</f>
        <v>0</v>
      </c>
      <c r="AA611" s="2">
        <f t="shared" si="9"/>
        <v>14.333333333333334</v>
      </c>
      <c r="AB611">
        <v>1</v>
      </c>
    </row>
    <row r="612" spans="1:28" x14ac:dyDescent="0.25">
      <c r="A612" t="s">
        <v>33</v>
      </c>
      <c r="B612" t="s">
        <v>2407</v>
      </c>
      <c r="C612" t="s">
        <v>29</v>
      </c>
      <c r="D612" t="s">
        <v>2407</v>
      </c>
      <c r="E612" t="s">
        <v>2408</v>
      </c>
      <c r="F612" t="s">
        <v>87</v>
      </c>
      <c r="G612" t="s">
        <v>24</v>
      </c>
      <c r="H612" t="s">
        <v>2409</v>
      </c>
      <c r="X612" s="2">
        <f>IFERROR(VLOOKUP(I612,'Rate Sheet'!$D:$F,3,FALSE),0)</f>
        <v>0</v>
      </c>
      <c r="Y612" s="2">
        <f>IFERROR(VLOOKUP(J612,'Rate Sheet'!$D:$F,3,FALSE),0)</f>
        <v>0</v>
      </c>
      <c r="Z612" s="2">
        <f>IFERROR(VLOOKUP(K612,'Rate Sheet'!$D:$F,3,FALSE),0)</f>
        <v>0</v>
      </c>
      <c r="AA612" s="2">
        <f t="shared" si="9"/>
        <v>0</v>
      </c>
    </row>
    <row r="613" spans="1:28" x14ac:dyDescent="0.25">
      <c r="A613" t="s">
        <v>33</v>
      </c>
      <c r="B613" t="s">
        <v>2410</v>
      </c>
      <c r="C613" t="s">
        <v>29</v>
      </c>
      <c r="D613" t="s">
        <v>2410</v>
      </c>
      <c r="E613" t="s">
        <v>294</v>
      </c>
      <c r="F613" t="s">
        <v>2411</v>
      </c>
      <c r="G613" t="s">
        <v>24</v>
      </c>
      <c r="H613" t="s">
        <v>2412</v>
      </c>
      <c r="I613" t="s">
        <v>46</v>
      </c>
      <c r="N613" t="s">
        <v>246</v>
      </c>
      <c r="S613" t="s">
        <v>48</v>
      </c>
      <c r="V613" t="s">
        <v>5661</v>
      </c>
      <c r="W613" t="s">
        <v>246</v>
      </c>
      <c r="X613" s="2">
        <f>IFERROR(VLOOKUP(I613,'Rate Sheet'!$D:$F,3,FALSE),0)</f>
        <v>14.333333333333334</v>
      </c>
      <c r="Y613" s="2">
        <f>IFERROR(VLOOKUP(J613,'Rate Sheet'!$D:$F,3,FALSE),0)</f>
        <v>0</v>
      </c>
      <c r="Z613" s="2">
        <f>IFERROR(VLOOKUP(K613,'Rate Sheet'!$D:$F,3,FALSE),0)</f>
        <v>0</v>
      </c>
      <c r="AA613" s="2">
        <f t="shared" si="9"/>
        <v>14.333333333333334</v>
      </c>
      <c r="AB613">
        <v>1</v>
      </c>
    </row>
    <row r="614" spans="1:28" x14ac:dyDescent="0.25">
      <c r="A614" t="s">
        <v>33</v>
      </c>
      <c r="B614" t="s">
        <v>2413</v>
      </c>
      <c r="C614" t="s">
        <v>29</v>
      </c>
      <c r="D614" t="s">
        <v>2413</v>
      </c>
      <c r="E614" t="s">
        <v>424</v>
      </c>
      <c r="F614" t="s">
        <v>2414</v>
      </c>
      <c r="G614" t="s">
        <v>24</v>
      </c>
      <c r="H614" s="1" t="s">
        <v>2415</v>
      </c>
      <c r="I614" t="s">
        <v>46</v>
      </c>
      <c r="N614" t="s">
        <v>246</v>
      </c>
      <c r="S614" t="s">
        <v>48</v>
      </c>
      <c r="V614" t="s">
        <v>5661</v>
      </c>
      <c r="W614" t="s">
        <v>246</v>
      </c>
      <c r="X614" s="2">
        <f>IFERROR(VLOOKUP(I614,'Rate Sheet'!$D:$F,3,FALSE),0)</f>
        <v>14.333333333333334</v>
      </c>
      <c r="Y614" s="2">
        <f>IFERROR(VLOOKUP(J614,'Rate Sheet'!$D:$F,3,FALSE),0)</f>
        <v>0</v>
      </c>
      <c r="Z614" s="2">
        <f>IFERROR(VLOOKUP(K614,'Rate Sheet'!$D:$F,3,FALSE),0)</f>
        <v>0</v>
      </c>
      <c r="AA614" s="2">
        <f t="shared" si="9"/>
        <v>14.333333333333334</v>
      </c>
      <c r="AB614">
        <v>1</v>
      </c>
    </row>
    <row r="615" spans="1:28" x14ac:dyDescent="0.25">
      <c r="A615" t="s">
        <v>33</v>
      </c>
      <c r="B615" t="s">
        <v>2416</v>
      </c>
      <c r="C615" t="s">
        <v>29</v>
      </c>
      <c r="D615" t="s">
        <v>2416</v>
      </c>
      <c r="E615" t="s">
        <v>1749</v>
      </c>
      <c r="F615" t="s">
        <v>2417</v>
      </c>
      <c r="G615" t="s">
        <v>24</v>
      </c>
      <c r="H615" t="s">
        <v>2418</v>
      </c>
      <c r="N615" t="s">
        <v>246</v>
      </c>
      <c r="X615" s="2">
        <f>IFERROR(VLOOKUP(I615,'Rate Sheet'!$D:$F,3,FALSE),0)</f>
        <v>0</v>
      </c>
      <c r="Y615" s="2">
        <f>IFERROR(VLOOKUP(J615,'Rate Sheet'!$D:$F,3,FALSE),0)</f>
        <v>0</v>
      </c>
      <c r="Z615" s="2">
        <f>IFERROR(VLOOKUP(K615,'Rate Sheet'!$D:$F,3,FALSE),0)</f>
        <v>0</v>
      </c>
      <c r="AA615" s="2">
        <f t="shared" si="9"/>
        <v>0</v>
      </c>
    </row>
    <row r="616" spans="1:28" x14ac:dyDescent="0.25">
      <c r="A616" t="s">
        <v>33</v>
      </c>
      <c r="B616" t="s">
        <v>2419</v>
      </c>
      <c r="C616" t="s">
        <v>21</v>
      </c>
      <c r="D616" t="s">
        <v>2419</v>
      </c>
      <c r="E616" t="s">
        <v>635</v>
      </c>
      <c r="F616" t="s">
        <v>636</v>
      </c>
      <c r="G616" t="s">
        <v>24</v>
      </c>
      <c r="H616" t="s">
        <v>2420</v>
      </c>
      <c r="N616" t="s">
        <v>638</v>
      </c>
      <c r="X616" s="2">
        <f>IFERROR(VLOOKUP(I616,'Rate Sheet'!$D:$F,3,FALSE),0)</f>
        <v>0</v>
      </c>
      <c r="Y616" s="2">
        <f>IFERROR(VLOOKUP(J616,'Rate Sheet'!$D:$F,3,FALSE),0)</f>
        <v>0</v>
      </c>
      <c r="Z616" s="2">
        <f>IFERROR(VLOOKUP(K616,'Rate Sheet'!$D:$F,3,FALSE),0)</f>
        <v>0</v>
      </c>
      <c r="AA616" s="2">
        <f t="shared" si="9"/>
        <v>0</v>
      </c>
    </row>
    <row r="617" spans="1:28" x14ac:dyDescent="0.25">
      <c r="A617" t="s">
        <v>33</v>
      </c>
      <c r="B617" t="s">
        <v>2421</v>
      </c>
      <c r="C617" t="s">
        <v>29</v>
      </c>
      <c r="D617" t="s">
        <v>2421</v>
      </c>
      <c r="E617" t="s">
        <v>1720</v>
      </c>
      <c r="F617" t="s">
        <v>2422</v>
      </c>
      <c r="G617" t="s">
        <v>24</v>
      </c>
      <c r="H617" t="s">
        <v>2423</v>
      </c>
      <c r="I617" t="s">
        <v>46</v>
      </c>
      <c r="N617" t="s">
        <v>803</v>
      </c>
      <c r="S617" t="s">
        <v>48</v>
      </c>
      <c r="V617" s="10" t="s">
        <v>5665</v>
      </c>
      <c r="W617" s="10" t="s">
        <v>803</v>
      </c>
      <c r="X617" s="2">
        <f>IFERROR(VLOOKUP(I617,'Rate Sheet'!$D:$F,3,FALSE),0)</f>
        <v>14.333333333333334</v>
      </c>
      <c r="Y617" s="2">
        <f>IFERROR(VLOOKUP(J617,'Rate Sheet'!$D:$F,3,FALSE),0)</f>
        <v>0</v>
      </c>
      <c r="Z617" s="2">
        <f>IFERROR(VLOOKUP(K617,'Rate Sheet'!$D:$F,3,FALSE),0)</f>
        <v>0</v>
      </c>
      <c r="AA617" s="2">
        <f t="shared" si="9"/>
        <v>14.333333333333334</v>
      </c>
      <c r="AB617">
        <v>1</v>
      </c>
    </row>
    <row r="618" spans="1:28" x14ac:dyDescent="0.25">
      <c r="A618" t="s">
        <v>33</v>
      </c>
      <c r="B618" t="s">
        <v>2424</v>
      </c>
      <c r="C618" t="s">
        <v>21</v>
      </c>
      <c r="D618" t="s">
        <v>2424</v>
      </c>
      <c r="E618" t="s">
        <v>2425</v>
      </c>
      <c r="F618" t="s">
        <v>2426</v>
      </c>
      <c r="G618" t="s">
        <v>24</v>
      </c>
      <c r="H618" t="s">
        <v>2427</v>
      </c>
      <c r="I618" t="s">
        <v>46</v>
      </c>
      <c r="N618" t="s">
        <v>2329</v>
      </c>
      <c r="S618" t="s">
        <v>48</v>
      </c>
      <c r="V618" t="s">
        <v>5672</v>
      </c>
      <c r="W618" t="s">
        <v>2329</v>
      </c>
      <c r="X618" s="2">
        <f>IFERROR(VLOOKUP(I618,'Rate Sheet'!$D:$F,3,FALSE),0)</f>
        <v>14.333333333333334</v>
      </c>
      <c r="Y618" s="2">
        <f>IFERROR(VLOOKUP(J618,'Rate Sheet'!$D:$F,3,FALSE),0)</f>
        <v>0</v>
      </c>
      <c r="Z618" s="2">
        <f>IFERROR(VLOOKUP(K618,'Rate Sheet'!$D:$F,3,FALSE),0)</f>
        <v>0</v>
      </c>
      <c r="AA618" s="2">
        <f t="shared" si="9"/>
        <v>14.333333333333334</v>
      </c>
      <c r="AB618">
        <v>1</v>
      </c>
    </row>
    <row r="619" spans="1:28" x14ac:dyDescent="0.25">
      <c r="A619" t="s">
        <v>33</v>
      </c>
      <c r="B619" t="s">
        <v>2428</v>
      </c>
      <c r="C619" t="s">
        <v>29</v>
      </c>
      <c r="D619" t="s">
        <v>2429</v>
      </c>
      <c r="E619" t="s">
        <v>2430</v>
      </c>
      <c r="F619" t="s">
        <v>2431</v>
      </c>
      <c r="G619" t="s">
        <v>24</v>
      </c>
      <c r="H619" t="s">
        <v>2432</v>
      </c>
      <c r="I619" t="s">
        <v>46</v>
      </c>
      <c r="N619" t="s">
        <v>517</v>
      </c>
      <c r="S619" t="s">
        <v>48</v>
      </c>
      <c r="V619" s="10" t="s">
        <v>5682</v>
      </c>
      <c r="W619" s="10" t="s">
        <v>517</v>
      </c>
      <c r="X619" s="2">
        <f>IFERROR(VLOOKUP(I619,'Rate Sheet'!$D:$F,3,FALSE),0)</f>
        <v>14.333333333333334</v>
      </c>
      <c r="Y619" s="2">
        <f>IFERROR(VLOOKUP(J619,'Rate Sheet'!$D:$F,3,FALSE),0)</f>
        <v>0</v>
      </c>
      <c r="Z619" s="2">
        <f>IFERROR(VLOOKUP(K619,'Rate Sheet'!$D:$F,3,FALSE),0)</f>
        <v>0</v>
      </c>
      <c r="AA619" s="2">
        <f t="shared" si="9"/>
        <v>14.333333333333334</v>
      </c>
      <c r="AB619">
        <v>1</v>
      </c>
    </row>
    <row r="620" spans="1:28" x14ac:dyDescent="0.25">
      <c r="A620" t="s">
        <v>33</v>
      </c>
      <c r="B620" t="s">
        <v>2433</v>
      </c>
      <c r="C620" t="s">
        <v>2434</v>
      </c>
      <c r="D620" t="s">
        <v>2435</v>
      </c>
      <c r="E620" t="s">
        <v>2436</v>
      </c>
      <c r="F620" t="s">
        <v>2437</v>
      </c>
      <c r="G620" t="s">
        <v>24</v>
      </c>
      <c r="H620" t="s">
        <v>2438</v>
      </c>
      <c r="N620" t="s">
        <v>2439</v>
      </c>
      <c r="X620" s="2">
        <f>IFERROR(VLOOKUP(I620,'Rate Sheet'!$D:$F,3,FALSE),0)</f>
        <v>0</v>
      </c>
      <c r="Y620" s="2">
        <f>IFERROR(VLOOKUP(J620,'Rate Sheet'!$D:$F,3,FALSE),0)</f>
        <v>0</v>
      </c>
      <c r="Z620" s="2">
        <f>IFERROR(VLOOKUP(K620,'Rate Sheet'!$D:$F,3,FALSE),0)</f>
        <v>0</v>
      </c>
      <c r="AA620" s="2">
        <f t="shared" si="9"/>
        <v>0</v>
      </c>
    </row>
    <row r="621" spans="1:28" x14ac:dyDescent="0.25">
      <c r="A621" t="s">
        <v>33</v>
      </c>
      <c r="B621" t="s">
        <v>2440</v>
      </c>
      <c r="C621" t="s">
        <v>29</v>
      </c>
      <c r="D621" t="s">
        <v>2440</v>
      </c>
      <c r="E621" t="s">
        <v>635</v>
      </c>
      <c r="F621" t="s">
        <v>2441</v>
      </c>
      <c r="G621" t="s">
        <v>24</v>
      </c>
      <c r="H621" t="s">
        <v>2442</v>
      </c>
      <c r="I621" t="s">
        <v>46</v>
      </c>
      <c r="N621" t="s">
        <v>1331</v>
      </c>
      <c r="S621" t="s">
        <v>48</v>
      </c>
      <c r="V621" t="s">
        <v>5656</v>
      </c>
      <c r="W621" t="s">
        <v>1331</v>
      </c>
      <c r="X621" s="2">
        <f>IFERROR(VLOOKUP(I621,'Rate Sheet'!$D:$F,3,FALSE),0)</f>
        <v>14.333333333333334</v>
      </c>
      <c r="Y621" s="2">
        <f>IFERROR(VLOOKUP(J621,'Rate Sheet'!$D:$F,3,FALSE),0)</f>
        <v>0</v>
      </c>
      <c r="Z621" s="2">
        <f>IFERROR(VLOOKUP(K621,'Rate Sheet'!$D:$F,3,FALSE),0)</f>
        <v>0</v>
      </c>
      <c r="AA621" s="2">
        <f t="shared" si="9"/>
        <v>14.333333333333334</v>
      </c>
      <c r="AB621">
        <v>1</v>
      </c>
    </row>
    <row r="622" spans="1:28" x14ac:dyDescent="0.25">
      <c r="A622" t="s">
        <v>33</v>
      </c>
      <c r="B622" t="s">
        <v>2443</v>
      </c>
      <c r="C622" t="s">
        <v>29</v>
      </c>
      <c r="D622" t="s">
        <v>2443</v>
      </c>
      <c r="E622" t="s">
        <v>2444</v>
      </c>
      <c r="F622" t="s">
        <v>2445</v>
      </c>
      <c r="G622" t="s">
        <v>24</v>
      </c>
      <c r="H622" t="s">
        <v>2446</v>
      </c>
      <c r="I622" t="s">
        <v>46</v>
      </c>
      <c r="N622" t="s">
        <v>1331</v>
      </c>
      <c r="S622" t="s">
        <v>48</v>
      </c>
      <c r="V622" t="s">
        <v>5656</v>
      </c>
      <c r="W622" t="s">
        <v>1331</v>
      </c>
      <c r="X622" s="2">
        <f>IFERROR(VLOOKUP(I622,'Rate Sheet'!$D:$F,3,FALSE),0)</f>
        <v>14.333333333333334</v>
      </c>
      <c r="Y622" s="2">
        <f>IFERROR(VLOOKUP(J622,'Rate Sheet'!$D:$F,3,FALSE),0)</f>
        <v>0</v>
      </c>
      <c r="Z622" s="2">
        <f>IFERROR(VLOOKUP(K622,'Rate Sheet'!$D:$F,3,FALSE),0)</f>
        <v>0</v>
      </c>
      <c r="AA622" s="2">
        <f t="shared" si="9"/>
        <v>14.333333333333334</v>
      </c>
      <c r="AB622">
        <v>1</v>
      </c>
    </row>
    <row r="623" spans="1:28" x14ac:dyDescent="0.25">
      <c r="A623" t="s">
        <v>33</v>
      </c>
      <c r="B623" t="s">
        <v>2447</v>
      </c>
      <c r="C623" t="s">
        <v>29</v>
      </c>
      <c r="D623" t="s">
        <v>2447</v>
      </c>
      <c r="E623" t="s">
        <v>2448</v>
      </c>
      <c r="F623" t="s">
        <v>2449</v>
      </c>
      <c r="G623" t="s">
        <v>24</v>
      </c>
      <c r="H623" t="s">
        <v>2450</v>
      </c>
      <c r="N623" t="s">
        <v>1331</v>
      </c>
      <c r="X623" s="2">
        <f>IFERROR(VLOOKUP(I623,'Rate Sheet'!$D:$F,3,FALSE),0)</f>
        <v>0</v>
      </c>
      <c r="Y623" s="2">
        <f>IFERROR(VLOOKUP(J623,'Rate Sheet'!$D:$F,3,FALSE),0)</f>
        <v>0</v>
      </c>
      <c r="Z623" s="2">
        <f>IFERROR(VLOOKUP(K623,'Rate Sheet'!$D:$F,3,FALSE),0)</f>
        <v>0</v>
      </c>
      <c r="AA623" s="2">
        <f t="shared" si="9"/>
        <v>0</v>
      </c>
    </row>
    <row r="624" spans="1:28" x14ac:dyDescent="0.25">
      <c r="A624" t="s">
        <v>33</v>
      </c>
      <c r="B624" t="s">
        <v>2451</v>
      </c>
      <c r="C624" t="s">
        <v>29</v>
      </c>
      <c r="D624" t="s">
        <v>2451</v>
      </c>
      <c r="E624" t="s">
        <v>2452</v>
      </c>
      <c r="F624" t="s">
        <v>78</v>
      </c>
      <c r="G624" t="s">
        <v>24</v>
      </c>
      <c r="H624" t="s">
        <v>2453</v>
      </c>
      <c r="I624" t="s">
        <v>46</v>
      </c>
      <c r="N624" t="s">
        <v>1331</v>
      </c>
      <c r="S624" t="s">
        <v>48</v>
      </c>
      <c r="V624" t="s">
        <v>5656</v>
      </c>
      <c r="W624" t="s">
        <v>1331</v>
      </c>
      <c r="X624" s="2">
        <f>IFERROR(VLOOKUP(I624,'Rate Sheet'!$D:$F,3,FALSE),0)</f>
        <v>14.333333333333334</v>
      </c>
      <c r="Y624" s="2">
        <f>IFERROR(VLOOKUP(J624,'Rate Sheet'!$D:$F,3,FALSE),0)</f>
        <v>0</v>
      </c>
      <c r="Z624" s="2">
        <f>IFERROR(VLOOKUP(K624,'Rate Sheet'!$D:$F,3,FALSE),0)</f>
        <v>0</v>
      </c>
      <c r="AA624" s="2">
        <f t="shared" si="9"/>
        <v>14.333333333333334</v>
      </c>
      <c r="AB624">
        <v>1</v>
      </c>
    </row>
    <row r="625" spans="1:28" x14ac:dyDescent="0.25">
      <c r="A625" t="s">
        <v>33</v>
      </c>
      <c r="B625" t="s">
        <v>2454</v>
      </c>
      <c r="C625" t="s">
        <v>29</v>
      </c>
      <c r="D625" t="s">
        <v>2454</v>
      </c>
      <c r="E625" t="s">
        <v>2455</v>
      </c>
      <c r="F625" t="s">
        <v>2456</v>
      </c>
      <c r="G625" t="s">
        <v>24</v>
      </c>
      <c r="H625" t="s">
        <v>2457</v>
      </c>
      <c r="I625" t="s">
        <v>46</v>
      </c>
      <c r="N625" t="s">
        <v>1331</v>
      </c>
      <c r="S625" t="s">
        <v>48</v>
      </c>
      <c r="V625" t="s">
        <v>5656</v>
      </c>
      <c r="W625" t="s">
        <v>1331</v>
      </c>
      <c r="X625" s="2">
        <f>IFERROR(VLOOKUP(I625,'Rate Sheet'!$D:$F,3,FALSE),0)</f>
        <v>14.333333333333334</v>
      </c>
      <c r="Y625" s="2">
        <f>IFERROR(VLOOKUP(J625,'Rate Sheet'!$D:$F,3,FALSE),0)</f>
        <v>0</v>
      </c>
      <c r="Z625" s="2">
        <f>IFERROR(VLOOKUP(K625,'Rate Sheet'!$D:$F,3,FALSE),0)</f>
        <v>0</v>
      </c>
      <c r="AA625" s="2">
        <f t="shared" si="9"/>
        <v>14.333333333333334</v>
      </c>
      <c r="AB625">
        <v>1</v>
      </c>
    </row>
    <row r="626" spans="1:28" x14ac:dyDescent="0.25">
      <c r="A626" t="s">
        <v>33</v>
      </c>
      <c r="B626" t="s">
        <v>2458</v>
      </c>
      <c r="C626" t="s">
        <v>29</v>
      </c>
      <c r="D626" t="s">
        <v>2458</v>
      </c>
      <c r="E626" t="s">
        <v>1242</v>
      </c>
      <c r="F626" t="s">
        <v>2459</v>
      </c>
      <c r="G626" t="s">
        <v>24</v>
      </c>
      <c r="H626" t="s">
        <v>2460</v>
      </c>
      <c r="N626" t="s">
        <v>1331</v>
      </c>
      <c r="X626" s="2">
        <f>IFERROR(VLOOKUP(I626,'Rate Sheet'!$D:$F,3,FALSE),0)</f>
        <v>0</v>
      </c>
      <c r="Y626" s="2">
        <f>IFERROR(VLOOKUP(J626,'Rate Sheet'!$D:$F,3,FALSE),0)</f>
        <v>0</v>
      </c>
      <c r="Z626" s="2">
        <f>IFERROR(VLOOKUP(K626,'Rate Sheet'!$D:$F,3,FALSE),0)</f>
        <v>0</v>
      </c>
      <c r="AA626" s="2">
        <f t="shared" si="9"/>
        <v>0</v>
      </c>
    </row>
    <row r="627" spans="1:28" x14ac:dyDescent="0.25">
      <c r="A627" t="s">
        <v>33</v>
      </c>
      <c r="B627" t="s">
        <v>2461</v>
      </c>
      <c r="C627" t="s">
        <v>29</v>
      </c>
      <c r="D627" t="s">
        <v>2461</v>
      </c>
      <c r="E627" t="s">
        <v>2462</v>
      </c>
      <c r="F627" t="s">
        <v>2463</v>
      </c>
      <c r="G627" t="s">
        <v>24</v>
      </c>
      <c r="H627" t="s">
        <v>2464</v>
      </c>
      <c r="N627" t="s">
        <v>1331</v>
      </c>
      <c r="X627" s="2">
        <f>IFERROR(VLOOKUP(I627,'Rate Sheet'!$D:$F,3,FALSE),0)</f>
        <v>0</v>
      </c>
      <c r="Y627" s="2">
        <f>IFERROR(VLOOKUP(J627,'Rate Sheet'!$D:$F,3,FALSE),0)</f>
        <v>0</v>
      </c>
      <c r="Z627" s="2">
        <f>IFERROR(VLOOKUP(K627,'Rate Sheet'!$D:$F,3,FALSE),0)</f>
        <v>0</v>
      </c>
      <c r="AA627" s="2">
        <f t="shared" si="9"/>
        <v>0</v>
      </c>
    </row>
    <row r="628" spans="1:28" x14ac:dyDescent="0.25">
      <c r="A628" t="s">
        <v>33</v>
      </c>
      <c r="B628" t="s">
        <v>2465</v>
      </c>
      <c r="C628" t="s">
        <v>29</v>
      </c>
      <c r="D628" t="s">
        <v>2465</v>
      </c>
      <c r="E628" t="s">
        <v>2466</v>
      </c>
      <c r="F628" t="s">
        <v>2467</v>
      </c>
      <c r="G628" t="s">
        <v>24</v>
      </c>
      <c r="H628" s="1" t="s">
        <v>2468</v>
      </c>
      <c r="I628" t="s">
        <v>46</v>
      </c>
      <c r="N628" t="s">
        <v>1331</v>
      </c>
      <c r="S628" t="s">
        <v>48</v>
      </c>
      <c r="V628" t="s">
        <v>5656</v>
      </c>
      <c r="W628" t="s">
        <v>1331</v>
      </c>
      <c r="X628" s="2">
        <f>IFERROR(VLOOKUP(I628,'Rate Sheet'!$D:$F,3,FALSE),0)</f>
        <v>14.333333333333334</v>
      </c>
      <c r="Y628" s="2">
        <f>IFERROR(VLOOKUP(J628,'Rate Sheet'!$D:$F,3,FALSE),0)</f>
        <v>0</v>
      </c>
      <c r="Z628" s="2">
        <f>IFERROR(VLOOKUP(K628,'Rate Sheet'!$D:$F,3,FALSE),0)</f>
        <v>0</v>
      </c>
      <c r="AA628" s="2">
        <f t="shared" si="9"/>
        <v>14.333333333333334</v>
      </c>
      <c r="AB628">
        <v>1</v>
      </c>
    </row>
    <row r="629" spans="1:28" x14ac:dyDescent="0.25">
      <c r="A629" t="s">
        <v>33</v>
      </c>
      <c r="B629" t="s">
        <v>2469</v>
      </c>
      <c r="C629" t="s">
        <v>29</v>
      </c>
      <c r="D629" t="s">
        <v>2469</v>
      </c>
      <c r="E629" t="s">
        <v>2470</v>
      </c>
      <c r="F629" t="s">
        <v>2471</v>
      </c>
      <c r="G629" t="s">
        <v>24</v>
      </c>
      <c r="H629" t="s">
        <v>2472</v>
      </c>
      <c r="I629" t="s">
        <v>46</v>
      </c>
      <c r="N629" t="s">
        <v>1331</v>
      </c>
      <c r="S629" t="s">
        <v>48</v>
      </c>
      <c r="V629" t="s">
        <v>5656</v>
      </c>
      <c r="W629" t="s">
        <v>1331</v>
      </c>
      <c r="X629" s="2">
        <f>IFERROR(VLOOKUP(I629,'Rate Sheet'!$D:$F,3,FALSE),0)</f>
        <v>14.333333333333334</v>
      </c>
      <c r="Y629" s="2">
        <f>IFERROR(VLOOKUP(J629,'Rate Sheet'!$D:$F,3,FALSE),0)</f>
        <v>0</v>
      </c>
      <c r="Z629" s="2">
        <f>IFERROR(VLOOKUP(K629,'Rate Sheet'!$D:$F,3,FALSE),0)</f>
        <v>0</v>
      </c>
      <c r="AA629" s="2">
        <f t="shared" si="9"/>
        <v>14.333333333333334</v>
      </c>
      <c r="AB629">
        <v>1</v>
      </c>
    </row>
    <row r="630" spans="1:28" x14ac:dyDescent="0.25">
      <c r="A630" t="s">
        <v>33</v>
      </c>
      <c r="B630" t="s">
        <v>2473</v>
      </c>
      <c r="C630" t="s">
        <v>29</v>
      </c>
      <c r="D630" t="s">
        <v>2473</v>
      </c>
      <c r="E630" t="s">
        <v>2474</v>
      </c>
      <c r="F630" t="s">
        <v>2475</v>
      </c>
      <c r="G630" t="s">
        <v>24</v>
      </c>
      <c r="H630" t="s">
        <v>2476</v>
      </c>
      <c r="I630" t="s">
        <v>46</v>
      </c>
      <c r="N630" t="s">
        <v>1331</v>
      </c>
      <c r="S630" t="s">
        <v>48</v>
      </c>
      <c r="V630" t="s">
        <v>5656</v>
      </c>
      <c r="W630" t="s">
        <v>1331</v>
      </c>
      <c r="X630" s="2">
        <f>IFERROR(VLOOKUP(I630,'Rate Sheet'!$D:$F,3,FALSE),0)</f>
        <v>14.333333333333334</v>
      </c>
      <c r="Y630" s="2">
        <f>IFERROR(VLOOKUP(J630,'Rate Sheet'!$D:$F,3,FALSE),0)</f>
        <v>0</v>
      </c>
      <c r="Z630" s="2">
        <f>IFERROR(VLOOKUP(K630,'Rate Sheet'!$D:$F,3,FALSE),0)</f>
        <v>0</v>
      </c>
      <c r="AA630" s="2">
        <f t="shared" si="9"/>
        <v>14.333333333333334</v>
      </c>
      <c r="AB630">
        <v>1</v>
      </c>
    </row>
    <row r="631" spans="1:28" x14ac:dyDescent="0.25">
      <c r="A631" t="s">
        <v>33</v>
      </c>
      <c r="B631" t="s">
        <v>2477</v>
      </c>
      <c r="C631" t="s">
        <v>29</v>
      </c>
      <c r="D631" t="s">
        <v>2477</v>
      </c>
      <c r="E631" t="s">
        <v>22</v>
      </c>
      <c r="F631" t="s">
        <v>457</v>
      </c>
      <c r="G631" t="s">
        <v>24</v>
      </c>
      <c r="H631" s="1" t="s">
        <v>2478</v>
      </c>
      <c r="I631" t="s">
        <v>46</v>
      </c>
      <c r="N631" t="s">
        <v>1331</v>
      </c>
      <c r="S631" t="s">
        <v>48</v>
      </c>
      <c r="V631" t="s">
        <v>5656</v>
      </c>
      <c r="W631" t="s">
        <v>1331</v>
      </c>
      <c r="X631" s="2">
        <f>IFERROR(VLOOKUP(I631,'Rate Sheet'!$D:$F,3,FALSE),0)</f>
        <v>14.333333333333334</v>
      </c>
      <c r="Y631" s="2">
        <f>IFERROR(VLOOKUP(J631,'Rate Sheet'!$D:$F,3,FALSE),0)</f>
        <v>0</v>
      </c>
      <c r="Z631" s="2">
        <f>IFERROR(VLOOKUP(K631,'Rate Sheet'!$D:$F,3,FALSE),0)</f>
        <v>0</v>
      </c>
      <c r="AA631" s="2">
        <f t="shared" si="9"/>
        <v>14.333333333333334</v>
      </c>
      <c r="AB631">
        <v>1</v>
      </c>
    </row>
    <row r="632" spans="1:28" x14ac:dyDescent="0.25">
      <c r="A632" t="s">
        <v>33</v>
      </c>
      <c r="B632" t="s">
        <v>2479</v>
      </c>
      <c r="C632" t="s">
        <v>29</v>
      </c>
      <c r="D632" t="s">
        <v>2479</v>
      </c>
      <c r="E632" t="s">
        <v>2480</v>
      </c>
      <c r="F632" t="s">
        <v>2481</v>
      </c>
      <c r="G632" t="s">
        <v>24</v>
      </c>
      <c r="H632" t="s">
        <v>2482</v>
      </c>
      <c r="I632" t="s">
        <v>46</v>
      </c>
      <c r="N632" t="s">
        <v>1331</v>
      </c>
      <c r="S632" t="s">
        <v>48</v>
      </c>
      <c r="V632" t="s">
        <v>5656</v>
      </c>
      <c r="W632" t="s">
        <v>1331</v>
      </c>
      <c r="X632" s="2">
        <f>IFERROR(VLOOKUP(I632,'Rate Sheet'!$D:$F,3,FALSE),0)</f>
        <v>14.333333333333334</v>
      </c>
      <c r="Y632" s="2">
        <f>IFERROR(VLOOKUP(J632,'Rate Sheet'!$D:$F,3,FALSE),0)</f>
        <v>0</v>
      </c>
      <c r="Z632" s="2">
        <f>IFERROR(VLOOKUP(K632,'Rate Sheet'!$D:$F,3,FALSE),0)</f>
        <v>0</v>
      </c>
      <c r="AA632" s="2">
        <f t="shared" si="9"/>
        <v>14.333333333333334</v>
      </c>
      <c r="AB632">
        <v>1</v>
      </c>
    </row>
    <row r="633" spans="1:28" x14ac:dyDescent="0.25">
      <c r="A633" t="s">
        <v>33</v>
      </c>
      <c r="B633" t="s">
        <v>2483</v>
      </c>
      <c r="C633" t="s">
        <v>29</v>
      </c>
      <c r="D633" t="s">
        <v>2483</v>
      </c>
      <c r="E633" t="s">
        <v>2480</v>
      </c>
      <c r="F633" t="s">
        <v>2484</v>
      </c>
      <c r="G633" t="s">
        <v>24</v>
      </c>
      <c r="H633" t="s">
        <v>2485</v>
      </c>
      <c r="N633" t="s">
        <v>1331</v>
      </c>
      <c r="X633" s="2">
        <f>IFERROR(VLOOKUP(I633,'Rate Sheet'!$D:$F,3,FALSE),0)</f>
        <v>0</v>
      </c>
      <c r="Y633" s="2">
        <f>IFERROR(VLOOKUP(J633,'Rate Sheet'!$D:$F,3,FALSE),0)</f>
        <v>0</v>
      </c>
      <c r="Z633" s="2">
        <f>IFERROR(VLOOKUP(K633,'Rate Sheet'!$D:$F,3,FALSE),0)</f>
        <v>0</v>
      </c>
      <c r="AA633" s="2">
        <f t="shared" si="9"/>
        <v>0</v>
      </c>
    </row>
    <row r="634" spans="1:28" x14ac:dyDescent="0.25">
      <c r="A634" t="s">
        <v>33</v>
      </c>
      <c r="B634" t="s">
        <v>2486</v>
      </c>
      <c r="C634" t="s">
        <v>29</v>
      </c>
      <c r="D634" t="s">
        <v>2486</v>
      </c>
      <c r="E634" t="s">
        <v>2487</v>
      </c>
      <c r="F634" t="s">
        <v>2488</v>
      </c>
      <c r="G634" t="s">
        <v>24</v>
      </c>
      <c r="H634" t="s">
        <v>2489</v>
      </c>
      <c r="N634" t="s">
        <v>246</v>
      </c>
      <c r="X634" s="2">
        <f>IFERROR(VLOOKUP(I634,'Rate Sheet'!$D:$F,3,FALSE),0)</f>
        <v>0</v>
      </c>
      <c r="Y634" s="2">
        <f>IFERROR(VLOOKUP(J634,'Rate Sheet'!$D:$F,3,FALSE),0)</f>
        <v>0</v>
      </c>
      <c r="Z634" s="2">
        <f>IFERROR(VLOOKUP(K634,'Rate Sheet'!$D:$F,3,FALSE),0)</f>
        <v>0</v>
      </c>
      <c r="AA634" s="2">
        <f t="shared" ref="AA634:AA695" si="10">SUM(X634:Z634)</f>
        <v>0</v>
      </c>
    </row>
    <row r="635" spans="1:28" x14ac:dyDescent="0.25">
      <c r="A635" t="s">
        <v>33</v>
      </c>
      <c r="B635" t="s">
        <v>2490</v>
      </c>
      <c r="C635" t="s">
        <v>29</v>
      </c>
      <c r="D635" t="s">
        <v>2490</v>
      </c>
      <c r="E635" t="s">
        <v>2491</v>
      </c>
      <c r="F635" t="s">
        <v>2492</v>
      </c>
      <c r="G635" t="s">
        <v>24</v>
      </c>
      <c r="H635" s="1" t="s">
        <v>2493</v>
      </c>
      <c r="N635" t="s">
        <v>246</v>
      </c>
      <c r="X635" s="2">
        <f>IFERROR(VLOOKUP(I635,'Rate Sheet'!$D:$F,3,FALSE),0)</f>
        <v>0</v>
      </c>
      <c r="Y635" s="2">
        <f>IFERROR(VLOOKUP(J635,'Rate Sheet'!$D:$F,3,FALSE),0)</f>
        <v>0</v>
      </c>
      <c r="Z635" s="2">
        <f>IFERROR(VLOOKUP(K635,'Rate Sheet'!$D:$F,3,FALSE),0)</f>
        <v>0</v>
      </c>
      <c r="AA635" s="2">
        <f t="shared" si="10"/>
        <v>0</v>
      </c>
    </row>
    <row r="636" spans="1:28" x14ac:dyDescent="0.25">
      <c r="A636" t="s">
        <v>33</v>
      </c>
      <c r="B636" t="s">
        <v>2494</v>
      </c>
      <c r="C636" t="s">
        <v>21</v>
      </c>
      <c r="D636" t="s">
        <v>2494</v>
      </c>
      <c r="E636" t="s">
        <v>1125</v>
      </c>
      <c r="F636" t="s">
        <v>2495</v>
      </c>
      <c r="G636" t="s">
        <v>24</v>
      </c>
      <c r="H636" t="s">
        <v>2496</v>
      </c>
      <c r="N636" t="s">
        <v>397</v>
      </c>
      <c r="X636" s="2">
        <f>IFERROR(VLOOKUP(I636,'Rate Sheet'!$D:$F,3,FALSE),0)</f>
        <v>0</v>
      </c>
      <c r="Y636" s="2">
        <f>IFERROR(VLOOKUP(J636,'Rate Sheet'!$D:$F,3,FALSE),0)</f>
        <v>0</v>
      </c>
      <c r="Z636" s="2">
        <f>IFERROR(VLOOKUP(K636,'Rate Sheet'!$D:$F,3,FALSE),0)</f>
        <v>0</v>
      </c>
      <c r="AA636" s="2">
        <f t="shared" si="10"/>
        <v>0</v>
      </c>
    </row>
    <row r="637" spans="1:28" x14ac:dyDescent="0.25">
      <c r="A637" t="s">
        <v>33</v>
      </c>
      <c r="B637" t="s">
        <v>2497</v>
      </c>
      <c r="C637" t="s">
        <v>29</v>
      </c>
      <c r="D637" t="s">
        <v>2497</v>
      </c>
      <c r="E637" t="s">
        <v>372</v>
      </c>
      <c r="F637" t="s">
        <v>2498</v>
      </c>
      <c r="G637" t="s">
        <v>24</v>
      </c>
      <c r="H637" s="1" t="s">
        <v>2499</v>
      </c>
      <c r="I637" t="s">
        <v>46</v>
      </c>
      <c r="N637" t="s">
        <v>246</v>
      </c>
      <c r="S637" t="s">
        <v>48</v>
      </c>
      <c r="V637" s="10" t="s">
        <v>5661</v>
      </c>
      <c r="W637" s="10" t="s">
        <v>246</v>
      </c>
      <c r="X637" s="2">
        <f>IFERROR(VLOOKUP(I637,'Rate Sheet'!$D:$F,3,FALSE),0)</f>
        <v>14.333333333333334</v>
      </c>
      <c r="Y637" s="2">
        <f>IFERROR(VLOOKUP(J637,'Rate Sheet'!$D:$F,3,FALSE),0)</f>
        <v>0</v>
      </c>
      <c r="Z637" s="2">
        <f>IFERROR(VLOOKUP(K637,'Rate Sheet'!$D:$F,3,FALSE),0)</f>
        <v>0</v>
      </c>
      <c r="AA637" s="2">
        <f t="shared" si="10"/>
        <v>14.333333333333334</v>
      </c>
      <c r="AB637">
        <v>1</v>
      </c>
    </row>
    <row r="638" spans="1:28" x14ac:dyDescent="0.25">
      <c r="A638" t="s">
        <v>33</v>
      </c>
      <c r="B638" t="s">
        <v>2500</v>
      </c>
      <c r="C638" t="s">
        <v>21</v>
      </c>
      <c r="D638" t="s">
        <v>2500</v>
      </c>
      <c r="E638" t="s">
        <v>2501</v>
      </c>
      <c r="F638" t="s">
        <v>2502</v>
      </c>
      <c r="G638" t="s">
        <v>24</v>
      </c>
      <c r="H638" s="1" t="s">
        <v>2503</v>
      </c>
      <c r="I638" t="s">
        <v>73</v>
      </c>
      <c r="N638" t="s">
        <v>47</v>
      </c>
      <c r="S638" t="s">
        <v>75</v>
      </c>
      <c r="V638" t="s">
        <v>5578</v>
      </c>
      <c r="W638" t="s">
        <v>5579</v>
      </c>
      <c r="X638" s="2">
        <f>IFERROR(VLOOKUP(I638,'Rate Sheet'!$D:$F,3,FALSE),0)</f>
        <v>8.6983333333333324</v>
      </c>
      <c r="Y638" s="2">
        <f>IFERROR(VLOOKUP(J638,'Rate Sheet'!$D:$F,3,FALSE),0)</f>
        <v>0</v>
      </c>
      <c r="Z638" s="2">
        <f>IFERROR(VLOOKUP(K638,'Rate Sheet'!$D:$F,3,FALSE),0)</f>
        <v>0</v>
      </c>
      <c r="AA638" s="2">
        <f t="shared" si="10"/>
        <v>8.6983333333333324</v>
      </c>
      <c r="AB638">
        <v>1</v>
      </c>
    </row>
    <row r="639" spans="1:28" x14ac:dyDescent="0.25">
      <c r="A639" t="s">
        <v>33</v>
      </c>
      <c r="B639" t="s">
        <v>2504</v>
      </c>
      <c r="C639" t="s">
        <v>21</v>
      </c>
      <c r="D639" t="s">
        <v>2504</v>
      </c>
      <c r="E639" t="s">
        <v>334</v>
      </c>
      <c r="F639" t="s">
        <v>2505</v>
      </c>
      <c r="G639" t="s">
        <v>24</v>
      </c>
      <c r="H639" t="s">
        <v>2506</v>
      </c>
      <c r="I639" t="s">
        <v>73</v>
      </c>
      <c r="N639" t="s">
        <v>2507</v>
      </c>
      <c r="S639" t="s">
        <v>75</v>
      </c>
      <c r="V639" t="s">
        <v>5702</v>
      </c>
      <c r="W639" t="s">
        <v>2507</v>
      </c>
      <c r="X639" s="2">
        <f>IFERROR(VLOOKUP(I639,'Rate Sheet'!$D:$F,3,FALSE),0)</f>
        <v>8.6983333333333324</v>
      </c>
      <c r="Y639" s="2">
        <f>IFERROR(VLOOKUP(J639,'Rate Sheet'!$D:$F,3,FALSE),0)</f>
        <v>0</v>
      </c>
      <c r="Z639" s="2">
        <f>IFERROR(VLOOKUP(K639,'Rate Sheet'!$D:$F,3,FALSE),0)</f>
        <v>0</v>
      </c>
      <c r="AA639" s="2">
        <f t="shared" si="10"/>
        <v>8.6983333333333324</v>
      </c>
      <c r="AB639">
        <v>1</v>
      </c>
    </row>
    <row r="640" spans="1:28" x14ac:dyDescent="0.25">
      <c r="A640" t="s">
        <v>33</v>
      </c>
      <c r="B640" t="s">
        <v>2508</v>
      </c>
      <c r="C640" t="s">
        <v>21</v>
      </c>
      <c r="D640" t="s">
        <v>2508</v>
      </c>
      <c r="E640" t="s">
        <v>988</v>
      </c>
      <c r="F640" t="s">
        <v>2509</v>
      </c>
      <c r="G640" t="s">
        <v>24</v>
      </c>
      <c r="H640" t="s">
        <v>2510</v>
      </c>
      <c r="I640" t="s">
        <v>73</v>
      </c>
      <c r="N640" t="s">
        <v>2507</v>
      </c>
      <c r="S640" t="s">
        <v>75</v>
      </c>
      <c r="V640" t="s">
        <v>5702</v>
      </c>
      <c r="W640" t="s">
        <v>2507</v>
      </c>
      <c r="X640" s="2">
        <f>IFERROR(VLOOKUP(I640,'Rate Sheet'!$D:$F,3,FALSE),0)</f>
        <v>8.6983333333333324</v>
      </c>
      <c r="Y640" s="2">
        <f>IFERROR(VLOOKUP(J640,'Rate Sheet'!$D:$F,3,FALSE),0)</f>
        <v>0</v>
      </c>
      <c r="Z640" s="2">
        <f>IFERROR(VLOOKUP(K640,'Rate Sheet'!$D:$F,3,FALSE),0)</f>
        <v>0</v>
      </c>
      <c r="AA640" s="2">
        <f t="shared" si="10"/>
        <v>8.6983333333333324</v>
      </c>
      <c r="AB640">
        <v>1</v>
      </c>
    </row>
    <row r="641" spans="1:28" x14ac:dyDescent="0.25">
      <c r="A641" t="s">
        <v>33</v>
      </c>
      <c r="B641" t="s">
        <v>2511</v>
      </c>
      <c r="C641" t="s">
        <v>21</v>
      </c>
      <c r="D641" t="s">
        <v>2511</v>
      </c>
      <c r="E641" t="s">
        <v>449</v>
      </c>
      <c r="F641" t="s">
        <v>1688</v>
      </c>
      <c r="G641" t="s">
        <v>24</v>
      </c>
      <c r="H641" t="s">
        <v>2512</v>
      </c>
      <c r="I641" t="s">
        <v>73</v>
      </c>
      <c r="N641" t="s">
        <v>108</v>
      </c>
      <c r="S641" t="s">
        <v>75</v>
      </c>
      <c r="V641" t="s">
        <v>5595</v>
      </c>
      <c r="W641" t="s">
        <v>108</v>
      </c>
      <c r="X641" s="2">
        <f>IFERROR(VLOOKUP(I641,'Rate Sheet'!$D:$F,3,FALSE),0)</f>
        <v>8.6983333333333324</v>
      </c>
      <c r="Y641" s="2">
        <f>IFERROR(VLOOKUP(J641,'Rate Sheet'!$D:$F,3,FALSE),0)</f>
        <v>0</v>
      </c>
      <c r="Z641" s="2">
        <f>IFERROR(VLOOKUP(K641,'Rate Sheet'!$D:$F,3,FALSE),0)</f>
        <v>0</v>
      </c>
      <c r="AA641" s="2">
        <f t="shared" si="10"/>
        <v>8.6983333333333324</v>
      </c>
      <c r="AB641">
        <v>1</v>
      </c>
    </row>
    <row r="642" spans="1:28" x14ac:dyDescent="0.25">
      <c r="A642" t="s">
        <v>33</v>
      </c>
      <c r="B642" t="s">
        <v>2513</v>
      </c>
      <c r="C642" t="s">
        <v>21</v>
      </c>
      <c r="D642" t="s">
        <v>2513</v>
      </c>
      <c r="E642" t="s">
        <v>1189</v>
      </c>
      <c r="F642" t="s">
        <v>2514</v>
      </c>
      <c r="G642" t="s">
        <v>24</v>
      </c>
      <c r="H642" t="s">
        <v>2515</v>
      </c>
      <c r="I642" t="s">
        <v>46</v>
      </c>
      <c r="N642" t="s">
        <v>47</v>
      </c>
      <c r="S642" t="s">
        <v>48</v>
      </c>
      <c r="V642" t="s">
        <v>5578</v>
      </c>
      <c r="W642" t="s">
        <v>5579</v>
      </c>
      <c r="X642" s="2">
        <f>IFERROR(VLOOKUP(I642,'Rate Sheet'!$D:$F,3,FALSE),0)</f>
        <v>14.333333333333334</v>
      </c>
      <c r="Y642" s="2">
        <f>IFERROR(VLOOKUP(J642,'Rate Sheet'!$D:$F,3,FALSE),0)</f>
        <v>0</v>
      </c>
      <c r="Z642" s="2">
        <f>IFERROR(VLOOKUP(K642,'Rate Sheet'!$D:$F,3,FALSE),0)</f>
        <v>0</v>
      </c>
      <c r="AA642" s="2">
        <f t="shared" si="10"/>
        <v>14.333333333333334</v>
      </c>
      <c r="AB642">
        <v>1</v>
      </c>
    </row>
    <row r="643" spans="1:28" x14ac:dyDescent="0.25">
      <c r="A643" t="s">
        <v>33</v>
      </c>
      <c r="B643" t="s">
        <v>2516</v>
      </c>
      <c r="C643" t="s">
        <v>29</v>
      </c>
      <c r="D643" t="s">
        <v>2516</v>
      </c>
      <c r="E643" t="s">
        <v>1591</v>
      </c>
      <c r="F643" t="s">
        <v>2517</v>
      </c>
      <c r="G643" t="s">
        <v>24</v>
      </c>
      <c r="H643" t="s">
        <v>2518</v>
      </c>
      <c r="I643" t="s">
        <v>46</v>
      </c>
      <c r="N643" t="s">
        <v>511</v>
      </c>
      <c r="S643" t="s">
        <v>48</v>
      </c>
      <c r="V643" t="s">
        <v>5617</v>
      </c>
      <c r="W643" t="s">
        <v>511</v>
      </c>
      <c r="X643" s="2">
        <f>IFERROR(VLOOKUP(I643,'Rate Sheet'!$D:$F,3,FALSE),0)</f>
        <v>14.333333333333334</v>
      </c>
      <c r="Y643" s="2">
        <f>IFERROR(VLOOKUP(J643,'Rate Sheet'!$D:$F,3,FALSE),0)</f>
        <v>0</v>
      </c>
      <c r="Z643" s="2">
        <f>IFERROR(VLOOKUP(K643,'Rate Sheet'!$D:$F,3,FALSE),0)</f>
        <v>0</v>
      </c>
      <c r="AA643" s="2">
        <f t="shared" si="10"/>
        <v>14.333333333333334</v>
      </c>
      <c r="AB643">
        <v>1</v>
      </c>
    </row>
    <row r="644" spans="1:28" x14ac:dyDescent="0.25">
      <c r="A644" t="s">
        <v>33</v>
      </c>
      <c r="B644" t="s">
        <v>2519</v>
      </c>
      <c r="C644" t="s">
        <v>21</v>
      </c>
      <c r="D644" t="s">
        <v>2519</v>
      </c>
      <c r="E644" t="s">
        <v>334</v>
      </c>
      <c r="F644" t="s">
        <v>2520</v>
      </c>
      <c r="G644" t="s">
        <v>24</v>
      </c>
      <c r="H644" t="s">
        <v>2521</v>
      </c>
      <c r="I644" t="s">
        <v>46</v>
      </c>
      <c r="N644" t="s">
        <v>119</v>
      </c>
      <c r="S644" t="s">
        <v>48</v>
      </c>
      <c r="V644" t="s">
        <v>5602</v>
      </c>
      <c r="W644" t="s">
        <v>5603</v>
      </c>
      <c r="X644" s="2">
        <f>IFERROR(VLOOKUP(I644,'Rate Sheet'!$D:$F,3,FALSE),0)</f>
        <v>14.333333333333334</v>
      </c>
      <c r="Y644" s="2">
        <f>IFERROR(VLOOKUP(J644,'Rate Sheet'!$D:$F,3,FALSE),0)</f>
        <v>0</v>
      </c>
      <c r="Z644" s="2">
        <f>IFERROR(VLOOKUP(K644,'Rate Sheet'!$D:$F,3,FALSE),0)</f>
        <v>0</v>
      </c>
      <c r="AA644" s="2">
        <f t="shared" si="10"/>
        <v>14.333333333333334</v>
      </c>
      <c r="AB644">
        <v>1</v>
      </c>
    </row>
    <row r="645" spans="1:28" x14ac:dyDescent="0.25">
      <c r="A645" t="s">
        <v>33</v>
      </c>
      <c r="B645" t="s">
        <v>2522</v>
      </c>
      <c r="C645" t="s">
        <v>21</v>
      </c>
      <c r="D645" t="s">
        <v>2522</v>
      </c>
      <c r="E645" t="s">
        <v>2523</v>
      </c>
      <c r="F645" t="s">
        <v>2524</v>
      </c>
      <c r="G645" t="s">
        <v>24</v>
      </c>
      <c r="H645" t="s">
        <v>2525</v>
      </c>
      <c r="N645" t="s">
        <v>507</v>
      </c>
      <c r="X645" s="2">
        <f>IFERROR(VLOOKUP(I645,'Rate Sheet'!$D:$F,3,FALSE),0)</f>
        <v>0</v>
      </c>
      <c r="Y645" s="2">
        <f>IFERROR(VLOOKUP(J645,'Rate Sheet'!$D:$F,3,FALSE),0)</f>
        <v>0</v>
      </c>
      <c r="Z645" s="2">
        <f>IFERROR(VLOOKUP(K645,'Rate Sheet'!$D:$F,3,FALSE),0)</f>
        <v>0</v>
      </c>
      <c r="AA645" s="2">
        <f t="shared" si="10"/>
        <v>0</v>
      </c>
    </row>
    <row r="646" spans="1:28" x14ac:dyDescent="0.25">
      <c r="A646" t="s">
        <v>33</v>
      </c>
      <c r="B646" t="s">
        <v>2526</v>
      </c>
      <c r="C646" t="s">
        <v>21</v>
      </c>
      <c r="D646" t="s">
        <v>2526</v>
      </c>
      <c r="E646" t="s">
        <v>2527</v>
      </c>
      <c r="F646" t="s">
        <v>2528</v>
      </c>
      <c r="G646" t="s">
        <v>24</v>
      </c>
      <c r="H646" t="s">
        <v>2529</v>
      </c>
      <c r="I646" t="s">
        <v>46</v>
      </c>
      <c r="N646" t="s">
        <v>74</v>
      </c>
      <c r="S646" t="s">
        <v>48</v>
      </c>
      <c r="V646" t="s">
        <v>5586</v>
      </c>
      <c r="W646" t="s">
        <v>5587</v>
      </c>
      <c r="X646" s="2">
        <f>IFERROR(VLOOKUP(I646,'Rate Sheet'!$D:$F,3,FALSE),0)</f>
        <v>14.333333333333334</v>
      </c>
      <c r="Y646" s="2">
        <f>IFERROR(VLOOKUP(J646,'Rate Sheet'!$D:$F,3,FALSE),0)</f>
        <v>0</v>
      </c>
      <c r="Z646" s="2">
        <f>IFERROR(VLOOKUP(K646,'Rate Sheet'!$D:$F,3,FALSE),0)</f>
        <v>0</v>
      </c>
      <c r="AA646" s="2">
        <f t="shared" si="10"/>
        <v>14.333333333333334</v>
      </c>
      <c r="AB646">
        <v>1</v>
      </c>
    </row>
    <row r="647" spans="1:28" x14ac:dyDescent="0.25">
      <c r="A647" t="s">
        <v>33</v>
      </c>
      <c r="B647" t="s">
        <v>2530</v>
      </c>
      <c r="C647" t="s">
        <v>21</v>
      </c>
      <c r="D647" t="s">
        <v>2530</v>
      </c>
      <c r="E647" t="s">
        <v>1315</v>
      </c>
      <c r="F647" t="s">
        <v>2531</v>
      </c>
      <c r="G647" t="s">
        <v>24</v>
      </c>
      <c r="H647" t="s">
        <v>2532</v>
      </c>
      <c r="I647" t="s">
        <v>46</v>
      </c>
      <c r="N647" t="s">
        <v>207</v>
      </c>
      <c r="S647" t="s">
        <v>48</v>
      </c>
      <c r="V647" t="s">
        <v>5634</v>
      </c>
      <c r="W647" t="s">
        <v>207</v>
      </c>
      <c r="X647" s="2">
        <f>IFERROR(VLOOKUP(I647,'Rate Sheet'!$D:$F,3,FALSE),0)</f>
        <v>14.333333333333334</v>
      </c>
      <c r="Y647" s="2">
        <f>IFERROR(VLOOKUP(J647,'Rate Sheet'!$D:$F,3,FALSE),0)</f>
        <v>0</v>
      </c>
      <c r="Z647" s="2">
        <f>IFERROR(VLOOKUP(K647,'Rate Sheet'!$D:$F,3,FALSE),0)</f>
        <v>0</v>
      </c>
      <c r="AA647" s="2">
        <f t="shared" si="10"/>
        <v>14.333333333333334</v>
      </c>
      <c r="AB647">
        <v>1</v>
      </c>
    </row>
    <row r="648" spans="1:28" x14ac:dyDescent="0.25">
      <c r="A648" t="s">
        <v>33</v>
      </c>
      <c r="B648" t="s">
        <v>2533</v>
      </c>
      <c r="C648" t="s">
        <v>21</v>
      </c>
      <c r="D648" t="s">
        <v>2533</v>
      </c>
      <c r="E648" t="s">
        <v>2534</v>
      </c>
      <c r="F648" t="s">
        <v>2130</v>
      </c>
      <c r="G648" t="s">
        <v>24</v>
      </c>
      <c r="H648" t="s">
        <v>2535</v>
      </c>
      <c r="I648" t="s">
        <v>46</v>
      </c>
      <c r="N648" t="s">
        <v>738</v>
      </c>
      <c r="S648" t="s">
        <v>48</v>
      </c>
      <c r="V648" t="s">
        <v>5628</v>
      </c>
      <c r="W648" t="s">
        <v>5629</v>
      </c>
      <c r="X648" s="2">
        <f>IFERROR(VLOOKUP(I648,'Rate Sheet'!$D:$F,3,FALSE),0)</f>
        <v>14.333333333333334</v>
      </c>
      <c r="Y648" s="2">
        <f>IFERROR(VLOOKUP(J648,'Rate Sheet'!$D:$F,3,FALSE),0)</f>
        <v>0</v>
      </c>
      <c r="Z648" s="2">
        <f>IFERROR(VLOOKUP(K648,'Rate Sheet'!$D:$F,3,FALSE),0)</f>
        <v>0</v>
      </c>
      <c r="AA648" s="2">
        <f t="shared" si="10"/>
        <v>14.333333333333334</v>
      </c>
      <c r="AB648">
        <v>1</v>
      </c>
    </row>
    <row r="649" spans="1:28" x14ac:dyDescent="0.25">
      <c r="A649" t="s">
        <v>33</v>
      </c>
      <c r="B649" t="s">
        <v>2536</v>
      </c>
      <c r="C649" t="s">
        <v>21</v>
      </c>
      <c r="D649" t="s">
        <v>2536</v>
      </c>
      <c r="E649" t="s">
        <v>2537</v>
      </c>
      <c r="F649" t="s">
        <v>2538</v>
      </c>
      <c r="G649" t="s">
        <v>24</v>
      </c>
      <c r="H649" t="s">
        <v>2539</v>
      </c>
      <c r="N649" t="s">
        <v>620</v>
      </c>
      <c r="X649" s="2">
        <f>IFERROR(VLOOKUP(I649,'Rate Sheet'!$D:$F,3,FALSE),0)</f>
        <v>0</v>
      </c>
      <c r="Y649" s="2">
        <f>IFERROR(VLOOKUP(J649,'Rate Sheet'!$D:$F,3,FALSE),0)</f>
        <v>0</v>
      </c>
      <c r="Z649" s="2">
        <f>IFERROR(VLOOKUP(K649,'Rate Sheet'!$D:$F,3,FALSE),0)</f>
        <v>0</v>
      </c>
      <c r="AA649" s="2">
        <f t="shared" si="10"/>
        <v>0</v>
      </c>
    </row>
    <row r="650" spans="1:28" x14ac:dyDescent="0.25">
      <c r="A650" t="s">
        <v>33</v>
      </c>
      <c r="B650" t="s">
        <v>2540</v>
      </c>
      <c r="C650" t="s">
        <v>21</v>
      </c>
      <c r="D650" t="s">
        <v>2540</v>
      </c>
      <c r="E650" t="s">
        <v>303</v>
      </c>
      <c r="F650" t="s">
        <v>2541</v>
      </c>
      <c r="G650" t="s">
        <v>24</v>
      </c>
      <c r="H650" t="s">
        <v>2542</v>
      </c>
      <c r="I650" t="s">
        <v>46</v>
      </c>
      <c r="N650" t="s">
        <v>90</v>
      </c>
      <c r="S650" t="s">
        <v>48</v>
      </c>
      <c r="V650" t="s">
        <v>5591</v>
      </c>
      <c r="W650" t="s">
        <v>90</v>
      </c>
      <c r="X650" s="2">
        <f>IFERROR(VLOOKUP(I650,'Rate Sheet'!$D:$F,3,FALSE),0)</f>
        <v>14.333333333333334</v>
      </c>
      <c r="Y650" s="2">
        <f>IFERROR(VLOOKUP(J650,'Rate Sheet'!$D:$F,3,FALSE),0)</f>
        <v>0</v>
      </c>
      <c r="Z650" s="2">
        <f>IFERROR(VLOOKUP(K650,'Rate Sheet'!$D:$F,3,FALSE),0)</f>
        <v>0</v>
      </c>
      <c r="AA650" s="2">
        <f t="shared" si="10"/>
        <v>14.333333333333334</v>
      </c>
      <c r="AB650">
        <v>1</v>
      </c>
    </row>
    <row r="651" spans="1:28" x14ac:dyDescent="0.25">
      <c r="A651" t="s">
        <v>33</v>
      </c>
      <c r="B651" t="s">
        <v>2543</v>
      </c>
      <c r="C651" t="s">
        <v>21</v>
      </c>
      <c r="D651" t="s">
        <v>2543</v>
      </c>
      <c r="E651" t="s">
        <v>2544</v>
      </c>
      <c r="F651" t="s">
        <v>2545</v>
      </c>
      <c r="G651" t="s">
        <v>24</v>
      </c>
      <c r="H651" t="s">
        <v>2546</v>
      </c>
      <c r="I651" t="s">
        <v>46</v>
      </c>
      <c r="N651" t="s">
        <v>90</v>
      </c>
      <c r="S651" t="s">
        <v>48</v>
      </c>
      <c r="V651" t="s">
        <v>5591</v>
      </c>
      <c r="W651" t="s">
        <v>90</v>
      </c>
      <c r="X651" s="2">
        <f>IFERROR(VLOOKUP(I651,'Rate Sheet'!$D:$F,3,FALSE),0)</f>
        <v>14.333333333333334</v>
      </c>
      <c r="Y651" s="2">
        <f>IFERROR(VLOOKUP(J651,'Rate Sheet'!$D:$F,3,FALSE),0)</f>
        <v>0</v>
      </c>
      <c r="Z651" s="2">
        <f>IFERROR(VLOOKUP(K651,'Rate Sheet'!$D:$F,3,FALSE),0)</f>
        <v>0</v>
      </c>
      <c r="AA651" s="2">
        <f t="shared" si="10"/>
        <v>14.333333333333334</v>
      </c>
      <c r="AB651">
        <v>1</v>
      </c>
    </row>
    <row r="652" spans="1:28" x14ac:dyDescent="0.25">
      <c r="A652" t="s">
        <v>33</v>
      </c>
      <c r="B652" t="s">
        <v>2547</v>
      </c>
      <c r="C652" t="s">
        <v>21</v>
      </c>
      <c r="D652" t="s">
        <v>2548</v>
      </c>
      <c r="E652" t="s">
        <v>2549</v>
      </c>
      <c r="F652" t="s">
        <v>2550</v>
      </c>
      <c r="G652" t="s">
        <v>24</v>
      </c>
      <c r="H652" t="s">
        <v>2551</v>
      </c>
      <c r="N652" t="s">
        <v>185</v>
      </c>
      <c r="X652" s="2">
        <f>IFERROR(VLOOKUP(I652,'Rate Sheet'!$D:$F,3,FALSE),0)</f>
        <v>0</v>
      </c>
      <c r="Y652" s="2">
        <f>IFERROR(VLOOKUP(J652,'Rate Sheet'!$D:$F,3,FALSE),0)</f>
        <v>0</v>
      </c>
      <c r="Z652" s="2">
        <f>IFERROR(VLOOKUP(K652,'Rate Sheet'!$D:$F,3,FALSE),0)</f>
        <v>0</v>
      </c>
      <c r="AA652" s="2">
        <f t="shared" si="10"/>
        <v>0</v>
      </c>
    </row>
    <row r="653" spans="1:28" x14ac:dyDescent="0.25">
      <c r="A653" t="s">
        <v>33</v>
      </c>
      <c r="B653" t="s">
        <v>2552</v>
      </c>
      <c r="C653" t="s">
        <v>21</v>
      </c>
      <c r="D653" t="s">
        <v>2553</v>
      </c>
      <c r="E653" t="s">
        <v>2554</v>
      </c>
      <c r="F653" t="s">
        <v>2555</v>
      </c>
      <c r="G653" t="s">
        <v>24</v>
      </c>
      <c r="H653" t="s">
        <v>2556</v>
      </c>
      <c r="I653" t="s">
        <v>46</v>
      </c>
      <c r="N653" t="s">
        <v>2507</v>
      </c>
      <c r="S653" t="s">
        <v>48</v>
      </c>
      <c r="V653" s="10" t="s">
        <v>5702</v>
      </c>
      <c r="W653" s="10" t="s">
        <v>2507</v>
      </c>
      <c r="X653" s="2">
        <f>IFERROR(VLOOKUP(I653,'Rate Sheet'!$D:$F,3,FALSE),0)</f>
        <v>14.333333333333334</v>
      </c>
      <c r="Y653" s="2">
        <f>IFERROR(VLOOKUP(J653,'Rate Sheet'!$D:$F,3,FALSE),0)</f>
        <v>0</v>
      </c>
      <c r="Z653" s="2">
        <f>IFERROR(VLOOKUP(K653,'Rate Sheet'!$D:$F,3,FALSE),0)</f>
        <v>0</v>
      </c>
      <c r="AA653" s="2">
        <f t="shared" si="10"/>
        <v>14.333333333333334</v>
      </c>
      <c r="AB653">
        <v>1</v>
      </c>
    </row>
    <row r="654" spans="1:28" x14ac:dyDescent="0.25">
      <c r="A654" t="s">
        <v>33</v>
      </c>
      <c r="B654" t="s">
        <v>2557</v>
      </c>
      <c r="C654" t="s">
        <v>21</v>
      </c>
      <c r="D654" t="s">
        <v>2557</v>
      </c>
      <c r="E654" t="s">
        <v>2558</v>
      </c>
      <c r="F654" t="s">
        <v>2559</v>
      </c>
      <c r="G654" t="s">
        <v>24</v>
      </c>
      <c r="H654" t="s">
        <v>2560</v>
      </c>
      <c r="I654" t="s">
        <v>46</v>
      </c>
      <c r="N654" t="s">
        <v>2014</v>
      </c>
      <c r="S654" t="s">
        <v>48</v>
      </c>
      <c r="V654" t="s">
        <v>5707</v>
      </c>
      <c r="W654" t="s">
        <v>2014</v>
      </c>
      <c r="X654" s="2">
        <f>IFERROR(VLOOKUP(I654,'Rate Sheet'!$D:$F,3,FALSE),0)</f>
        <v>14.333333333333334</v>
      </c>
      <c r="Y654" s="2">
        <f>IFERROR(VLOOKUP(J654,'Rate Sheet'!$D:$F,3,FALSE),0)</f>
        <v>0</v>
      </c>
      <c r="Z654" s="2">
        <f>IFERROR(VLOOKUP(K654,'Rate Sheet'!$D:$F,3,FALSE),0)</f>
        <v>0</v>
      </c>
      <c r="AA654" s="2">
        <f t="shared" si="10"/>
        <v>14.333333333333334</v>
      </c>
      <c r="AB654">
        <v>1</v>
      </c>
    </row>
    <row r="655" spans="1:28" x14ac:dyDescent="0.25">
      <c r="A655" t="s">
        <v>33</v>
      </c>
      <c r="B655" t="s">
        <v>2561</v>
      </c>
      <c r="C655" t="s">
        <v>29</v>
      </c>
      <c r="D655" t="s">
        <v>2561</v>
      </c>
      <c r="E655" t="s">
        <v>2562</v>
      </c>
      <c r="F655" t="s">
        <v>2563</v>
      </c>
      <c r="G655" t="s">
        <v>24</v>
      </c>
      <c r="H655" t="s">
        <v>2564</v>
      </c>
      <c r="I655" t="s">
        <v>46</v>
      </c>
      <c r="N655" t="s">
        <v>861</v>
      </c>
      <c r="S655" t="s">
        <v>48</v>
      </c>
      <c r="V655" t="s">
        <v>5728</v>
      </c>
      <c r="W655" t="s">
        <v>861</v>
      </c>
      <c r="X655" s="2">
        <f>IFERROR(VLOOKUP(I655,'Rate Sheet'!$D:$F,3,FALSE),0)</f>
        <v>14.333333333333334</v>
      </c>
      <c r="Y655" s="2">
        <f>IFERROR(VLOOKUP(J655,'Rate Sheet'!$D:$F,3,FALSE),0)</f>
        <v>0</v>
      </c>
      <c r="Z655" s="2">
        <f>IFERROR(VLOOKUP(K655,'Rate Sheet'!$D:$F,3,FALSE),0)</f>
        <v>0</v>
      </c>
      <c r="AA655" s="2">
        <f t="shared" si="10"/>
        <v>14.333333333333334</v>
      </c>
      <c r="AB655">
        <v>1</v>
      </c>
    </row>
    <row r="656" spans="1:28" x14ac:dyDescent="0.25">
      <c r="A656" t="s">
        <v>33</v>
      </c>
      <c r="B656" t="s">
        <v>2569</v>
      </c>
      <c r="C656" t="s">
        <v>21</v>
      </c>
      <c r="D656" t="s">
        <v>2569</v>
      </c>
      <c r="E656" t="s">
        <v>2570</v>
      </c>
      <c r="F656" t="s">
        <v>2571</v>
      </c>
      <c r="G656" t="s">
        <v>24</v>
      </c>
      <c r="H656" t="s">
        <v>2572</v>
      </c>
      <c r="N656" t="s">
        <v>2329</v>
      </c>
      <c r="X656" s="2">
        <f>IFERROR(VLOOKUP(I656,'Rate Sheet'!$D:$F,3,FALSE),0)</f>
        <v>0</v>
      </c>
      <c r="Y656" s="2">
        <f>IFERROR(VLOOKUP(J656,'Rate Sheet'!$D:$F,3,FALSE),0)</f>
        <v>0</v>
      </c>
      <c r="Z656" s="2">
        <f>IFERROR(VLOOKUP(K656,'Rate Sheet'!$D:$F,3,FALSE),0)</f>
        <v>0</v>
      </c>
      <c r="AA656" s="2">
        <f t="shared" si="10"/>
        <v>0</v>
      </c>
    </row>
    <row r="657" spans="1:28" x14ac:dyDescent="0.25">
      <c r="A657" t="s">
        <v>33</v>
      </c>
      <c r="B657" t="s">
        <v>2573</v>
      </c>
      <c r="C657" t="s">
        <v>21</v>
      </c>
      <c r="D657" t="s">
        <v>2573</v>
      </c>
      <c r="E657" t="s">
        <v>610</v>
      </c>
      <c r="F657" t="s">
        <v>2574</v>
      </c>
      <c r="G657" t="s">
        <v>24</v>
      </c>
      <c r="H657" t="s">
        <v>2575</v>
      </c>
      <c r="I657" t="s">
        <v>46</v>
      </c>
      <c r="N657" t="s">
        <v>185</v>
      </c>
      <c r="S657" t="s">
        <v>48</v>
      </c>
      <c r="V657" t="s">
        <v>5610</v>
      </c>
      <c r="W657" t="s">
        <v>5611</v>
      </c>
      <c r="X657" s="2">
        <f>IFERROR(VLOOKUP(I657,'Rate Sheet'!$D:$F,3,FALSE),0)</f>
        <v>14.333333333333334</v>
      </c>
      <c r="Y657" s="2">
        <f>IFERROR(VLOOKUP(J657,'Rate Sheet'!$D:$F,3,FALSE),0)</f>
        <v>0</v>
      </c>
      <c r="Z657" s="2">
        <f>IFERROR(VLOOKUP(K657,'Rate Sheet'!$D:$F,3,FALSE),0)</f>
        <v>0</v>
      </c>
      <c r="AA657" s="2">
        <f t="shared" si="10"/>
        <v>14.333333333333334</v>
      </c>
      <c r="AB657">
        <v>1</v>
      </c>
    </row>
    <row r="658" spans="1:28" x14ac:dyDescent="0.25">
      <c r="A658" t="s">
        <v>33</v>
      </c>
      <c r="B658" t="s">
        <v>2576</v>
      </c>
      <c r="C658" t="s">
        <v>21</v>
      </c>
      <c r="D658" t="s">
        <v>2576</v>
      </c>
      <c r="E658" t="s">
        <v>1758</v>
      </c>
      <c r="F658" t="s">
        <v>2577</v>
      </c>
      <c r="G658" t="s">
        <v>24</v>
      </c>
      <c r="H658" t="s">
        <v>2578</v>
      </c>
      <c r="I658" t="s">
        <v>46</v>
      </c>
      <c r="N658" t="s">
        <v>1042</v>
      </c>
      <c r="S658" t="s">
        <v>48</v>
      </c>
      <c r="V658" t="s">
        <v>5683</v>
      </c>
      <c r="W658" t="s">
        <v>5684</v>
      </c>
      <c r="X658" s="2">
        <f>IFERROR(VLOOKUP(I658,'Rate Sheet'!$D:$F,3,FALSE),0)</f>
        <v>14.333333333333334</v>
      </c>
      <c r="Y658" s="2">
        <f>IFERROR(VLOOKUP(J658,'Rate Sheet'!$D:$F,3,FALSE),0)</f>
        <v>0</v>
      </c>
      <c r="Z658" s="2">
        <f>IFERROR(VLOOKUP(K658,'Rate Sheet'!$D:$F,3,FALSE),0)</f>
        <v>0</v>
      </c>
      <c r="AA658" s="2">
        <f t="shared" si="10"/>
        <v>14.333333333333334</v>
      </c>
      <c r="AB658">
        <v>1</v>
      </c>
    </row>
    <row r="659" spans="1:28" x14ac:dyDescent="0.25">
      <c r="A659" t="s">
        <v>33</v>
      </c>
      <c r="B659" t="s">
        <v>2579</v>
      </c>
      <c r="C659" t="s">
        <v>21</v>
      </c>
      <c r="D659" t="s">
        <v>2579</v>
      </c>
      <c r="E659" t="s">
        <v>1557</v>
      </c>
      <c r="F659" t="s">
        <v>2580</v>
      </c>
      <c r="G659" t="s">
        <v>24</v>
      </c>
      <c r="H659" t="s">
        <v>2581</v>
      </c>
      <c r="I659" t="s">
        <v>46</v>
      </c>
      <c r="N659" t="s">
        <v>317</v>
      </c>
      <c r="S659" t="s">
        <v>48</v>
      </c>
      <c r="V659" t="s">
        <v>5625</v>
      </c>
      <c r="W659" t="s">
        <v>317</v>
      </c>
      <c r="X659" s="2">
        <f>IFERROR(VLOOKUP(I659,'Rate Sheet'!$D:$F,3,FALSE),0)</f>
        <v>14.333333333333334</v>
      </c>
      <c r="Y659" s="2">
        <f>IFERROR(VLOOKUP(J659,'Rate Sheet'!$D:$F,3,FALSE),0)</f>
        <v>0</v>
      </c>
      <c r="Z659" s="2">
        <f>IFERROR(VLOOKUP(K659,'Rate Sheet'!$D:$F,3,FALSE),0)</f>
        <v>0</v>
      </c>
      <c r="AA659" s="2">
        <f t="shared" si="10"/>
        <v>14.333333333333334</v>
      </c>
      <c r="AB659">
        <v>1</v>
      </c>
    </row>
    <row r="660" spans="1:28" x14ac:dyDescent="0.25">
      <c r="A660" t="s">
        <v>33</v>
      </c>
      <c r="B660" t="s">
        <v>2582</v>
      </c>
      <c r="C660" t="s">
        <v>21</v>
      </c>
      <c r="D660" t="s">
        <v>2582</v>
      </c>
      <c r="E660" t="s">
        <v>2583</v>
      </c>
      <c r="F660" t="s">
        <v>2584</v>
      </c>
      <c r="G660" t="s">
        <v>24</v>
      </c>
      <c r="H660" s="1" t="s">
        <v>2585</v>
      </c>
      <c r="I660" t="s">
        <v>46</v>
      </c>
      <c r="N660" t="s">
        <v>1013</v>
      </c>
      <c r="S660" t="s">
        <v>48</v>
      </c>
      <c r="V660" t="s">
        <v>5701</v>
      </c>
      <c r="W660" t="s">
        <v>1013</v>
      </c>
      <c r="X660" s="2">
        <f>IFERROR(VLOOKUP(I660,'Rate Sheet'!$D:$F,3,FALSE),0)</f>
        <v>14.333333333333334</v>
      </c>
      <c r="Y660" s="2">
        <f>IFERROR(VLOOKUP(J660,'Rate Sheet'!$D:$F,3,FALSE),0)</f>
        <v>0</v>
      </c>
      <c r="Z660" s="2">
        <f>IFERROR(VLOOKUP(K660,'Rate Sheet'!$D:$F,3,FALSE),0)</f>
        <v>0</v>
      </c>
      <c r="AA660" s="2">
        <f t="shared" si="10"/>
        <v>14.333333333333334</v>
      </c>
      <c r="AB660">
        <v>1</v>
      </c>
    </row>
    <row r="661" spans="1:28" x14ac:dyDescent="0.25">
      <c r="A661" t="s">
        <v>33</v>
      </c>
      <c r="B661" t="s">
        <v>2586</v>
      </c>
      <c r="C661" t="s">
        <v>21</v>
      </c>
      <c r="D661" t="s">
        <v>2586</v>
      </c>
      <c r="E661" t="s">
        <v>1724</v>
      </c>
      <c r="F661" t="s">
        <v>2587</v>
      </c>
      <c r="G661" t="s">
        <v>24</v>
      </c>
      <c r="H661" t="s">
        <v>2588</v>
      </c>
      <c r="I661" t="s">
        <v>46</v>
      </c>
      <c r="N661" t="s">
        <v>63</v>
      </c>
      <c r="S661" t="s">
        <v>48</v>
      </c>
      <c r="V661" t="s">
        <v>5584</v>
      </c>
      <c r="W661" t="s">
        <v>63</v>
      </c>
      <c r="X661" s="2">
        <f>IFERROR(VLOOKUP(I661,'Rate Sheet'!$D:$F,3,FALSE),0)</f>
        <v>14.333333333333334</v>
      </c>
      <c r="Y661" s="2">
        <f>IFERROR(VLOOKUP(J661,'Rate Sheet'!$D:$F,3,FALSE),0)</f>
        <v>0</v>
      </c>
      <c r="Z661" s="2">
        <f>IFERROR(VLOOKUP(K661,'Rate Sheet'!$D:$F,3,FALSE),0)</f>
        <v>0</v>
      </c>
      <c r="AA661" s="2">
        <f t="shared" si="10"/>
        <v>14.333333333333334</v>
      </c>
      <c r="AB661">
        <v>1</v>
      </c>
    </row>
    <row r="662" spans="1:28" x14ac:dyDescent="0.25">
      <c r="A662" t="s">
        <v>33</v>
      </c>
      <c r="B662" t="s">
        <v>2589</v>
      </c>
      <c r="C662" t="s">
        <v>21</v>
      </c>
      <c r="D662" t="s">
        <v>2589</v>
      </c>
      <c r="E662" t="s">
        <v>2363</v>
      </c>
      <c r="F662" t="s">
        <v>2590</v>
      </c>
      <c r="G662" t="s">
        <v>24</v>
      </c>
      <c r="H662" t="s">
        <v>2591</v>
      </c>
      <c r="I662" t="s">
        <v>46</v>
      </c>
      <c r="N662" t="s">
        <v>2592</v>
      </c>
      <c r="S662" t="s">
        <v>48</v>
      </c>
      <c r="V662" t="s">
        <v>5650</v>
      </c>
      <c r="W662" t="s">
        <v>5651</v>
      </c>
      <c r="X662" s="2">
        <f>IFERROR(VLOOKUP(I662,'Rate Sheet'!$D:$F,3,FALSE),0)</f>
        <v>14.333333333333334</v>
      </c>
      <c r="Y662" s="2">
        <f>IFERROR(VLOOKUP(J662,'Rate Sheet'!$D:$F,3,FALSE),0)</f>
        <v>0</v>
      </c>
      <c r="Z662" s="2">
        <f>IFERROR(VLOOKUP(K662,'Rate Sheet'!$D:$F,3,FALSE),0)</f>
        <v>0</v>
      </c>
      <c r="AA662" s="2">
        <f t="shared" si="10"/>
        <v>14.333333333333334</v>
      </c>
      <c r="AB662">
        <v>1</v>
      </c>
    </row>
    <row r="663" spans="1:28" x14ac:dyDescent="0.25">
      <c r="A663" t="s">
        <v>33</v>
      </c>
      <c r="B663" t="s">
        <v>2593</v>
      </c>
      <c r="C663" t="s">
        <v>21</v>
      </c>
      <c r="D663" t="s">
        <v>2593</v>
      </c>
      <c r="E663" t="s">
        <v>2594</v>
      </c>
      <c r="F663" t="s">
        <v>2595</v>
      </c>
      <c r="G663" t="s">
        <v>24</v>
      </c>
      <c r="H663" t="s">
        <v>2596</v>
      </c>
      <c r="N663" t="s">
        <v>620</v>
      </c>
      <c r="X663" s="2">
        <f>IFERROR(VLOOKUP(I663,'Rate Sheet'!$D:$F,3,FALSE),0)</f>
        <v>0</v>
      </c>
      <c r="Y663" s="2">
        <f>IFERROR(VLOOKUP(J663,'Rate Sheet'!$D:$F,3,FALSE),0)</f>
        <v>0</v>
      </c>
      <c r="Z663" s="2">
        <f>IFERROR(VLOOKUP(K663,'Rate Sheet'!$D:$F,3,FALSE),0)</f>
        <v>0</v>
      </c>
      <c r="AA663" s="2">
        <f t="shared" si="10"/>
        <v>0</v>
      </c>
    </row>
    <row r="664" spans="1:28" x14ac:dyDescent="0.25">
      <c r="A664" t="s">
        <v>33</v>
      </c>
      <c r="B664" t="s">
        <v>2597</v>
      </c>
      <c r="C664" t="s">
        <v>29</v>
      </c>
      <c r="D664" t="s">
        <v>2597</v>
      </c>
      <c r="E664" t="s">
        <v>131</v>
      </c>
      <c r="F664" t="s">
        <v>2598</v>
      </c>
      <c r="G664" t="s">
        <v>24</v>
      </c>
      <c r="H664" t="s">
        <v>2599</v>
      </c>
      <c r="I664" t="s">
        <v>73</v>
      </c>
      <c r="N664" t="s">
        <v>190</v>
      </c>
      <c r="S664" t="s">
        <v>75</v>
      </c>
      <c r="V664" t="s">
        <v>5612</v>
      </c>
      <c r="W664" t="s">
        <v>5613</v>
      </c>
      <c r="X664" s="2">
        <f>IFERROR(VLOOKUP(I664,'Rate Sheet'!$D:$F,3,FALSE),0)</f>
        <v>8.6983333333333324</v>
      </c>
      <c r="Y664" s="2">
        <f>IFERROR(VLOOKUP(J664,'Rate Sheet'!$D:$F,3,FALSE),0)</f>
        <v>0</v>
      </c>
      <c r="Z664" s="2">
        <f>IFERROR(VLOOKUP(K664,'Rate Sheet'!$D:$F,3,FALSE),0)</f>
        <v>0</v>
      </c>
      <c r="AA664" s="2">
        <f t="shared" si="10"/>
        <v>8.6983333333333324</v>
      </c>
      <c r="AB664">
        <v>1</v>
      </c>
    </row>
    <row r="665" spans="1:28" x14ac:dyDescent="0.25">
      <c r="A665" t="s">
        <v>33</v>
      </c>
      <c r="B665" t="s">
        <v>2600</v>
      </c>
      <c r="C665" t="s">
        <v>29</v>
      </c>
      <c r="D665" t="s">
        <v>2600</v>
      </c>
      <c r="E665" t="s">
        <v>2601</v>
      </c>
      <c r="F665" t="s">
        <v>2602</v>
      </c>
      <c r="G665" t="s">
        <v>24</v>
      </c>
      <c r="H665" t="s">
        <v>2603</v>
      </c>
      <c r="I665" t="s">
        <v>46</v>
      </c>
      <c r="N665" t="s">
        <v>190</v>
      </c>
      <c r="S665" t="s">
        <v>48</v>
      </c>
      <c r="V665" t="s">
        <v>5612</v>
      </c>
      <c r="W665" t="s">
        <v>5613</v>
      </c>
      <c r="X665" s="2">
        <f>IFERROR(VLOOKUP(I665,'Rate Sheet'!$D:$F,3,FALSE),0)</f>
        <v>14.333333333333334</v>
      </c>
      <c r="Y665" s="2">
        <f>IFERROR(VLOOKUP(J665,'Rate Sheet'!$D:$F,3,FALSE),0)</f>
        <v>0</v>
      </c>
      <c r="Z665" s="2">
        <f>IFERROR(VLOOKUP(K665,'Rate Sheet'!$D:$F,3,FALSE),0)</f>
        <v>0</v>
      </c>
      <c r="AA665" s="2">
        <f t="shared" si="10"/>
        <v>14.333333333333334</v>
      </c>
      <c r="AB665">
        <v>1</v>
      </c>
    </row>
    <row r="666" spans="1:28" x14ac:dyDescent="0.25">
      <c r="A666" t="s">
        <v>33</v>
      </c>
      <c r="B666" t="s">
        <v>2604</v>
      </c>
      <c r="C666" t="s">
        <v>29</v>
      </c>
      <c r="D666" t="s">
        <v>2604</v>
      </c>
      <c r="E666" t="s">
        <v>338</v>
      </c>
      <c r="F666" t="s">
        <v>2605</v>
      </c>
      <c r="G666" t="s">
        <v>24</v>
      </c>
      <c r="H666" t="s">
        <v>2606</v>
      </c>
      <c r="I666" t="s">
        <v>46</v>
      </c>
      <c r="N666" t="s">
        <v>246</v>
      </c>
      <c r="S666" t="s">
        <v>48</v>
      </c>
      <c r="V666" t="s">
        <v>5661</v>
      </c>
      <c r="W666" t="s">
        <v>246</v>
      </c>
      <c r="X666" s="2">
        <f>IFERROR(VLOOKUP(I666,'Rate Sheet'!$D:$F,3,FALSE),0)</f>
        <v>14.333333333333334</v>
      </c>
      <c r="Y666" s="2">
        <f>IFERROR(VLOOKUP(J666,'Rate Sheet'!$D:$F,3,FALSE),0)</f>
        <v>0</v>
      </c>
      <c r="Z666" s="2">
        <f>IFERROR(VLOOKUP(K666,'Rate Sheet'!$D:$F,3,FALSE),0)</f>
        <v>0</v>
      </c>
      <c r="AA666" s="2">
        <f t="shared" si="10"/>
        <v>14.333333333333334</v>
      </c>
      <c r="AB666">
        <v>1</v>
      </c>
    </row>
    <row r="667" spans="1:28" x14ac:dyDescent="0.25">
      <c r="A667" t="s">
        <v>33</v>
      </c>
      <c r="B667" t="s">
        <v>2607</v>
      </c>
      <c r="C667" t="s">
        <v>21</v>
      </c>
      <c r="D667" t="s">
        <v>2607</v>
      </c>
      <c r="E667" t="s">
        <v>2608</v>
      </c>
      <c r="F667" t="s">
        <v>2609</v>
      </c>
      <c r="G667" t="s">
        <v>24</v>
      </c>
      <c r="H667" t="s">
        <v>2610</v>
      </c>
      <c r="I667" t="s">
        <v>46</v>
      </c>
      <c r="N667" t="s">
        <v>389</v>
      </c>
      <c r="S667" t="s">
        <v>48</v>
      </c>
      <c r="V667" t="s">
        <v>5628</v>
      </c>
      <c r="W667" t="s">
        <v>5629</v>
      </c>
      <c r="X667" s="2">
        <f>IFERROR(VLOOKUP(I667,'Rate Sheet'!$D:$F,3,FALSE),0)</f>
        <v>14.333333333333334</v>
      </c>
      <c r="Y667" s="2">
        <f>IFERROR(VLOOKUP(J667,'Rate Sheet'!$D:$F,3,FALSE),0)</f>
        <v>0</v>
      </c>
      <c r="Z667" s="2">
        <f>IFERROR(VLOOKUP(K667,'Rate Sheet'!$D:$F,3,FALSE),0)</f>
        <v>0</v>
      </c>
      <c r="AA667" s="2">
        <f t="shared" si="10"/>
        <v>14.333333333333334</v>
      </c>
      <c r="AB667">
        <v>1</v>
      </c>
    </row>
    <row r="668" spans="1:28" x14ac:dyDescent="0.25">
      <c r="A668" t="s">
        <v>33</v>
      </c>
      <c r="B668" t="s">
        <v>2611</v>
      </c>
      <c r="C668" t="s">
        <v>29</v>
      </c>
      <c r="D668" t="s">
        <v>2611</v>
      </c>
      <c r="E668" t="s">
        <v>2612</v>
      </c>
      <c r="F668" t="s">
        <v>2613</v>
      </c>
      <c r="G668" t="s">
        <v>24</v>
      </c>
      <c r="H668" t="s">
        <v>2614</v>
      </c>
      <c r="I668" t="s">
        <v>46</v>
      </c>
      <c r="N668" t="s">
        <v>511</v>
      </c>
      <c r="S668" t="s">
        <v>48</v>
      </c>
      <c r="V668" t="s">
        <v>5612</v>
      </c>
      <c r="W668" t="s">
        <v>5613</v>
      </c>
      <c r="X668" s="2">
        <f>IFERROR(VLOOKUP(I668,'Rate Sheet'!$D:$F,3,FALSE),0)</f>
        <v>14.333333333333334</v>
      </c>
      <c r="Y668" s="2">
        <f>IFERROR(VLOOKUP(J668,'Rate Sheet'!$D:$F,3,FALSE),0)</f>
        <v>0</v>
      </c>
      <c r="Z668" s="2">
        <f>IFERROR(VLOOKUP(K668,'Rate Sheet'!$D:$F,3,FALSE),0)</f>
        <v>0</v>
      </c>
      <c r="AA668" s="2">
        <f t="shared" si="10"/>
        <v>14.333333333333334</v>
      </c>
      <c r="AB668">
        <v>1</v>
      </c>
    </row>
    <row r="669" spans="1:28" x14ac:dyDescent="0.25">
      <c r="A669" t="s">
        <v>33</v>
      </c>
      <c r="B669" t="s">
        <v>2615</v>
      </c>
      <c r="C669" t="s">
        <v>21</v>
      </c>
      <c r="D669" t="s">
        <v>2615</v>
      </c>
      <c r="E669" t="s">
        <v>2616</v>
      </c>
      <c r="F669" t="s">
        <v>2617</v>
      </c>
      <c r="G669" t="s">
        <v>24</v>
      </c>
      <c r="H669" t="s">
        <v>2618</v>
      </c>
      <c r="N669" t="s">
        <v>914</v>
      </c>
      <c r="X669" s="2">
        <f>IFERROR(VLOOKUP(I669,'Rate Sheet'!$D:$F,3,FALSE),0)</f>
        <v>0</v>
      </c>
      <c r="Y669" s="2">
        <f>IFERROR(VLOOKUP(J669,'Rate Sheet'!$D:$F,3,FALSE),0)</f>
        <v>0</v>
      </c>
      <c r="Z669" s="2">
        <f>IFERROR(VLOOKUP(K669,'Rate Sheet'!$D:$F,3,FALSE),0)</f>
        <v>0</v>
      </c>
      <c r="AA669" s="2">
        <f t="shared" si="10"/>
        <v>0</v>
      </c>
    </row>
    <row r="670" spans="1:28" x14ac:dyDescent="0.25">
      <c r="A670" t="s">
        <v>33</v>
      </c>
      <c r="B670" t="s">
        <v>2619</v>
      </c>
      <c r="C670" t="s">
        <v>21</v>
      </c>
      <c r="D670" t="s">
        <v>2620</v>
      </c>
      <c r="E670" t="s">
        <v>2621</v>
      </c>
      <c r="F670" t="s">
        <v>2622</v>
      </c>
      <c r="G670" t="s">
        <v>24</v>
      </c>
      <c r="H670" t="s">
        <v>2623</v>
      </c>
      <c r="N670" t="s">
        <v>1042</v>
      </c>
      <c r="X670" s="2">
        <f>IFERROR(VLOOKUP(I670,'Rate Sheet'!$D:$F,3,FALSE),0)</f>
        <v>0</v>
      </c>
      <c r="Y670" s="2">
        <f>IFERROR(VLOOKUP(J670,'Rate Sheet'!$D:$F,3,FALSE),0)</f>
        <v>0</v>
      </c>
      <c r="Z670" s="2">
        <f>IFERROR(VLOOKUP(K670,'Rate Sheet'!$D:$F,3,FALSE),0)</f>
        <v>0</v>
      </c>
      <c r="AA670" s="2">
        <f t="shared" si="10"/>
        <v>0</v>
      </c>
    </row>
    <row r="671" spans="1:28" x14ac:dyDescent="0.25">
      <c r="A671" t="s">
        <v>33</v>
      </c>
      <c r="B671" t="s">
        <v>2624</v>
      </c>
      <c r="C671" t="s">
        <v>29</v>
      </c>
      <c r="D671" t="s">
        <v>2624</v>
      </c>
      <c r="E671" t="s">
        <v>686</v>
      </c>
      <c r="F671" t="s">
        <v>1228</v>
      </c>
      <c r="G671" t="s">
        <v>24</v>
      </c>
      <c r="H671" t="s">
        <v>2625</v>
      </c>
      <c r="I671" t="s">
        <v>46</v>
      </c>
      <c r="N671" t="s">
        <v>246</v>
      </c>
      <c r="S671" t="s">
        <v>48</v>
      </c>
      <c r="V671" t="s">
        <v>5661</v>
      </c>
      <c r="W671" t="s">
        <v>246</v>
      </c>
      <c r="X671" s="2">
        <f>IFERROR(VLOOKUP(I671,'Rate Sheet'!$D:$F,3,FALSE),0)</f>
        <v>14.333333333333334</v>
      </c>
      <c r="Y671" s="2">
        <f>IFERROR(VLOOKUP(J671,'Rate Sheet'!$D:$F,3,FALSE),0)</f>
        <v>0</v>
      </c>
      <c r="Z671" s="2">
        <f>IFERROR(VLOOKUP(K671,'Rate Sheet'!$D:$F,3,FALSE),0)</f>
        <v>0</v>
      </c>
      <c r="AA671" s="2">
        <f t="shared" si="10"/>
        <v>14.333333333333334</v>
      </c>
      <c r="AB671">
        <v>1</v>
      </c>
    </row>
    <row r="672" spans="1:28" x14ac:dyDescent="0.25">
      <c r="A672" t="s">
        <v>33</v>
      </c>
      <c r="B672" t="s">
        <v>2626</v>
      </c>
      <c r="C672" t="s">
        <v>21</v>
      </c>
      <c r="D672" t="s">
        <v>2626</v>
      </c>
      <c r="E672" t="s">
        <v>2627</v>
      </c>
      <c r="F672" t="s">
        <v>1604</v>
      </c>
      <c r="G672" t="s">
        <v>24</v>
      </c>
      <c r="H672" t="s">
        <v>2628</v>
      </c>
      <c r="N672" t="s">
        <v>287</v>
      </c>
      <c r="X672" s="2">
        <f>IFERROR(VLOOKUP(I672,'Rate Sheet'!$D:$F,3,FALSE),0)</f>
        <v>0</v>
      </c>
      <c r="Y672" s="2">
        <f>IFERROR(VLOOKUP(J672,'Rate Sheet'!$D:$F,3,FALSE),0)</f>
        <v>0</v>
      </c>
      <c r="Z672" s="2">
        <f>IFERROR(VLOOKUP(K672,'Rate Sheet'!$D:$F,3,FALSE),0)</f>
        <v>0</v>
      </c>
      <c r="AA672" s="2">
        <f t="shared" si="10"/>
        <v>0</v>
      </c>
    </row>
    <row r="673" spans="1:28" x14ac:dyDescent="0.25">
      <c r="A673" t="s">
        <v>33</v>
      </c>
      <c r="B673" t="s">
        <v>2629</v>
      </c>
      <c r="C673" t="s">
        <v>29</v>
      </c>
      <c r="D673" t="s">
        <v>2629</v>
      </c>
      <c r="E673" t="s">
        <v>70</v>
      </c>
      <c r="F673" t="s">
        <v>2630</v>
      </c>
      <c r="G673" t="s">
        <v>24</v>
      </c>
      <c r="H673" t="s">
        <v>2631</v>
      </c>
      <c r="N673" t="s">
        <v>190</v>
      </c>
      <c r="X673" s="2">
        <f>IFERROR(VLOOKUP(I673,'Rate Sheet'!$D:$F,3,FALSE),0)</f>
        <v>0</v>
      </c>
      <c r="Y673" s="2">
        <f>IFERROR(VLOOKUP(J673,'Rate Sheet'!$D:$F,3,FALSE),0)</f>
        <v>0</v>
      </c>
      <c r="Z673" s="2">
        <f>IFERROR(VLOOKUP(K673,'Rate Sheet'!$D:$F,3,FALSE),0)</f>
        <v>0</v>
      </c>
      <c r="AA673" s="2">
        <f t="shared" si="10"/>
        <v>0</v>
      </c>
    </row>
    <row r="674" spans="1:28" x14ac:dyDescent="0.25">
      <c r="A674" t="s">
        <v>33</v>
      </c>
      <c r="B674" t="s">
        <v>2632</v>
      </c>
      <c r="C674" t="s">
        <v>21</v>
      </c>
      <c r="D674" t="s">
        <v>2632</v>
      </c>
      <c r="E674" t="s">
        <v>2151</v>
      </c>
      <c r="F674" t="s">
        <v>2633</v>
      </c>
      <c r="G674" t="s">
        <v>24</v>
      </c>
      <c r="H674" t="s">
        <v>2634</v>
      </c>
      <c r="I674" t="s">
        <v>46</v>
      </c>
      <c r="N674" t="s">
        <v>819</v>
      </c>
      <c r="S674" t="s">
        <v>48</v>
      </c>
      <c r="V674" t="s">
        <v>5668</v>
      </c>
      <c r="W674" t="s">
        <v>5669</v>
      </c>
      <c r="X674" s="2">
        <f>IFERROR(VLOOKUP(I674,'Rate Sheet'!$D:$F,3,FALSE),0)</f>
        <v>14.333333333333334</v>
      </c>
      <c r="Y674" s="2">
        <f>IFERROR(VLOOKUP(J674,'Rate Sheet'!$D:$F,3,FALSE),0)</f>
        <v>0</v>
      </c>
      <c r="Z674" s="2">
        <f>IFERROR(VLOOKUP(K674,'Rate Sheet'!$D:$F,3,FALSE),0)</f>
        <v>0</v>
      </c>
      <c r="AA674" s="2">
        <f t="shared" si="10"/>
        <v>14.333333333333334</v>
      </c>
      <c r="AB674">
        <v>1</v>
      </c>
    </row>
    <row r="675" spans="1:28" x14ac:dyDescent="0.25">
      <c r="A675" t="s">
        <v>33</v>
      </c>
      <c r="B675" t="s">
        <v>2635</v>
      </c>
      <c r="C675" t="s">
        <v>21</v>
      </c>
      <c r="D675" t="s">
        <v>2635</v>
      </c>
      <c r="E675" t="s">
        <v>2636</v>
      </c>
      <c r="F675" t="s">
        <v>2637</v>
      </c>
      <c r="G675" t="s">
        <v>24</v>
      </c>
      <c r="H675" t="s">
        <v>2638</v>
      </c>
      <c r="I675" t="s">
        <v>46</v>
      </c>
      <c r="N675" t="s">
        <v>185</v>
      </c>
      <c r="S675" t="s">
        <v>48</v>
      </c>
      <c r="V675" t="s">
        <v>5610</v>
      </c>
      <c r="W675" t="s">
        <v>5611</v>
      </c>
      <c r="X675" s="2">
        <f>IFERROR(VLOOKUP(I675,'Rate Sheet'!$D:$F,3,FALSE),0)</f>
        <v>14.333333333333334</v>
      </c>
      <c r="Y675" s="2">
        <f>IFERROR(VLOOKUP(J675,'Rate Sheet'!$D:$F,3,FALSE),0)</f>
        <v>0</v>
      </c>
      <c r="Z675" s="2">
        <f>IFERROR(VLOOKUP(K675,'Rate Sheet'!$D:$F,3,FALSE),0)</f>
        <v>0</v>
      </c>
      <c r="AA675" s="2">
        <f t="shared" si="10"/>
        <v>14.333333333333334</v>
      </c>
      <c r="AB675">
        <v>1</v>
      </c>
    </row>
    <row r="676" spans="1:28" x14ac:dyDescent="0.25">
      <c r="A676" t="s">
        <v>33</v>
      </c>
      <c r="B676" t="s">
        <v>2639</v>
      </c>
      <c r="C676" t="s">
        <v>29</v>
      </c>
      <c r="D676" t="s">
        <v>2639</v>
      </c>
      <c r="E676" t="s">
        <v>2277</v>
      </c>
      <c r="F676" t="s">
        <v>2527</v>
      </c>
      <c r="G676" t="s">
        <v>24</v>
      </c>
      <c r="H676" s="1" t="s">
        <v>2640</v>
      </c>
      <c r="X676" s="2">
        <f>IFERROR(VLOOKUP(I676,'Rate Sheet'!$D:$F,3,FALSE),0)</f>
        <v>0</v>
      </c>
      <c r="Y676" s="2">
        <f>IFERROR(VLOOKUP(J676,'Rate Sheet'!$D:$F,3,FALSE),0)</f>
        <v>0</v>
      </c>
      <c r="Z676" s="2">
        <f>IFERROR(VLOOKUP(K676,'Rate Sheet'!$D:$F,3,FALSE),0)</f>
        <v>0</v>
      </c>
      <c r="AA676" s="2">
        <f t="shared" si="10"/>
        <v>0</v>
      </c>
    </row>
    <row r="677" spans="1:28" x14ac:dyDescent="0.25">
      <c r="A677" t="s">
        <v>33</v>
      </c>
      <c r="B677" t="s">
        <v>2641</v>
      </c>
      <c r="C677" t="s">
        <v>21</v>
      </c>
      <c r="D677" t="s">
        <v>2641</v>
      </c>
      <c r="E677" t="s">
        <v>2527</v>
      </c>
      <c r="F677" t="s">
        <v>2642</v>
      </c>
      <c r="G677" t="s">
        <v>24</v>
      </c>
      <c r="H677" t="s">
        <v>2643</v>
      </c>
      <c r="I677" t="s">
        <v>46</v>
      </c>
      <c r="N677" t="s">
        <v>819</v>
      </c>
      <c r="S677" t="s">
        <v>48</v>
      </c>
      <c r="V677" s="10" t="s">
        <v>5582</v>
      </c>
      <c r="W677" s="10" t="s">
        <v>5583</v>
      </c>
      <c r="X677" s="2">
        <f>IFERROR(VLOOKUP(I677,'Rate Sheet'!$D:$F,3,FALSE),0)</f>
        <v>14.333333333333334</v>
      </c>
      <c r="Y677" s="2">
        <f>IFERROR(VLOOKUP(J677,'Rate Sheet'!$D:$F,3,FALSE),0)</f>
        <v>0</v>
      </c>
      <c r="Z677" s="2">
        <f>IFERROR(VLOOKUP(K677,'Rate Sheet'!$D:$F,3,FALSE),0)</f>
        <v>0</v>
      </c>
      <c r="AA677" s="2">
        <f t="shared" si="10"/>
        <v>14.333333333333334</v>
      </c>
      <c r="AB677">
        <v>1</v>
      </c>
    </row>
    <row r="678" spans="1:28" x14ac:dyDescent="0.25">
      <c r="A678" t="s">
        <v>33</v>
      </c>
      <c r="B678" t="s">
        <v>2644</v>
      </c>
      <c r="C678" t="s">
        <v>21</v>
      </c>
      <c r="D678" t="s">
        <v>2644</v>
      </c>
      <c r="E678" t="s">
        <v>1146</v>
      </c>
      <c r="F678" t="s">
        <v>2645</v>
      </c>
      <c r="G678" t="s">
        <v>24</v>
      </c>
      <c r="H678" t="s">
        <v>2646</v>
      </c>
      <c r="N678" t="s">
        <v>819</v>
      </c>
      <c r="X678" s="2">
        <f>IFERROR(VLOOKUP(I678,'Rate Sheet'!$D:$F,3,FALSE),0)</f>
        <v>0</v>
      </c>
      <c r="Y678" s="2">
        <f>IFERROR(VLOOKUP(J678,'Rate Sheet'!$D:$F,3,FALSE),0)</f>
        <v>0</v>
      </c>
      <c r="Z678" s="2">
        <f>IFERROR(VLOOKUP(K678,'Rate Sheet'!$D:$F,3,FALSE),0)</f>
        <v>0</v>
      </c>
      <c r="AA678" s="2">
        <f t="shared" si="10"/>
        <v>0</v>
      </c>
    </row>
    <row r="679" spans="1:28" x14ac:dyDescent="0.25">
      <c r="A679" t="s">
        <v>33</v>
      </c>
      <c r="B679" t="s">
        <v>2647</v>
      </c>
      <c r="C679" t="s">
        <v>21</v>
      </c>
      <c r="D679" t="s">
        <v>2647</v>
      </c>
      <c r="E679" t="s">
        <v>2527</v>
      </c>
      <c r="F679" t="s">
        <v>2648</v>
      </c>
      <c r="G679" t="s">
        <v>24</v>
      </c>
      <c r="H679" t="s">
        <v>2649</v>
      </c>
      <c r="I679" t="s">
        <v>73</v>
      </c>
      <c r="N679" t="s">
        <v>819</v>
      </c>
      <c r="S679" t="s">
        <v>75</v>
      </c>
      <c r="V679" t="s">
        <v>5582</v>
      </c>
      <c r="W679" t="s">
        <v>5583</v>
      </c>
      <c r="X679" s="2">
        <f>IFERROR(VLOOKUP(I679,'Rate Sheet'!$D:$F,3,FALSE),0)</f>
        <v>8.6983333333333324</v>
      </c>
      <c r="Y679" s="2">
        <f>IFERROR(VLOOKUP(J679,'Rate Sheet'!$D:$F,3,FALSE),0)</f>
        <v>0</v>
      </c>
      <c r="Z679" s="2">
        <f>IFERROR(VLOOKUP(K679,'Rate Sheet'!$D:$F,3,FALSE),0)</f>
        <v>0</v>
      </c>
      <c r="AA679" s="2">
        <f t="shared" si="10"/>
        <v>8.6983333333333324</v>
      </c>
      <c r="AB679">
        <v>1</v>
      </c>
    </row>
    <row r="680" spans="1:28" x14ac:dyDescent="0.25">
      <c r="A680" t="s">
        <v>33</v>
      </c>
      <c r="B680" t="s">
        <v>2650</v>
      </c>
      <c r="C680" t="s">
        <v>21</v>
      </c>
      <c r="D680" t="s">
        <v>2650</v>
      </c>
      <c r="E680" t="s">
        <v>2612</v>
      </c>
      <c r="F680" t="s">
        <v>295</v>
      </c>
      <c r="G680" t="s">
        <v>24</v>
      </c>
      <c r="H680" t="s">
        <v>2651</v>
      </c>
      <c r="I680" t="s">
        <v>73</v>
      </c>
      <c r="N680" t="s">
        <v>819</v>
      </c>
      <c r="S680" t="s">
        <v>75</v>
      </c>
      <c r="V680" t="s">
        <v>5582</v>
      </c>
      <c r="W680" t="s">
        <v>5583</v>
      </c>
      <c r="X680" s="2">
        <f>IFERROR(VLOOKUP(I680,'Rate Sheet'!$D:$F,3,FALSE),0)</f>
        <v>8.6983333333333324</v>
      </c>
      <c r="Y680" s="2">
        <f>IFERROR(VLOOKUP(J680,'Rate Sheet'!$D:$F,3,FALSE),0)</f>
        <v>0</v>
      </c>
      <c r="Z680" s="2">
        <f>IFERROR(VLOOKUP(K680,'Rate Sheet'!$D:$F,3,FALSE),0)</f>
        <v>0</v>
      </c>
      <c r="AA680" s="2">
        <f t="shared" si="10"/>
        <v>8.6983333333333324</v>
      </c>
      <c r="AB680">
        <v>1</v>
      </c>
    </row>
    <row r="681" spans="1:28" x14ac:dyDescent="0.25">
      <c r="A681" t="s">
        <v>33</v>
      </c>
      <c r="B681" t="s">
        <v>2656</v>
      </c>
      <c r="C681" t="s">
        <v>29</v>
      </c>
      <c r="D681" t="s">
        <v>2656</v>
      </c>
      <c r="E681" t="s">
        <v>380</v>
      </c>
      <c r="F681" t="s">
        <v>2657</v>
      </c>
      <c r="G681" t="s">
        <v>24</v>
      </c>
      <c r="H681" t="s">
        <v>2658</v>
      </c>
      <c r="N681" t="s">
        <v>517</v>
      </c>
      <c r="X681" s="2">
        <f>IFERROR(VLOOKUP(I681,'Rate Sheet'!$D:$F,3,FALSE),0)</f>
        <v>0</v>
      </c>
      <c r="Y681" s="2">
        <f>IFERROR(VLOOKUP(J681,'Rate Sheet'!$D:$F,3,FALSE),0)</f>
        <v>0</v>
      </c>
      <c r="Z681" s="2">
        <f>IFERROR(VLOOKUP(K681,'Rate Sheet'!$D:$F,3,FALSE),0)</f>
        <v>0</v>
      </c>
      <c r="AA681" s="2">
        <f t="shared" si="10"/>
        <v>0</v>
      </c>
    </row>
    <row r="682" spans="1:28" x14ac:dyDescent="0.25">
      <c r="A682" t="s">
        <v>33</v>
      </c>
      <c r="B682" t="s">
        <v>2659</v>
      </c>
      <c r="C682" t="s">
        <v>21</v>
      </c>
      <c r="D682" t="s">
        <v>2659</v>
      </c>
      <c r="E682" t="s">
        <v>1858</v>
      </c>
      <c r="F682" t="s">
        <v>2660</v>
      </c>
      <c r="G682" t="s">
        <v>24</v>
      </c>
      <c r="H682" s="1" t="s">
        <v>2661</v>
      </c>
      <c r="I682" t="s">
        <v>46</v>
      </c>
      <c r="N682" t="s">
        <v>2662</v>
      </c>
      <c r="S682" t="s">
        <v>48</v>
      </c>
      <c r="V682" t="s">
        <v>5604</v>
      </c>
      <c r="W682" t="s">
        <v>5605</v>
      </c>
      <c r="X682" s="2">
        <f>IFERROR(VLOOKUP(I682,'Rate Sheet'!$D:$F,3,FALSE),0)</f>
        <v>14.333333333333334</v>
      </c>
      <c r="Y682" s="2">
        <f>IFERROR(VLOOKUP(J682,'Rate Sheet'!$D:$F,3,FALSE),0)</f>
        <v>0</v>
      </c>
      <c r="Z682" s="2">
        <f>IFERROR(VLOOKUP(K682,'Rate Sheet'!$D:$F,3,FALSE),0)</f>
        <v>0</v>
      </c>
      <c r="AA682" s="2">
        <f t="shared" si="10"/>
        <v>14.333333333333334</v>
      </c>
      <c r="AB682">
        <v>1</v>
      </c>
    </row>
    <row r="683" spans="1:28" x14ac:dyDescent="0.25">
      <c r="A683" t="s">
        <v>33</v>
      </c>
      <c r="B683" t="s">
        <v>2663</v>
      </c>
      <c r="C683" t="s">
        <v>21</v>
      </c>
      <c r="D683" t="s">
        <v>2663</v>
      </c>
      <c r="E683" t="s">
        <v>2664</v>
      </c>
      <c r="F683" t="s">
        <v>2665</v>
      </c>
      <c r="G683" t="s">
        <v>24</v>
      </c>
      <c r="H683" t="s">
        <v>2666</v>
      </c>
      <c r="I683" t="s">
        <v>46</v>
      </c>
      <c r="N683" t="s">
        <v>185</v>
      </c>
      <c r="S683" t="s">
        <v>48</v>
      </c>
      <c r="V683" t="s">
        <v>5610</v>
      </c>
      <c r="W683" t="s">
        <v>5611</v>
      </c>
      <c r="X683" s="2">
        <f>IFERROR(VLOOKUP(I683,'Rate Sheet'!$D:$F,3,FALSE),0)</f>
        <v>14.333333333333334</v>
      </c>
      <c r="Y683" s="2">
        <f>IFERROR(VLOOKUP(J683,'Rate Sheet'!$D:$F,3,FALSE),0)</f>
        <v>0</v>
      </c>
      <c r="Z683" s="2">
        <f>IFERROR(VLOOKUP(K683,'Rate Sheet'!$D:$F,3,FALSE),0)</f>
        <v>0</v>
      </c>
      <c r="AA683" s="2">
        <f t="shared" si="10"/>
        <v>14.333333333333334</v>
      </c>
      <c r="AB683">
        <v>1</v>
      </c>
    </row>
    <row r="684" spans="1:28" x14ac:dyDescent="0.25">
      <c r="A684" t="s">
        <v>33</v>
      </c>
      <c r="B684" t="s">
        <v>2667</v>
      </c>
      <c r="C684" t="s">
        <v>21</v>
      </c>
      <c r="D684" t="s">
        <v>2667</v>
      </c>
      <c r="E684" t="s">
        <v>2668</v>
      </c>
      <c r="F684" t="s">
        <v>2669</v>
      </c>
      <c r="G684" t="s">
        <v>24</v>
      </c>
      <c r="H684" t="s">
        <v>2670</v>
      </c>
      <c r="I684" t="s">
        <v>46</v>
      </c>
      <c r="N684" t="s">
        <v>914</v>
      </c>
      <c r="S684" t="s">
        <v>48</v>
      </c>
      <c r="V684" t="s">
        <v>5686</v>
      </c>
      <c r="W684" t="s">
        <v>5687</v>
      </c>
      <c r="X684" s="2">
        <f>IFERROR(VLOOKUP(I684,'Rate Sheet'!$D:$F,3,FALSE),0)</f>
        <v>14.333333333333334</v>
      </c>
      <c r="Y684" s="2">
        <f>IFERROR(VLOOKUP(J684,'Rate Sheet'!$D:$F,3,FALSE),0)</f>
        <v>0</v>
      </c>
      <c r="Z684" s="2">
        <f>IFERROR(VLOOKUP(K684,'Rate Sheet'!$D:$F,3,FALSE),0)</f>
        <v>0</v>
      </c>
      <c r="AA684" s="2">
        <f t="shared" si="10"/>
        <v>14.333333333333334</v>
      </c>
      <c r="AB684">
        <v>1</v>
      </c>
    </row>
    <row r="685" spans="1:28" x14ac:dyDescent="0.25">
      <c r="A685" t="s">
        <v>33</v>
      </c>
      <c r="B685" t="s">
        <v>2671</v>
      </c>
      <c r="C685" t="s">
        <v>21</v>
      </c>
      <c r="D685" t="s">
        <v>2671</v>
      </c>
      <c r="E685" t="s">
        <v>2672</v>
      </c>
      <c r="F685" t="s">
        <v>2673</v>
      </c>
      <c r="G685" t="s">
        <v>24</v>
      </c>
      <c r="H685" s="1" t="s">
        <v>2674</v>
      </c>
      <c r="L685" t="s">
        <v>26</v>
      </c>
      <c r="N685" t="s">
        <v>327</v>
      </c>
      <c r="X685" s="2">
        <f>IFERROR(VLOOKUP(I685,'Rate Sheet'!$D:$F,3,FALSE),0)</f>
        <v>0</v>
      </c>
      <c r="Y685" s="2">
        <f>IFERROR(VLOOKUP(J685,'Rate Sheet'!$D:$F,3,FALSE),0)</f>
        <v>0</v>
      </c>
      <c r="Z685" s="2">
        <f>IFERROR(VLOOKUP(K685,'Rate Sheet'!$D:$F,3,FALSE),0)</f>
        <v>0</v>
      </c>
      <c r="AA685" s="2">
        <f t="shared" si="10"/>
        <v>0</v>
      </c>
    </row>
    <row r="686" spans="1:28" x14ac:dyDescent="0.25">
      <c r="A686" t="s">
        <v>33</v>
      </c>
      <c r="B686" t="s">
        <v>2675</v>
      </c>
      <c r="C686" t="s">
        <v>21</v>
      </c>
      <c r="D686" t="s">
        <v>2675</v>
      </c>
      <c r="E686" t="s">
        <v>424</v>
      </c>
      <c r="F686" t="s">
        <v>2676</v>
      </c>
      <c r="G686" t="s">
        <v>24</v>
      </c>
      <c r="H686" t="s">
        <v>2677</v>
      </c>
      <c r="N686" t="s">
        <v>327</v>
      </c>
      <c r="X686" s="2">
        <f>IFERROR(VLOOKUP(I686,'Rate Sheet'!$D:$F,3,FALSE),0)</f>
        <v>0</v>
      </c>
      <c r="Y686" s="2">
        <f>IFERROR(VLOOKUP(J686,'Rate Sheet'!$D:$F,3,FALSE),0)</f>
        <v>0</v>
      </c>
      <c r="Z686" s="2">
        <f>IFERROR(VLOOKUP(K686,'Rate Sheet'!$D:$F,3,FALSE),0)</f>
        <v>0</v>
      </c>
      <c r="AA686" s="2">
        <f t="shared" si="10"/>
        <v>0</v>
      </c>
    </row>
    <row r="687" spans="1:28" x14ac:dyDescent="0.25">
      <c r="A687" t="s">
        <v>33</v>
      </c>
      <c r="B687" t="s">
        <v>2678</v>
      </c>
      <c r="C687" t="s">
        <v>21</v>
      </c>
      <c r="D687" t="s">
        <v>2678</v>
      </c>
      <c r="E687" t="s">
        <v>2679</v>
      </c>
      <c r="F687" t="s">
        <v>145</v>
      </c>
      <c r="G687" t="s">
        <v>24</v>
      </c>
      <c r="H687" t="s">
        <v>2680</v>
      </c>
      <c r="N687" t="s">
        <v>309</v>
      </c>
      <c r="X687" s="2">
        <f>IFERROR(VLOOKUP(I687,'Rate Sheet'!$D:$F,3,FALSE),0)</f>
        <v>0</v>
      </c>
      <c r="Y687" s="2">
        <f>IFERROR(VLOOKUP(J687,'Rate Sheet'!$D:$F,3,FALSE),0)</f>
        <v>0</v>
      </c>
      <c r="Z687" s="2">
        <f>IFERROR(VLOOKUP(K687,'Rate Sheet'!$D:$F,3,FALSE),0)</f>
        <v>0</v>
      </c>
      <c r="AA687" s="2">
        <f t="shared" si="10"/>
        <v>0</v>
      </c>
    </row>
    <row r="688" spans="1:28" x14ac:dyDescent="0.25">
      <c r="A688" t="s">
        <v>33</v>
      </c>
      <c r="B688" t="s">
        <v>2681</v>
      </c>
      <c r="C688" t="s">
        <v>21</v>
      </c>
      <c r="D688" t="s">
        <v>2681</v>
      </c>
      <c r="E688" t="s">
        <v>2363</v>
      </c>
      <c r="F688" t="s">
        <v>2682</v>
      </c>
      <c r="G688" t="s">
        <v>24</v>
      </c>
      <c r="H688" t="s">
        <v>2683</v>
      </c>
      <c r="I688" t="s">
        <v>46</v>
      </c>
      <c r="N688" t="s">
        <v>309</v>
      </c>
      <c r="S688" t="s">
        <v>48</v>
      </c>
      <c r="V688" t="s">
        <v>5600</v>
      </c>
      <c r="W688" t="s">
        <v>5601</v>
      </c>
      <c r="X688" s="2">
        <f>IFERROR(VLOOKUP(I688,'Rate Sheet'!$D:$F,3,FALSE),0)</f>
        <v>14.333333333333334</v>
      </c>
      <c r="Y688" s="2">
        <f>IFERROR(VLOOKUP(J688,'Rate Sheet'!$D:$F,3,FALSE),0)</f>
        <v>0</v>
      </c>
      <c r="Z688" s="2">
        <f>IFERROR(VLOOKUP(K688,'Rate Sheet'!$D:$F,3,FALSE),0)</f>
        <v>0</v>
      </c>
      <c r="AA688" s="2">
        <f t="shared" si="10"/>
        <v>14.333333333333334</v>
      </c>
      <c r="AB688">
        <v>1</v>
      </c>
    </row>
    <row r="689" spans="1:28" x14ac:dyDescent="0.25">
      <c r="A689" t="s">
        <v>33</v>
      </c>
      <c r="B689" t="s">
        <v>2684</v>
      </c>
      <c r="C689" t="s">
        <v>21</v>
      </c>
      <c r="D689" t="s">
        <v>2684</v>
      </c>
      <c r="E689" t="s">
        <v>2685</v>
      </c>
      <c r="F689" t="s">
        <v>2686</v>
      </c>
      <c r="G689" t="s">
        <v>24</v>
      </c>
      <c r="H689" t="s">
        <v>2687</v>
      </c>
      <c r="I689" t="s">
        <v>46</v>
      </c>
      <c r="N689" t="s">
        <v>38</v>
      </c>
      <c r="S689" t="s">
        <v>48</v>
      </c>
      <c r="V689" t="s">
        <v>5582</v>
      </c>
      <c r="W689" t="s">
        <v>5583</v>
      </c>
      <c r="X689" s="2">
        <f>IFERROR(VLOOKUP(I689,'Rate Sheet'!$D:$F,3,FALSE),0)</f>
        <v>14.333333333333334</v>
      </c>
      <c r="Y689" s="2">
        <f>IFERROR(VLOOKUP(J689,'Rate Sheet'!$D:$F,3,FALSE),0)</f>
        <v>0</v>
      </c>
      <c r="Z689" s="2">
        <f>IFERROR(VLOOKUP(K689,'Rate Sheet'!$D:$F,3,FALSE),0)</f>
        <v>0</v>
      </c>
      <c r="AA689" s="2">
        <f t="shared" si="10"/>
        <v>14.333333333333334</v>
      </c>
      <c r="AB689">
        <v>1</v>
      </c>
    </row>
    <row r="690" spans="1:28" x14ac:dyDescent="0.25">
      <c r="A690" t="s">
        <v>33</v>
      </c>
      <c r="B690" t="s">
        <v>2688</v>
      </c>
      <c r="C690" t="s">
        <v>21</v>
      </c>
      <c r="D690" t="s">
        <v>2688</v>
      </c>
      <c r="E690" t="s">
        <v>2689</v>
      </c>
      <c r="F690" t="s">
        <v>2690</v>
      </c>
      <c r="G690" t="s">
        <v>24</v>
      </c>
      <c r="H690" t="s">
        <v>2691</v>
      </c>
      <c r="N690" t="s">
        <v>1061</v>
      </c>
      <c r="X690" s="2">
        <f>IFERROR(VLOOKUP(I690,'Rate Sheet'!$D:$F,3,FALSE),0)</f>
        <v>0</v>
      </c>
      <c r="Y690" s="2">
        <f>IFERROR(VLOOKUP(J690,'Rate Sheet'!$D:$F,3,FALSE),0)</f>
        <v>0</v>
      </c>
      <c r="Z690" s="2">
        <f>IFERROR(VLOOKUP(K690,'Rate Sheet'!$D:$F,3,FALSE),0)</f>
        <v>0</v>
      </c>
      <c r="AA690" s="2">
        <f t="shared" si="10"/>
        <v>0</v>
      </c>
    </row>
    <row r="691" spans="1:28" x14ac:dyDescent="0.25">
      <c r="A691" t="s">
        <v>33</v>
      </c>
      <c r="B691" t="s">
        <v>2692</v>
      </c>
      <c r="C691" t="s">
        <v>21</v>
      </c>
      <c r="D691" t="s">
        <v>2692</v>
      </c>
      <c r="E691" t="s">
        <v>126</v>
      </c>
      <c r="F691" t="s">
        <v>2693</v>
      </c>
      <c r="G691" t="s">
        <v>24</v>
      </c>
      <c r="H691" t="s">
        <v>2694</v>
      </c>
      <c r="I691" t="s">
        <v>46</v>
      </c>
      <c r="N691" t="s">
        <v>1061</v>
      </c>
      <c r="S691" t="s">
        <v>48</v>
      </c>
      <c r="V691" t="s">
        <v>5679</v>
      </c>
      <c r="W691" t="s">
        <v>1061</v>
      </c>
      <c r="X691" s="2">
        <f>IFERROR(VLOOKUP(I691,'Rate Sheet'!$D:$F,3,FALSE),0)</f>
        <v>14.333333333333334</v>
      </c>
      <c r="Y691" s="2">
        <f>IFERROR(VLOOKUP(J691,'Rate Sheet'!$D:$F,3,FALSE),0)</f>
        <v>0</v>
      </c>
      <c r="Z691" s="2">
        <f>IFERROR(VLOOKUP(K691,'Rate Sheet'!$D:$F,3,FALSE),0)</f>
        <v>0</v>
      </c>
      <c r="AA691" s="2">
        <f t="shared" si="10"/>
        <v>14.333333333333334</v>
      </c>
      <c r="AB691">
        <v>1</v>
      </c>
    </row>
    <row r="692" spans="1:28" x14ac:dyDescent="0.25">
      <c r="A692" t="s">
        <v>33</v>
      </c>
      <c r="B692" t="s">
        <v>2695</v>
      </c>
      <c r="C692" t="s">
        <v>21</v>
      </c>
      <c r="D692" t="s">
        <v>2695</v>
      </c>
      <c r="E692" t="s">
        <v>1443</v>
      </c>
      <c r="F692" t="s">
        <v>159</v>
      </c>
      <c r="G692" t="s">
        <v>24</v>
      </c>
      <c r="H692" s="1" t="s">
        <v>2696</v>
      </c>
      <c r="I692" t="s">
        <v>46</v>
      </c>
      <c r="N692" t="s">
        <v>38</v>
      </c>
      <c r="S692" t="s">
        <v>48</v>
      </c>
      <c r="V692" t="s">
        <v>5582</v>
      </c>
      <c r="W692" t="s">
        <v>5583</v>
      </c>
      <c r="X692" s="2">
        <f>IFERROR(VLOOKUP(I692,'Rate Sheet'!$D:$F,3,FALSE),0)</f>
        <v>14.333333333333334</v>
      </c>
      <c r="Y692" s="2">
        <f>IFERROR(VLOOKUP(J692,'Rate Sheet'!$D:$F,3,FALSE),0)</f>
        <v>0</v>
      </c>
      <c r="Z692" s="2">
        <f>IFERROR(VLOOKUP(K692,'Rate Sheet'!$D:$F,3,FALSE),0)</f>
        <v>0</v>
      </c>
      <c r="AA692" s="2">
        <f t="shared" si="10"/>
        <v>14.333333333333334</v>
      </c>
      <c r="AB692">
        <v>1</v>
      </c>
    </row>
    <row r="693" spans="1:28" x14ac:dyDescent="0.25">
      <c r="A693" t="s">
        <v>33</v>
      </c>
      <c r="B693" t="s">
        <v>2697</v>
      </c>
      <c r="C693" t="s">
        <v>21</v>
      </c>
      <c r="D693" t="s">
        <v>2697</v>
      </c>
      <c r="E693" t="s">
        <v>1315</v>
      </c>
      <c r="F693" t="s">
        <v>2698</v>
      </c>
      <c r="G693" t="s">
        <v>24</v>
      </c>
      <c r="H693" t="s">
        <v>2699</v>
      </c>
      <c r="N693" t="s">
        <v>2700</v>
      </c>
      <c r="X693" s="2">
        <f>IFERROR(VLOOKUP(I693,'Rate Sheet'!$D:$F,3,FALSE),0)</f>
        <v>0</v>
      </c>
      <c r="Y693" s="2">
        <f>IFERROR(VLOOKUP(J693,'Rate Sheet'!$D:$F,3,FALSE),0)</f>
        <v>0</v>
      </c>
      <c r="Z693" s="2">
        <f>IFERROR(VLOOKUP(K693,'Rate Sheet'!$D:$F,3,FALSE),0)</f>
        <v>0</v>
      </c>
      <c r="AA693" s="2">
        <f t="shared" si="10"/>
        <v>0</v>
      </c>
    </row>
    <row r="694" spans="1:28" x14ac:dyDescent="0.25">
      <c r="A694" t="s">
        <v>33</v>
      </c>
      <c r="B694" t="s">
        <v>2701</v>
      </c>
      <c r="C694" t="s">
        <v>21</v>
      </c>
      <c r="D694" t="s">
        <v>2701</v>
      </c>
      <c r="E694" t="s">
        <v>2702</v>
      </c>
      <c r="F694" t="s">
        <v>2703</v>
      </c>
      <c r="G694" t="s">
        <v>24</v>
      </c>
      <c r="H694" s="1" t="s">
        <v>2704</v>
      </c>
      <c r="I694" t="s">
        <v>46</v>
      </c>
      <c r="J694" t="s">
        <v>5562</v>
      </c>
      <c r="K694" t="s">
        <v>3206</v>
      </c>
      <c r="N694" t="s">
        <v>535</v>
      </c>
      <c r="S694" t="s">
        <v>2706</v>
      </c>
      <c r="V694" t="s">
        <v>5680</v>
      </c>
      <c r="W694" t="s">
        <v>5681</v>
      </c>
      <c r="X694" s="2">
        <f>IFERROR(VLOOKUP(I694,'Rate Sheet'!$D:$F,3,FALSE),0)</f>
        <v>14.333333333333334</v>
      </c>
      <c r="Y694" s="2">
        <f>IFERROR(VLOOKUP(J694,'Rate Sheet'!$D:$F,3,FALSE),0)</f>
        <v>34.873750000000001</v>
      </c>
      <c r="Z694" s="2">
        <f>IFERROR(VLOOKUP(K694,'Rate Sheet'!$D:$F,3,FALSE),0)</f>
        <v>36.357500000000002</v>
      </c>
      <c r="AA694" s="2">
        <f t="shared" si="10"/>
        <v>85.564583333333331</v>
      </c>
      <c r="AB694">
        <v>1</v>
      </c>
    </row>
    <row r="695" spans="1:28" x14ac:dyDescent="0.25">
      <c r="A695" t="s">
        <v>33</v>
      </c>
      <c r="B695" t="s">
        <v>2707</v>
      </c>
      <c r="C695" t="s">
        <v>29</v>
      </c>
      <c r="D695" t="s">
        <v>2707</v>
      </c>
      <c r="E695" t="s">
        <v>2708</v>
      </c>
      <c r="F695" t="s">
        <v>2709</v>
      </c>
      <c r="G695" t="s">
        <v>24</v>
      </c>
      <c r="H695" t="s">
        <v>2710</v>
      </c>
      <c r="I695" t="s">
        <v>46</v>
      </c>
      <c r="N695" t="s">
        <v>246</v>
      </c>
      <c r="S695" t="s">
        <v>48</v>
      </c>
      <c r="V695" t="s">
        <v>5661</v>
      </c>
      <c r="W695" t="s">
        <v>246</v>
      </c>
      <c r="X695" s="2">
        <f>IFERROR(VLOOKUP(I695,'Rate Sheet'!$D:$F,3,FALSE),0)</f>
        <v>14.333333333333334</v>
      </c>
      <c r="Y695" s="2">
        <f>IFERROR(VLOOKUP(J695,'Rate Sheet'!$D:$F,3,FALSE),0)</f>
        <v>0</v>
      </c>
      <c r="Z695" s="2">
        <f>IFERROR(VLOOKUP(K695,'Rate Sheet'!$D:$F,3,FALSE),0)</f>
        <v>0</v>
      </c>
      <c r="AA695" s="2">
        <f t="shared" si="10"/>
        <v>14.333333333333334</v>
      </c>
      <c r="AB695">
        <v>1</v>
      </c>
    </row>
    <row r="696" spans="1:28" x14ac:dyDescent="0.25">
      <c r="A696" t="s">
        <v>33</v>
      </c>
      <c r="B696" t="s">
        <v>2711</v>
      </c>
      <c r="C696" t="s">
        <v>21</v>
      </c>
      <c r="D696" t="s">
        <v>2711</v>
      </c>
      <c r="E696" t="s">
        <v>1745</v>
      </c>
      <c r="F696" t="s">
        <v>2712</v>
      </c>
      <c r="G696" t="s">
        <v>24</v>
      </c>
      <c r="H696" t="s">
        <v>2713</v>
      </c>
      <c r="I696" t="s">
        <v>46</v>
      </c>
      <c r="N696" t="s">
        <v>620</v>
      </c>
      <c r="S696" t="s">
        <v>48</v>
      </c>
      <c r="V696" t="s">
        <v>5659</v>
      </c>
      <c r="W696" t="s">
        <v>620</v>
      </c>
      <c r="X696" s="2">
        <f>IFERROR(VLOOKUP(I696,'Rate Sheet'!$D:$F,3,FALSE),0)</f>
        <v>14.333333333333334</v>
      </c>
      <c r="Y696" s="2">
        <f>IFERROR(VLOOKUP(J696,'Rate Sheet'!$D:$F,3,FALSE),0)</f>
        <v>0</v>
      </c>
      <c r="Z696" s="2">
        <f>IFERROR(VLOOKUP(K696,'Rate Sheet'!$D:$F,3,FALSE),0)</f>
        <v>0</v>
      </c>
      <c r="AA696" s="2">
        <f t="shared" ref="AA696:AA758" si="11">SUM(X696:Z696)</f>
        <v>14.333333333333334</v>
      </c>
      <c r="AB696">
        <v>1</v>
      </c>
    </row>
    <row r="697" spans="1:28" x14ac:dyDescent="0.25">
      <c r="A697" t="s">
        <v>33</v>
      </c>
      <c r="B697" t="s">
        <v>2714</v>
      </c>
      <c r="C697" t="s">
        <v>21</v>
      </c>
      <c r="D697" t="s">
        <v>2714</v>
      </c>
      <c r="E697" t="s">
        <v>363</v>
      </c>
      <c r="F697" t="s">
        <v>2712</v>
      </c>
      <c r="G697" t="s">
        <v>24</v>
      </c>
      <c r="H697" t="s">
        <v>2715</v>
      </c>
      <c r="I697" t="s">
        <v>46</v>
      </c>
      <c r="N697" t="s">
        <v>38</v>
      </c>
      <c r="S697" t="s">
        <v>48</v>
      </c>
      <c r="V697" t="s">
        <v>5582</v>
      </c>
      <c r="W697" t="s">
        <v>5583</v>
      </c>
      <c r="X697" s="2">
        <f>IFERROR(VLOOKUP(I697,'Rate Sheet'!$D:$F,3,FALSE),0)</f>
        <v>14.333333333333334</v>
      </c>
      <c r="Y697" s="2">
        <f>IFERROR(VLOOKUP(J697,'Rate Sheet'!$D:$F,3,FALSE),0)</f>
        <v>0</v>
      </c>
      <c r="Z697" s="2">
        <f>IFERROR(VLOOKUP(K697,'Rate Sheet'!$D:$F,3,FALSE),0)</f>
        <v>0</v>
      </c>
      <c r="AA697" s="2">
        <f t="shared" si="11"/>
        <v>14.333333333333334</v>
      </c>
      <c r="AB697">
        <v>1</v>
      </c>
    </row>
    <row r="698" spans="1:28" x14ac:dyDescent="0.25">
      <c r="A698" t="s">
        <v>33</v>
      </c>
      <c r="B698" t="s">
        <v>2716</v>
      </c>
      <c r="C698" t="s">
        <v>21</v>
      </c>
      <c r="D698" t="s">
        <v>2716</v>
      </c>
      <c r="E698" t="s">
        <v>424</v>
      </c>
      <c r="F698" t="s">
        <v>2717</v>
      </c>
      <c r="G698" t="s">
        <v>24</v>
      </c>
      <c r="H698" t="s">
        <v>2718</v>
      </c>
      <c r="I698" t="s">
        <v>73</v>
      </c>
      <c r="N698" t="s">
        <v>535</v>
      </c>
      <c r="S698" t="s">
        <v>75</v>
      </c>
      <c r="V698" t="s">
        <v>5680</v>
      </c>
      <c r="W698" t="s">
        <v>5681</v>
      </c>
      <c r="X698" s="2">
        <f>IFERROR(VLOOKUP(I698,'Rate Sheet'!$D:$F,3,FALSE),0)</f>
        <v>8.6983333333333324</v>
      </c>
      <c r="Y698" s="2">
        <f>IFERROR(VLOOKUP(J698,'Rate Sheet'!$D:$F,3,FALSE),0)</f>
        <v>0</v>
      </c>
      <c r="Z698" s="2">
        <f>IFERROR(VLOOKUP(K698,'Rate Sheet'!$D:$F,3,FALSE),0)</f>
        <v>0</v>
      </c>
      <c r="AA698" s="2">
        <f t="shared" si="11"/>
        <v>8.6983333333333324</v>
      </c>
      <c r="AB698">
        <v>1</v>
      </c>
    </row>
    <row r="699" spans="1:28" x14ac:dyDescent="0.25">
      <c r="A699" t="s">
        <v>33</v>
      </c>
      <c r="B699" t="s">
        <v>2719</v>
      </c>
      <c r="C699" t="s">
        <v>92</v>
      </c>
      <c r="D699" t="s">
        <v>2720</v>
      </c>
      <c r="E699" t="s">
        <v>2721</v>
      </c>
      <c r="F699" t="s">
        <v>650</v>
      </c>
      <c r="G699" t="s">
        <v>24</v>
      </c>
      <c r="H699" s="1" t="s">
        <v>2722</v>
      </c>
      <c r="N699" t="s">
        <v>2723</v>
      </c>
      <c r="X699" s="2">
        <f>IFERROR(VLOOKUP(I699,'Rate Sheet'!$D:$F,3,FALSE),0)</f>
        <v>0</v>
      </c>
      <c r="Y699" s="2">
        <f>IFERROR(VLOOKUP(J699,'Rate Sheet'!$D:$F,3,FALSE),0)</f>
        <v>0</v>
      </c>
      <c r="Z699" s="2">
        <f>IFERROR(VLOOKUP(K699,'Rate Sheet'!$D:$F,3,FALSE),0)</f>
        <v>0</v>
      </c>
      <c r="AA699" s="2">
        <f t="shared" si="11"/>
        <v>0</v>
      </c>
    </row>
    <row r="700" spans="1:28" x14ac:dyDescent="0.25">
      <c r="A700" t="s">
        <v>33</v>
      </c>
      <c r="B700" t="s">
        <v>2724</v>
      </c>
      <c r="C700" t="s">
        <v>21</v>
      </c>
      <c r="D700" t="s">
        <v>2724</v>
      </c>
      <c r="E700" t="s">
        <v>2104</v>
      </c>
      <c r="F700" t="s">
        <v>2725</v>
      </c>
      <c r="G700" t="s">
        <v>24</v>
      </c>
      <c r="H700" t="s">
        <v>2726</v>
      </c>
      <c r="I700" t="s">
        <v>46</v>
      </c>
      <c r="N700" t="s">
        <v>1042</v>
      </c>
      <c r="S700" t="s">
        <v>48</v>
      </c>
      <c r="V700" t="s">
        <v>5683</v>
      </c>
      <c r="W700" t="s">
        <v>5684</v>
      </c>
      <c r="X700" s="2">
        <f>IFERROR(VLOOKUP(I700,'Rate Sheet'!$D:$F,3,FALSE),0)</f>
        <v>14.333333333333334</v>
      </c>
      <c r="Y700" s="2">
        <f>IFERROR(VLOOKUP(J700,'Rate Sheet'!$D:$F,3,FALSE),0)</f>
        <v>0</v>
      </c>
      <c r="Z700" s="2">
        <f>IFERROR(VLOOKUP(K700,'Rate Sheet'!$D:$F,3,FALSE),0)</f>
        <v>0</v>
      </c>
      <c r="AA700" s="2">
        <f t="shared" si="11"/>
        <v>14.333333333333334</v>
      </c>
      <c r="AB700">
        <v>1</v>
      </c>
    </row>
    <row r="701" spans="1:28" x14ac:dyDescent="0.25">
      <c r="A701" t="s">
        <v>33</v>
      </c>
      <c r="B701" t="s">
        <v>2727</v>
      </c>
      <c r="C701" t="s">
        <v>21</v>
      </c>
      <c r="D701" t="s">
        <v>2727</v>
      </c>
      <c r="E701" t="s">
        <v>100</v>
      </c>
      <c r="F701" t="s">
        <v>1228</v>
      </c>
      <c r="G701" t="s">
        <v>24</v>
      </c>
      <c r="H701" t="s">
        <v>2728</v>
      </c>
      <c r="I701" t="s">
        <v>46</v>
      </c>
      <c r="N701" t="s">
        <v>207</v>
      </c>
      <c r="S701" t="s">
        <v>48</v>
      </c>
      <c r="V701" t="s">
        <v>5634</v>
      </c>
      <c r="W701" t="s">
        <v>207</v>
      </c>
      <c r="X701" s="2">
        <f>IFERROR(VLOOKUP(I701,'Rate Sheet'!$D:$F,3,FALSE),0)</f>
        <v>14.333333333333334</v>
      </c>
      <c r="Y701" s="2">
        <f>IFERROR(VLOOKUP(J701,'Rate Sheet'!$D:$F,3,FALSE),0)</f>
        <v>0</v>
      </c>
      <c r="Z701" s="2">
        <f>IFERROR(VLOOKUP(K701,'Rate Sheet'!$D:$F,3,FALSE),0)</f>
        <v>0</v>
      </c>
      <c r="AA701" s="2">
        <f t="shared" si="11"/>
        <v>14.333333333333334</v>
      </c>
      <c r="AB701">
        <v>1</v>
      </c>
    </row>
    <row r="702" spans="1:28" x14ac:dyDescent="0.25">
      <c r="A702" t="s">
        <v>33</v>
      </c>
      <c r="B702" t="s">
        <v>2729</v>
      </c>
      <c r="C702" t="s">
        <v>21</v>
      </c>
      <c r="D702" t="s">
        <v>2730</v>
      </c>
      <c r="E702" t="s">
        <v>2731</v>
      </c>
      <c r="F702" t="s">
        <v>2732</v>
      </c>
      <c r="G702" t="s">
        <v>24</v>
      </c>
      <c r="H702" t="s">
        <v>2733</v>
      </c>
      <c r="N702" t="s">
        <v>38</v>
      </c>
      <c r="X702" s="2">
        <f>IFERROR(VLOOKUP(I702,'Rate Sheet'!$D:$F,3,FALSE),0)</f>
        <v>0</v>
      </c>
      <c r="Y702" s="2">
        <f>IFERROR(VLOOKUP(J702,'Rate Sheet'!$D:$F,3,FALSE),0)</f>
        <v>0</v>
      </c>
      <c r="Z702" s="2">
        <f>IFERROR(VLOOKUP(K702,'Rate Sheet'!$D:$F,3,FALSE),0)</f>
        <v>0</v>
      </c>
      <c r="AA702" s="2">
        <f t="shared" si="11"/>
        <v>0</v>
      </c>
    </row>
    <row r="703" spans="1:28" x14ac:dyDescent="0.25">
      <c r="A703" t="s">
        <v>33</v>
      </c>
      <c r="B703" t="s">
        <v>2734</v>
      </c>
      <c r="C703" t="s">
        <v>21</v>
      </c>
      <c r="D703" t="s">
        <v>2734</v>
      </c>
      <c r="E703" t="s">
        <v>2735</v>
      </c>
      <c r="F703" t="s">
        <v>2736</v>
      </c>
      <c r="G703" t="s">
        <v>24</v>
      </c>
      <c r="H703" t="s">
        <v>2737</v>
      </c>
      <c r="N703" t="s">
        <v>697</v>
      </c>
      <c r="X703" s="2">
        <f>IFERROR(VLOOKUP(I703,'Rate Sheet'!$D:$F,3,FALSE),0)</f>
        <v>0</v>
      </c>
      <c r="Y703" s="2">
        <f>IFERROR(VLOOKUP(J703,'Rate Sheet'!$D:$F,3,FALSE),0)</f>
        <v>0</v>
      </c>
      <c r="Z703" s="2">
        <f>IFERROR(VLOOKUP(K703,'Rate Sheet'!$D:$F,3,FALSE),0)</f>
        <v>0</v>
      </c>
      <c r="AA703" s="2">
        <f t="shared" si="11"/>
        <v>0</v>
      </c>
    </row>
    <row r="704" spans="1:28" x14ac:dyDescent="0.25">
      <c r="A704" t="s">
        <v>33</v>
      </c>
      <c r="B704" t="s">
        <v>2738</v>
      </c>
      <c r="C704" t="s">
        <v>21</v>
      </c>
      <c r="D704" t="s">
        <v>2739</v>
      </c>
      <c r="E704" t="s">
        <v>2740</v>
      </c>
      <c r="F704" t="s">
        <v>2741</v>
      </c>
      <c r="G704" t="s">
        <v>24</v>
      </c>
      <c r="H704" t="s">
        <v>2742</v>
      </c>
      <c r="I704" t="s">
        <v>73</v>
      </c>
      <c r="N704" t="s">
        <v>327</v>
      </c>
      <c r="S704" t="s">
        <v>75</v>
      </c>
      <c r="V704" t="s">
        <v>5578</v>
      </c>
      <c r="W704" t="s">
        <v>5579</v>
      </c>
      <c r="X704" s="2">
        <f>IFERROR(VLOOKUP(I704,'Rate Sheet'!$D:$F,3,FALSE),0)</f>
        <v>8.6983333333333324</v>
      </c>
      <c r="Y704" s="2">
        <f>IFERROR(VLOOKUP(J704,'Rate Sheet'!$D:$F,3,FALSE),0)</f>
        <v>0</v>
      </c>
      <c r="Z704" s="2">
        <f>IFERROR(VLOOKUP(K704,'Rate Sheet'!$D:$F,3,FALSE),0)</f>
        <v>0</v>
      </c>
      <c r="AA704" s="2">
        <f t="shared" si="11"/>
        <v>8.6983333333333324</v>
      </c>
      <c r="AB704">
        <v>1</v>
      </c>
    </row>
    <row r="705" spans="1:28" x14ac:dyDescent="0.25">
      <c r="A705" t="s">
        <v>33</v>
      </c>
      <c r="B705" t="s">
        <v>2743</v>
      </c>
      <c r="C705" t="s">
        <v>21</v>
      </c>
      <c r="D705" t="s">
        <v>2743</v>
      </c>
      <c r="E705" t="s">
        <v>2744</v>
      </c>
      <c r="F705" t="s">
        <v>2745</v>
      </c>
      <c r="G705" t="s">
        <v>24</v>
      </c>
      <c r="H705" t="s">
        <v>2746</v>
      </c>
      <c r="I705" t="s">
        <v>46</v>
      </c>
      <c r="N705" t="s">
        <v>507</v>
      </c>
      <c r="S705" t="s">
        <v>48</v>
      </c>
      <c r="V705" t="s">
        <v>5645</v>
      </c>
      <c r="W705" t="s">
        <v>507</v>
      </c>
      <c r="X705" s="2">
        <f>IFERROR(VLOOKUP(I705,'Rate Sheet'!$D:$F,3,FALSE),0)</f>
        <v>14.333333333333334</v>
      </c>
      <c r="Y705" s="2">
        <f>IFERROR(VLOOKUP(J705,'Rate Sheet'!$D:$F,3,FALSE),0)</f>
        <v>0</v>
      </c>
      <c r="Z705" s="2">
        <f>IFERROR(VLOOKUP(K705,'Rate Sheet'!$D:$F,3,FALSE),0)</f>
        <v>0</v>
      </c>
      <c r="AA705" s="2">
        <f t="shared" si="11"/>
        <v>14.333333333333334</v>
      </c>
      <c r="AB705">
        <v>1</v>
      </c>
    </row>
    <row r="706" spans="1:28" x14ac:dyDescent="0.25">
      <c r="A706" t="s">
        <v>33</v>
      </c>
      <c r="B706" t="s">
        <v>2747</v>
      </c>
      <c r="C706" t="s">
        <v>21</v>
      </c>
      <c r="D706" t="s">
        <v>2747</v>
      </c>
      <c r="E706" t="s">
        <v>2748</v>
      </c>
      <c r="F706" t="s">
        <v>2749</v>
      </c>
      <c r="G706" t="s">
        <v>24</v>
      </c>
      <c r="H706" t="s">
        <v>2750</v>
      </c>
      <c r="I706" t="s">
        <v>46</v>
      </c>
      <c r="N706" t="s">
        <v>309</v>
      </c>
      <c r="S706" t="s">
        <v>48</v>
      </c>
      <c r="V706" t="s">
        <v>5586</v>
      </c>
      <c r="W706" t="s">
        <v>5587</v>
      </c>
      <c r="X706" s="2">
        <f>IFERROR(VLOOKUP(I706,'Rate Sheet'!$D:$F,3,FALSE),0)</f>
        <v>14.333333333333334</v>
      </c>
      <c r="Y706" s="2">
        <f>IFERROR(VLOOKUP(J706,'Rate Sheet'!$D:$F,3,FALSE),0)</f>
        <v>0</v>
      </c>
      <c r="Z706" s="2">
        <f>IFERROR(VLOOKUP(K706,'Rate Sheet'!$D:$F,3,FALSE),0)</f>
        <v>0</v>
      </c>
      <c r="AA706" s="2">
        <f t="shared" si="11"/>
        <v>14.333333333333334</v>
      </c>
      <c r="AB706">
        <v>1</v>
      </c>
    </row>
    <row r="707" spans="1:28" x14ac:dyDescent="0.25">
      <c r="A707" t="s">
        <v>33</v>
      </c>
      <c r="B707" t="s">
        <v>2751</v>
      </c>
      <c r="C707" t="s">
        <v>29</v>
      </c>
      <c r="D707" t="s">
        <v>2751</v>
      </c>
      <c r="E707" t="s">
        <v>660</v>
      </c>
      <c r="F707" t="s">
        <v>87</v>
      </c>
      <c r="G707" t="s">
        <v>24</v>
      </c>
      <c r="H707" t="s">
        <v>2752</v>
      </c>
      <c r="I707" t="s">
        <v>46</v>
      </c>
      <c r="N707" t="s">
        <v>246</v>
      </c>
      <c r="S707" t="s">
        <v>48</v>
      </c>
      <c r="V707" s="10" t="s">
        <v>5661</v>
      </c>
      <c r="W707" s="10" t="s">
        <v>246</v>
      </c>
      <c r="X707" s="2">
        <f>IFERROR(VLOOKUP(I707,'Rate Sheet'!$D:$F,3,FALSE),0)</f>
        <v>14.333333333333334</v>
      </c>
      <c r="Y707" s="2">
        <f>IFERROR(VLOOKUP(J707,'Rate Sheet'!$D:$F,3,FALSE),0)</f>
        <v>0</v>
      </c>
      <c r="Z707" s="2">
        <f>IFERROR(VLOOKUP(K707,'Rate Sheet'!$D:$F,3,FALSE),0)</f>
        <v>0</v>
      </c>
      <c r="AA707" s="2">
        <f t="shared" si="11"/>
        <v>14.333333333333334</v>
      </c>
      <c r="AB707">
        <v>1</v>
      </c>
    </row>
    <row r="708" spans="1:28" x14ac:dyDescent="0.25">
      <c r="A708" t="s">
        <v>33</v>
      </c>
      <c r="B708" t="s">
        <v>2753</v>
      </c>
      <c r="C708" t="s">
        <v>21</v>
      </c>
      <c r="D708" t="s">
        <v>2753</v>
      </c>
      <c r="E708" t="s">
        <v>1488</v>
      </c>
      <c r="F708" t="s">
        <v>295</v>
      </c>
      <c r="G708" t="s">
        <v>24</v>
      </c>
      <c r="H708" t="s">
        <v>2754</v>
      </c>
      <c r="I708" t="s">
        <v>46</v>
      </c>
      <c r="N708" t="s">
        <v>1152</v>
      </c>
      <c r="S708" t="s">
        <v>48</v>
      </c>
      <c r="V708" t="s">
        <v>5688</v>
      </c>
      <c r="W708" t="s">
        <v>1152</v>
      </c>
      <c r="X708" s="2">
        <f>IFERROR(VLOOKUP(I708,'Rate Sheet'!$D:$F,3,FALSE),0)</f>
        <v>14.333333333333334</v>
      </c>
      <c r="Y708" s="2">
        <f>IFERROR(VLOOKUP(J708,'Rate Sheet'!$D:$F,3,FALSE),0)</f>
        <v>0</v>
      </c>
      <c r="Z708" s="2">
        <f>IFERROR(VLOOKUP(K708,'Rate Sheet'!$D:$F,3,FALSE),0)</f>
        <v>0</v>
      </c>
      <c r="AA708" s="2">
        <f t="shared" si="11"/>
        <v>14.333333333333334</v>
      </c>
      <c r="AB708">
        <v>1</v>
      </c>
    </row>
    <row r="709" spans="1:28" x14ac:dyDescent="0.25">
      <c r="A709" t="s">
        <v>33</v>
      </c>
      <c r="B709" t="s">
        <v>2755</v>
      </c>
      <c r="C709" t="s">
        <v>21</v>
      </c>
      <c r="D709" t="s">
        <v>2755</v>
      </c>
      <c r="E709" t="s">
        <v>2527</v>
      </c>
      <c r="F709" t="s">
        <v>2756</v>
      </c>
      <c r="G709" t="s">
        <v>24</v>
      </c>
      <c r="H709" t="s">
        <v>2757</v>
      </c>
      <c r="N709" t="s">
        <v>2758</v>
      </c>
      <c r="X709" s="2">
        <f>IFERROR(VLOOKUP(I709,'Rate Sheet'!$D:$F,3,FALSE),0)</f>
        <v>0</v>
      </c>
      <c r="Y709" s="2">
        <f>IFERROR(VLOOKUP(J709,'Rate Sheet'!$D:$F,3,FALSE),0)</f>
        <v>0</v>
      </c>
      <c r="Z709" s="2">
        <f>IFERROR(VLOOKUP(K709,'Rate Sheet'!$D:$F,3,FALSE),0)</f>
        <v>0</v>
      </c>
      <c r="AA709" s="2">
        <f t="shared" si="11"/>
        <v>0</v>
      </c>
    </row>
    <row r="710" spans="1:28" x14ac:dyDescent="0.25">
      <c r="A710" t="s">
        <v>33</v>
      </c>
      <c r="B710" t="s">
        <v>2763</v>
      </c>
      <c r="C710" t="s">
        <v>21</v>
      </c>
      <c r="D710" t="s">
        <v>2764</v>
      </c>
      <c r="E710" t="s">
        <v>2765</v>
      </c>
      <c r="F710" t="s">
        <v>2766</v>
      </c>
      <c r="G710" t="s">
        <v>24</v>
      </c>
      <c r="H710" t="s">
        <v>2767</v>
      </c>
      <c r="I710" t="s">
        <v>46</v>
      </c>
      <c r="J710" t="s">
        <v>882</v>
      </c>
      <c r="K710" t="s">
        <v>5562</v>
      </c>
      <c r="N710" t="s">
        <v>119</v>
      </c>
      <c r="S710" t="s">
        <v>454</v>
      </c>
      <c r="V710" t="s">
        <v>5598</v>
      </c>
      <c r="W710" t="s">
        <v>119</v>
      </c>
      <c r="X710" s="2">
        <f>IFERROR(VLOOKUP(I710,'Rate Sheet'!$D:$F,3,FALSE),0)</f>
        <v>14.333333333333334</v>
      </c>
      <c r="Y710" s="2">
        <f>IFERROR(VLOOKUP(J710,'Rate Sheet'!$D:$F,3,FALSE),0)</f>
        <v>35.979166666666664</v>
      </c>
      <c r="Z710" s="2">
        <f>IFERROR(VLOOKUP(K710,'Rate Sheet'!$D:$F,3,FALSE),0)</f>
        <v>34.873750000000001</v>
      </c>
      <c r="AA710" s="2">
        <f t="shared" si="11"/>
        <v>85.186250000000001</v>
      </c>
      <c r="AB710">
        <v>1</v>
      </c>
    </row>
    <row r="711" spans="1:28" x14ac:dyDescent="0.25">
      <c r="A711" t="s">
        <v>33</v>
      </c>
      <c r="B711" t="s">
        <v>2768</v>
      </c>
      <c r="C711" t="s">
        <v>21</v>
      </c>
      <c r="D711" t="s">
        <v>2768</v>
      </c>
      <c r="E711" t="s">
        <v>284</v>
      </c>
      <c r="F711" t="s">
        <v>2769</v>
      </c>
      <c r="G711" t="s">
        <v>24</v>
      </c>
      <c r="H711" t="s">
        <v>2770</v>
      </c>
      <c r="I711" t="s">
        <v>73</v>
      </c>
      <c r="N711" t="s">
        <v>38</v>
      </c>
      <c r="S711" t="s">
        <v>75</v>
      </c>
      <c r="V711" t="s">
        <v>5582</v>
      </c>
      <c r="W711" t="s">
        <v>5583</v>
      </c>
      <c r="X711" s="2">
        <f>IFERROR(VLOOKUP(I711,'Rate Sheet'!$D:$F,3,FALSE),0)</f>
        <v>8.6983333333333324</v>
      </c>
      <c r="Y711" s="2">
        <f>IFERROR(VLOOKUP(J711,'Rate Sheet'!$D:$F,3,FALSE),0)</f>
        <v>0</v>
      </c>
      <c r="Z711" s="2">
        <f>IFERROR(VLOOKUP(K711,'Rate Sheet'!$D:$F,3,FALSE),0)</f>
        <v>0</v>
      </c>
      <c r="AA711" s="2">
        <f t="shared" si="11"/>
        <v>8.6983333333333324</v>
      </c>
      <c r="AB711">
        <v>1</v>
      </c>
    </row>
    <row r="712" spans="1:28" x14ac:dyDescent="0.25">
      <c r="A712" t="s">
        <v>33</v>
      </c>
      <c r="B712" t="s">
        <v>2771</v>
      </c>
      <c r="C712" t="s">
        <v>21</v>
      </c>
      <c r="D712" t="s">
        <v>2772</v>
      </c>
      <c r="E712" t="s">
        <v>2773</v>
      </c>
      <c r="F712" t="s">
        <v>2774</v>
      </c>
      <c r="G712" t="s">
        <v>24</v>
      </c>
      <c r="H712" t="s">
        <v>2775</v>
      </c>
      <c r="N712" t="s">
        <v>803</v>
      </c>
      <c r="X712" s="2">
        <f>IFERROR(VLOOKUP(I712,'Rate Sheet'!$D:$F,3,FALSE),0)</f>
        <v>0</v>
      </c>
      <c r="Y712" s="2">
        <f>IFERROR(VLOOKUP(J712,'Rate Sheet'!$D:$F,3,FALSE),0)</f>
        <v>0</v>
      </c>
      <c r="Z712" s="2">
        <f>IFERROR(VLOOKUP(K712,'Rate Sheet'!$D:$F,3,FALSE),0)</f>
        <v>0</v>
      </c>
      <c r="AA712" s="2">
        <f t="shared" si="11"/>
        <v>0</v>
      </c>
    </row>
    <row r="713" spans="1:28" x14ac:dyDescent="0.25">
      <c r="A713" t="s">
        <v>33</v>
      </c>
      <c r="B713" t="s">
        <v>2776</v>
      </c>
      <c r="C713" t="s">
        <v>21</v>
      </c>
      <c r="D713" t="s">
        <v>2776</v>
      </c>
      <c r="E713" t="s">
        <v>2777</v>
      </c>
      <c r="F713" t="s">
        <v>2778</v>
      </c>
      <c r="G713" t="s">
        <v>24</v>
      </c>
      <c r="H713" t="s">
        <v>2779</v>
      </c>
      <c r="N713" t="s">
        <v>2780</v>
      </c>
      <c r="X713" s="2">
        <f>IFERROR(VLOOKUP(I713,'Rate Sheet'!$D:$F,3,FALSE),0)</f>
        <v>0</v>
      </c>
      <c r="Y713" s="2">
        <f>IFERROR(VLOOKUP(J713,'Rate Sheet'!$D:$F,3,FALSE),0)</f>
        <v>0</v>
      </c>
      <c r="Z713" s="2">
        <f>IFERROR(VLOOKUP(K713,'Rate Sheet'!$D:$F,3,FALSE),0)</f>
        <v>0</v>
      </c>
      <c r="AA713" s="2">
        <f t="shared" si="11"/>
        <v>0</v>
      </c>
    </row>
    <row r="714" spans="1:28" x14ac:dyDescent="0.25">
      <c r="A714" t="s">
        <v>33</v>
      </c>
      <c r="B714" t="s">
        <v>2781</v>
      </c>
      <c r="C714" t="s">
        <v>21</v>
      </c>
      <c r="D714" t="s">
        <v>2781</v>
      </c>
      <c r="E714" t="s">
        <v>380</v>
      </c>
      <c r="F714" t="s">
        <v>2782</v>
      </c>
      <c r="G714" t="s">
        <v>24</v>
      </c>
      <c r="H714" t="s">
        <v>2783</v>
      </c>
      <c r="I714" t="s">
        <v>73</v>
      </c>
      <c r="N714" t="s">
        <v>85</v>
      </c>
      <c r="S714" t="s">
        <v>75</v>
      </c>
      <c r="V714" t="s">
        <v>5590</v>
      </c>
      <c r="W714" t="s">
        <v>85</v>
      </c>
      <c r="X714" s="2">
        <f>IFERROR(VLOOKUP(I714,'Rate Sheet'!$D:$F,3,FALSE),0)</f>
        <v>8.6983333333333324</v>
      </c>
      <c r="Y714" s="2">
        <f>IFERROR(VLOOKUP(J714,'Rate Sheet'!$D:$F,3,FALSE),0)</f>
        <v>0</v>
      </c>
      <c r="Z714" s="2">
        <f>IFERROR(VLOOKUP(K714,'Rate Sheet'!$D:$F,3,FALSE),0)</f>
        <v>0</v>
      </c>
      <c r="AA714" s="2">
        <f t="shared" si="11"/>
        <v>8.6983333333333324</v>
      </c>
      <c r="AB714">
        <v>1</v>
      </c>
    </row>
    <row r="715" spans="1:28" x14ac:dyDescent="0.25">
      <c r="A715" t="s">
        <v>33</v>
      </c>
      <c r="B715" t="s">
        <v>2784</v>
      </c>
      <c r="C715" t="s">
        <v>21</v>
      </c>
      <c r="D715" t="s">
        <v>2784</v>
      </c>
      <c r="E715" t="s">
        <v>2785</v>
      </c>
      <c r="F715" t="s">
        <v>285</v>
      </c>
      <c r="G715" t="s">
        <v>24</v>
      </c>
      <c r="H715" t="s">
        <v>2786</v>
      </c>
      <c r="I715" t="s">
        <v>46</v>
      </c>
      <c r="N715" t="s">
        <v>543</v>
      </c>
      <c r="S715" t="s">
        <v>48</v>
      </c>
      <c r="V715" t="s">
        <v>5715</v>
      </c>
      <c r="W715" t="s">
        <v>5716</v>
      </c>
      <c r="X715" s="2">
        <f>IFERROR(VLOOKUP(I715,'Rate Sheet'!$D:$F,3,FALSE),0)</f>
        <v>14.333333333333334</v>
      </c>
      <c r="Y715" s="2">
        <f>IFERROR(VLOOKUP(J715,'Rate Sheet'!$D:$F,3,FALSE),0)</f>
        <v>0</v>
      </c>
      <c r="Z715" s="2">
        <f>IFERROR(VLOOKUP(K715,'Rate Sheet'!$D:$F,3,FALSE),0)</f>
        <v>0</v>
      </c>
      <c r="AA715" s="2">
        <f t="shared" si="11"/>
        <v>14.333333333333334</v>
      </c>
      <c r="AB715">
        <v>1</v>
      </c>
    </row>
    <row r="716" spans="1:28" x14ac:dyDescent="0.25">
      <c r="A716" t="s">
        <v>33</v>
      </c>
      <c r="B716" t="s">
        <v>2787</v>
      </c>
      <c r="C716" t="s">
        <v>21</v>
      </c>
      <c r="D716" t="s">
        <v>2787</v>
      </c>
      <c r="E716" t="s">
        <v>1929</v>
      </c>
      <c r="F716" t="s">
        <v>2788</v>
      </c>
      <c r="G716" t="s">
        <v>24</v>
      </c>
      <c r="H716" t="s">
        <v>2789</v>
      </c>
      <c r="I716" t="s">
        <v>73</v>
      </c>
      <c r="N716" t="s">
        <v>63</v>
      </c>
      <c r="S716" t="s">
        <v>75</v>
      </c>
      <c r="V716" t="s">
        <v>5584</v>
      </c>
      <c r="W716" t="s">
        <v>63</v>
      </c>
      <c r="X716" s="2">
        <f>IFERROR(VLOOKUP(I716,'Rate Sheet'!$D:$F,3,FALSE),0)</f>
        <v>8.6983333333333324</v>
      </c>
      <c r="Y716" s="2">
        <f>IFERROR(VLOOKUP(J716,'Rate Sheet'!$D:$F,3,FALSE),0)</f>
        <v>0</v>
      </c>
      <c r="Z716" s="2">
        <f>IFERROR(VLOOKUP(K716,'Rate Sheet'!$D:$F,3,FALSE),0)</f>
        <v>0</v>
      </c>
      <c r="AA716" s="2">
        <f t="shared" si="11"/>
        <v>8.6983333333333324</v>
      </c>
      <c r="AB716">
        <v>1</v>
      </c>
    </row>
    <row r="717" spans="1:28" x14ac:dyDescent="0.25">
      <c r="A717" t="s">
        <v>33</v>
      </c>
      <c r="B717" t="s">
        <v>2790</v>
      </c>
      <c r="C717" t="s">
        <v>21</v>
      </c>
      <c r="D717" t="s">
        <v>2790</v>
      </c>
      <c r="E717" t="s">
        <v>1766</v>
      </c>
      <c r="F717" t="s">
        <v>2791</v>
      </c>
      <c r="G717" t="s">
        <v>24</v>
      </c>
      <c r="H717" t="s">
        <v>2792</v>
      </c>
      <c r="I717" t="s">
        <v>46</v>
      </c>
      <c r="N717" t="s">
        <v>63</v>
      </c>
      <c r="S717" t="s">
        <v>48</v>
      </c>
      <c r="V717" t="s">
        <v>5584</v>
      </c>
      <c r="W717" t="s">
        <v>63</v>
      </c>
      <c r="X717" s="2">
        <f>IFERROR(VLOOKUP(I717,'Rate Sheet'!$D:$F,3,FALSE),0)</f>
        <v>14.333333333333334</v>
      </c>
      <c r="Y717" s="2">
        <f>IFERROR(VLOOKUP(J717,'Rate Sheet'!$D:$F,3,FALSE),0)</f>
        <v>0</v>
      </c>
      <c r="Z717" s="2">
        <f>IFERROR(VLOOKUP(K717,'Rate Sheet'!$D:$F,3,FALSE),0)</f>
        <v>0</v>
      </c>
      <c r="AA717" s="2">
        <f t="shared" si="11"/>
        <v>14.333333333333334</v>
      </c>
      <c r="AB717">
        <v>1</v>
      </c>
    </row>
    <row r="718" spans="1:28" x14ac:dyDescent="0.25">
      <c r="A718" t="s">
        <v>33</v>
      </c>
      <c r="B718" t="s">
        <v>2793</v>
      </c>
      <c r="C718" t="s">
        <v>21</v>
      </c>
      <c r="D718" t="s">
        <v>2793</v>
      </c>
      <c r="E718" t="s">
        <v>2794</v>
      </c>
      <c r="F718" t="s">
        <v>2795</v>
      </c>
      <c r="G718" t="s">
        <v>24</v>
      </c>
      <c r="H718" t="s">
        <v>2796</v>
      </c>
      <c r="I718" t="s">
        <v>46</v>
      </c>
      <c r="N718" t="s">
        <v>1184</v>
      </c>
      <c r="S718" t="s">
        <v>48</v>
      </c>
      <c r="V718" t="s">
        <v>5653</v>
      </c>
      <c r="W718" t="s">
        <v>5654</v>
      </c>
      <c r="X718" s="2">
        <f>IFERROR(VLOOKUP(I718,'Rate Sheet'!$D:$F,3,FALSE),0)</f>
        <v>14.333333333333334</v>
      </c>
      <c r="Y718" s="2">
        <f>IFERROR(VLOOKUP(J718,'Rate Sheet'!$D:$F,3,FALSE),0)</f>
        <v>0</v>
      </c>
      <c r="Z718" s="2">
        <f>IFERROR(VLOOKUP(K718,'Rate Sheet'!$D:$F,3,FALSE),0)</f>
        <v>0</v>
      </c>
      <c r="AA718" s="2">
        <f t="shared" si="11"/>
        <v>14.333333333333334</v>
      </c>
      <c r="AB718">
        <v>1</v>
      </c>
    </row>
    <row r="719" spans="1:28" x14ac:dyDescent="0.25">
      <c r="A719" t="s">
        <v>33</v>
      </c>
      <c r="B719" t="s">
        <v>2797</v>
      </c>
      <c r="C719" t="s">
        <v>21</v>
      </c>
      <c r="D719" t="s">
        <v>2797</v>
      </c>
      <c r="E719" t="s">
        <v>2798</v>
      </c>
      <c r="F719" t="s">
        <v>2799</v>
      </c>
      <c r="G719" t="s">
        <v>24</v>
      </c>
      <c r="H719" t="s">
        <v>2800</v>
      </c>
      <c r="I719" t="s">
        <v>46</v>
      </c>
      <c r="N719" t="s">
        <v>2801</v>
      </c>
      <c r="S719" t="s">
        <v>48</v>
      </c>
      <c r="V719" t="s">
        <v>5717</v>
      </c>
      <c r="W719" t="s">
        <v>2801</v>
      </c>
      <c r="X719" s="2">
        <f>IFERROR(VLOOKUP(I719,'Rate Sheet'!$D:$F,3,FALSE),0)</f>
        <v>14.333333333333334</v>
      </c>
      <c r="Y719" s="2">
        <f>IFERROR(VLOOKUP(J719,'Rate Sheet'!$D:$F,3,FALSE),0)</f>
        <v>0</v>
      </c>
      <c r="Z719" s="2">
        <f>IFERROR(VLOOKUP(K719,'Rate Sheet'!$D:$F,3,FALSE),0)</f>
        <v>0</v>
      </c>
      <c r="AA719" s="2">
        <f t="shared" si="11"/>
        <v>14.333333333333334</v>
      </c>
      <c r="AB719">
        <v>1</v>
      </c>
    </row>
    <row r="720" spans="1:28" x14ac:dyDescent="0.25">
      <c r="A720" t="s">
        <v>33</v>
      </c>
      <c r="B720" t="s">
        <v>2802</v>
      </c>
      <c r="C720" t="s">
        <v>21</v>
      </c>
      <c r="D720" t="s">
        <v>2802</v>
      </c>
      <c r="E720" t="s">
        <v>2803</v>
      </c>
      <c r="F720" t="s">
        <v>2804</v>
      </c>
      <c r="G720" t="s">
        <v>24</v>
      </c>
      <c r="H720" t="s">
        <v>2805</v>
      </c>
      <c r="I720" t="s">
        <v>46</v>
      </c>
      <c r="N720" t="s">
        <v>2806</v>
      </c>
      <c r="S720" t="s">
        <v>48</v>
      </c>
      <c r="V720" t="s">
        <v>5729</v>
      </c>
      <c r="W720" t="s">
        <v>5730</v>
      </c>
      <c r="X720" s="2">
        <f>IFERROR(VLOOKUP(I720,'Rate Sheet'!$D:$F,3,FALSE),0)</f>
        <v>14.333333333333334</v>
      </c>
      <c r="Y720" s="2">
        <f>IFERROR(VLOOKUP(J720,'Rate Sheet'!$D:$F,3,FALSE),0)</f>
        <v>0</v>
      </c>
      <c r="Z720" s="2">
        <f>IFERROR(VLOOKUP(K720,'Rate Sheet'!$D:$F,3,FALSE),0)</f>
        <v>0</v>
      </c>
      <c r="AA720" s="2">
        <f t="shared" si="11"/>
        <v>14.333333333333334</v>
      </c>
      <c r="AB720">
        <v>1</v>
      </c>
    </row>
    <row r="721" spans="1:28" x14ac:dyDescent="0.25">
      <c r="A721" t="s">
        <v>33</v>
      </c>
      <c r="B721" t="s">
        <v>2807</v>
      </c>
      <c r="C721" t="s">
        <v>29</v>
      </c>
      <c r="D721" t="s">
        <v>2807</v>
      </c>
      <c r="E721" t="s">
        <v>2808</v>
      </c>
      <c r="F721" t="s">
        <v>2809</v>
      </c>
      <c r="G721" t="s">
        <v>24</v>
      </c>
      <c r="H721" t="s">
        <v>2810</v>
      </c>
      <c r="I721" t="s">
        <v>46</v>
      </c>
      <c r="N721" t="s">
        <v>601</v>
      </c>
      <c r="S721" t="s">
        <v>48</v>
      </c>
      <c r="V721" t="s">
        <v>5695</v>
      </c>
      <c r="W721" t="s">
        <v>601</v>
      </c>
      <c r="X721" s="2">
        <f>IFERROR(VLOOKUP(I721,'Rate Sheet'!$D:$F,3,FALSE),0)</f>
        <v>14.333333333333334</v>
      </c>
      <c r="Y721" s="2">
        <f>IFERROR(VLOOKUP(J721,'Rate Sheet'!$D:$F,3,FALSE),0)</f>
        <v>0</v>
      </c>
      <c r="Z721" s="2">
        <f>IFERROR(VLOOKUP(K721,'Rate Sheet'!$D:$F,3,FALSE),0)</f>
        <v>0</v>
      </c>
      <c r="AA721" s="2">
        <f t="shared" si="11"/>
        <v>14.333333333333334</v>
      </c>
      <c r="AB721">
        <v>1</v>
      </c>
    </row>
    <row r="722" spans="1:28" x14ac:dyDescent="0.25">
      <c r="A722" t="s">
        <v>33</v>
      </c>
      <c r="B722" t="s">
        <v>2811</v>
      </c>
      <c r="C722" t="s">
        <v>29</v>
      </c>
      <c r="D722" t="s">
        <v>2812</v>
      </c>
      <c r="E722" t="s">
        <v>2813</v>
      </c>
      <c r="F722" t="s">
        <v>2814</v>
      </c>
      <c r="G722" t="s">
        <v>24</v>
      </c>
      <c r="H722" t="s">
        <v>2815</v>
      </c>
      <c r="I722" t="s">
        <v>46</v>
      </c>
      <c r="J722" t="s">
        <v>5562</v>
      </c>
      <c r="K722" t="s">
        <v>5563</v>
      </c>
      <c r="N722" t="s">
        <v>1389</v>
      </c>
      <c r="S722" t="s">
        <v>2817</v>
      </c>
      <c r="V722" t="s">
        <v>5698</v>
      </c>
      <c r="W722" t="s">
        <v>1389</v>
      </c>
      <c r="X722" s="2">
        <f>IFERROR(VLOOKUP(I722,'Rate Sheet'!$D:$F,3,FALSE),0)</f>
        <v>14.333333333333334</v>
      </c>
      <c r="Y722" s="2">
        <f>IFERROR(VLOOKUP(J722,'Rate Sheet'!$D:$F,3,FALSE),0)</f>
        <v>34.873750000000001</v>
      </c>
      <c r="Z722" s="2">
        <f>IFERROR(VLOOKUP(K722,'Rate Sheet'!$D:$F,3,FALSE),0)</f>
        <v>29.061666666666667</v>
      </c>
      <c r="AA722" s="2">
        <f t="shared" si="11"/>
        <v>78.268750000000011</v>
      </c>
      <c r="AB722">
        <v>1</v>
      </c>
    </row>
    <row r="723" spans="1:28" x14ac:dyDescent="0.25">
      <c r="A723" t="s">
        <v>33</v>
      </c>
      <c r="B723" t="s">
        <v>2818</v>
      </c>
      <c r="C723" t="s">
        <v>21</v>
      </c>
      <c r="D723" t="s">
        <v>2818</v>
      </c>
      <c r="E723" t="s">
        <v>2819</v>
      </c>
      <c r="F723" t="s">
        <v>2820</v>
      </c>
      <c r="G723" t="s">
        <v>24</v>
      </c>
      <c r="H723" t="s">
        <v>2821</v>
      </c>
      <c r="I723" t="s">
        <v>46</v>
      </c>
      <c r="N723" t="s">
        <v>415</v>
      </c>
      <c r="S723" t="s">
        <v>48</v>
      </c>
      <c r="V723" t="s">
        <v>5635</v>
      </c>
      <c r="W723" t="s">
        <v>415</v>
      </c>
      <c r="X723" s="2">
        <f>IFERROR(VLOOKUP(I723,'Rate Sheet'!$D:$F,3,FALSE),0)</f>
        <v>14.333333333333334</v>
      </c>
      <c r="Y723" s="2">
        <f>IFERROR(VLOOKUP(J723,'Rate Sheet'!$D:$F,3,FALSE),0)</f>
        <v>0</v>
      </c>
      <c r="Z723" s="2">
        <f>IFERROR(VLOOKUP(K723,'Rate Sheet'!$D:$F,3,FALSE),0)</f>
        <v>0</v>
      </c>
      <c r="AA723" s="2">
        <f t="shared" si="11"/>
        <v>14.333333333333334</v>
      </c>
      <c r="AB723">
        <v>1</v>
      </c>
    </row>
    <row r="724" spans="1:28" x14ac:dyDescent="0.25">
      <c r="A724" t="s">
        <v>33</v>
      </c>
      <c r="B724" t="s">
        <v>2822</v>
      </c>
      <c r="C724" t="s">
        <v>21</v>
      </c>
      <c r="D724" t="s">
        <v>2822</v>
      </c>
      <c r="E724" t="s">
        <v>2823</v>
      </c>
      <c r="F724" t="s">
        <v>2824</v>
      </c>
      <c r="G724" t="s">
        <v>24</v>
      </c>
      <c r="H724" t="s">
        <v>2825</v>
      </c>
      <c r="I724" t="s">
        <v>46</v>
      </c>
      <c r="N724" t="s">
        <v>2826</v>
      </c>
      <c r="S724" t="s">
        <v>48</v>
      </c>
      <c r="V724" t="s">
        <v>5731</v>
      </c>
      <c r="W724" t="s">
        <v>5732</v>
      </c>
      <c r="X724" s="2">
        <f>IFERROR(VLOOKUP(I724,'Rate Sheet'!$D:$F,3,FALSE),0)</f>
        <v>14.333333333333334</v>
      </c>
      <c r="Y724" s="2">
        <f>IFERROR(VLOOKUP(J724,'Rate Sheet'!$D:$F,3,FALSE),0)</f>
        <v>0</v>
      </c>
      <c r="Z724" s="2">
        <f>IFERROR(VLOOKUP(K724,'Rate Sheet'!$D:$F,3,FALSE),0)</f>
        <v>0</v>
      </c>
      <c r="AA724" s="2">
        <f t="shared" si="11"/>
        <v>14.333333333333334</v>
      </c>
      <c r="AB724">
        <v>1</v>
      </c>
    </row>
    <row r="725" spans="1:28" x14ac:dyDescent="0.25">
      <c r="A725" t="s">
        <v>33</v>
      </c>
      <c r="B725" t="s">
        <v>2827</v>
      </c>
      <c r="C725" t="s">
        <v>29</v>
      </c>
      <c r="D725" t="s">
        <v>2827</v>
      </c>
      <c r="E725" t="s">
        <v>1946</v>
      </c>
      <c r="F725" t="s">
        <v>2828</v>
      </c>
      <c r="G725" t="s">
        <v>24</v>
      </c>
      <c r="H725" t="s">
        <v>2829</v>
      </c>
      <c r="I725" t="s">
        <v>46</v>
      </c>
      <c r="N725" t="s">
        <v>246</v>
      </c>
      <c r="S725" t="s">
        <v>48</v>
      </c>
      <c r="V725" t="s">
        <v>5661</v>
      </c>
      <c r="W725" t="s">
        <v>246</v>
      </c>
      <c r="X725" s="2">
        <f>IFERROR(VLOOKUP(I725,'Rate Sheet'!$D:$F,3,FALSE),0)</f>
        <v>14.333333333333334</v>
      </c>
      <c r="Y725" s="2">
        <f>IFERROR(VLOOKUP(J725,'Rate Sheet'!$D:$F,3,FALSE),0)</f>
        <v>0</v>
      </c>
      <c r="Z725" s="2">
        <f>IFERROR(VLOOKUP(K725,'Rate Sheet'!$D:$F,3,FALSE),0)</f>
        <v>0</v>
      </c>
      <c r="AA725" s="2">
        <f t="shared" si="11"/>
        <v>14.333333333333334</v>
      </c>
      <c r="AB725">
        <v>1</v>
      </c>
    </row>
    <row r="726" spans="1:28" x14ac:dyDescent="0.25">
      <c r="A726" t="s">
        <v>33</v>
      </c>
      <c r="B726" t="s">
        <v>2830</v>
      </c>
      <c r="C726" t="s">
        <v>21</v>
      </c>
      <c r="D726" t="s">
        <v>2830</v>
      </c>
      <c r="E726" t="s">
        <v>2831</v>
      </c>
      <c r="F726" t="s">
        <v>2832</v>
      </c>
      <c r="G726" t="s">
        <v>24</v>
      </c>
      <c r="H726" t="s">
        <v>2833</v>
      </c>
      <c r="I726" t="s">
        <v>46</v>
      </c>
      <c r="N726" t="s">
        <v>53</v>
      </c>
      <c r="S726" t="s">
        <v>48</v>
      </c>
      <c r="V726" t="s">
        <v>5640</v>
      </c>
      <c r="W726" t="s">
        <v>5641</v>
      </c>
      <c r="X726" s="2">
        <f>IFERROR(VLOOKUP(I726,'Rate Sheet'!$D:$F,3,FALSE),0)</f>
        <v>14.333333333333334</v>
      </c>
      <c r="Y726" s="2">
        <f>IFERROR(VLOOKUP(J726,'Rate Sheet'!$D:$F,3,FALSE),0)</f>
        <v>0</v>
      </c>
      <c r="Z726" s="2">
        <f>IFERROR(VLOOKUP(K726,'Rate Sheet'!$D:$F,3,FALSE),0)</f>
        <v>0</v>
      </c>
      <c r="AA726" s="2">
        <f t="shared" si="11"/>
        <v>14.333333333333334</v>
      </c>
      <c r="AB726">
        <v>1</v>
      </c>
    </row>
    <row r="727" spans="1:28" x14ac:dyDescent="0.25">
      <c r="A727" t="s">
        <v>33</v>
      </c>
      <c r="B727" t="s">
        <v>2834</v>
      </c>
      <c r="C727" t="s">
        <v>21</v>
      </c>
      <c r="D727" t="s">
        <v>2835</v>
      </c>
      <c r="E727" t="s">
        <v>2836</v>
      </c>
      <c r="F727" t="s">
        <v>2837</v>
      </c>
      <c r="G727" t="s">
        <v>24</v>
      </c>
      <c r="H727" t="s">
        <v>2838</v>
      </c>
      <c r="N727" t="s">
        <v>861</v>
      </c>
      <c r="X727" s="2">
        <f>IFERROR(VLOOKUP(I727,'Rate Sheet'!$D:$F,3,FALSE),0)</f>
        <v>0</v>
      </c>
      <c r="Y727" s="2">
        <f>IFERROR(VLOOKUP(J727,'Rate Sheet'!$D:$F,3,FALSE),0)</f>
        <v>0</v>
      </c>
      <c r="Z727" s="2">
        <f>IFERROR(VLOOKUP(K727,'Rate Sheet'!$D:$F,3,FALSE),0)</f>
        <v>0</v>
      </c>
      <c r="AA727" s="2">
        <f t="shared" si="11"/>
        <v>0</v>
      </c>
    </row>
    <row r="728" spans="1:28" x14ac:dyDescent="0.25">
      <c r="A728" t="s">
        <v>33</v>
      </c>
      <c r="B728" t="s">
        <v>2839</v>
      </c>
      <c r="C728" t="s">
        <v>21</v>
      </c>
      <c r="D728" t="s">
        <v>2839</v>
      </c>
      <c r="E728" t="s">
        <v>2840</v>
      </c>
      <c r="F728" t="s">
        <v>2841</v>
      </c>
      <c r="G728" t="s">
        <v>24</v>
      </c>
      <c r="H728" t="s">
        <v>2842</v>
      </c>
      <c r="N728" t="s">
        <v>246</v>
      </c>
      <c r="X728" s="2">
        <f>IFERROR(VLOOKUP(I728,'Rate Sheet'!$D:$F,3,FALSE),0)</f>
        <v>0</v>
      </c>
      <c r="Y728" s="2">
        <f>IFERROR(VLOOKUP(J728,'Rate Sheet'!$D:$F,3,FALSE),0)</f>
        <v>0</v>
      </c>
      <c r="Z728" s="2">
        <f>IFERROR(VLOOKUP(K728,'Rate Sheet'!$D:$F,3,FALSE),0)</f>
        <v>0</v>
      </c>
      <c r="AA728" s="2">
        <f t="shared" si="11"/>
        <v>0</v>
      </c>
    </row>
    <row r="729" spans="1:28" x14ac:dyDescent="0.25">
      <c r="A729" t="s">
        <v>33</v>
      </c>
      <c r="B729" t="s">
        <v>2843</v>
      </c>
      <c r="C729" t="s">
        <v>21</v>
      </c>
      <c r="D729" t="s">
        <v>2844</v>
      </c>
      <c r="E729" t="s">
        <v>275</v>
      </c>
      <c r="F729" t="s">
        <v>2845</v>
      </c>
      <c r="G729" t="s">
        <v>24</v>
      </c>
      <c r="H729" t="s">
        <v>2846</v>
      </c>
      <c r="I729" t="s">
        <v>46</v>
      </c>
      <c r="N729" t="s">
        <v>389</v>
      </c>
      <c r="S729" t="s">
        <v>48</v>
      </c>
      <c r="V729" t="s">
        <v>5640</v>
      </c>
      <c r="W729" t="s">
        <v>5641</v>
      </c>
      <c r="X729" s="2">
        <f>IFERROR(VLOOKUP(I729,'Rate Sheet'!$D:$F,3,FALSE),0)</f>
        <v>14.333333333333334</v>
      </c>
      <c r="Y729" s="2">
        <f>IFERROR(VLOOKUP(J729,'Rate Sheet'!$D:$F,3,FALSE),0)</f>
        <v>0</v>
      </c>
      <c r="Z729" s="2">
        <f>IFERROR(VLOOKUP(K729,'Rate Sheet'!$D:$F,3,FALSE),0)</f>
        <v>0</v>
      </c>
      <c r="AA729" s="2">
        <f t="shared" si="11"/>
        <v>14.333333333333334</v>
      </c>
      <c r="AB729">
        <v>1</v>
      </c>
    </row>
    <row r="730" spans="1:28" x14ac:dyDescent="0.25">
      <c r="A730" t="s">
        <v>33</v>
      </c>
      <c r="B730" t="s">
        <v>2847</v>
      </c>
      <c r="C730" t="s">
        <v>29</v>
      </c>
      <c r="D730" t="s">
        <v>2847</v>
      </c>
      <c r="E730" t="s">
        <v>2848</v>
      </c>
      <c r="F730" t="s">
        <v>2849</v>
      </c>
      <c r="G730" t="s">
        <v>24</v>
      </c>
      <c r="H730" t="s">
        <v>2850</v>
      </c>
      <c r="N730" t="s">
        <v>2851</v>
      </c>
      <c r="X730" s="2">
        <f>IFERROR(VLOOKUP(I730,'Rate Sheet'!$D:$F,3,FALSE),0)</f>
        <v>0</v>
      </c>
      <c r="Y730" s="2">
        <f>IFERROR(VLOOKUP(J730,'Rate Sheet'!$D:$F,3,FALSE),0)</f>
        <v>0</v>
      </c>
      <c r="Z730" s="2">
        <f>IFERROR(VLOOKUP(K730,'Rate Sheet'!$D:$F,3,FALSE),0)</f>
        <v>0</v>
      </c>
      <c r="AA730" s="2">
        <f t="shared" si="11"/>
        <v>0</v>
      </c>
    </row>
    <row r="731" spans="1:28" x14ac:dyDescent="0.25">
      <c r="A731" t="s">
        <v>33</v>
      </c>
      <c r="B731" t="s">
        <v>2852</v>
      </c>
      <c r="C731" t="s">
        <v>21</v>
      </c>
      <c r="D731" t="s">
        <v>2852</v>
      </c>
      <c r="E731" t="s">
        <v>2853</v>
      </c>
      <c r="F731" t="s">
        <v>2854</v>
      </c>
      <c r="G731" t="s">
        <v>24</v>
      </c>
      <c r="H731" t="s">
        <v>2855</v>
      </c>
      <c r="I731" t="s">
        <v>46</v>
      </c>
      <c r="N731" t="s">
        <v>74</v>
      </c>
      <c r="S731" t="s">
        <v>48</v>
      </c>
      <c r="V731" t="s">
        <v>5586</v>
      </c>
      <c r="W731" t="s">
        <v>5587</v>
      </c>
      <c r="X731" s="2">
        <f>IFERROR(VLOOKUP(I731,'Rate Sheet'!$D:$F,3,FALSE),0)</f>
        <v>14.333333333333334</v>
      </c>
      <c r="Y731" s="2">
        <f>IFERROR(VLOOKUP(J731,'Rate Sheet'!$D:$F,3,FALSE),0)</f>
        <v>0</v>
      </c>
      <c r="Z731" s="2">
        <f>IFERROR(VLOOKUP(K731,'Rate Sheet'!$D:$F,3,FALSE),0)</f>
        <v>0</v>
      </c>
      <c r="AA731" s="2">
        <f t="shared" si="11"/>
        <v>14.333333333333334</v>
      </c>
      <c r="AB731">
        <v>1</v>
      </c>
    </row>
    <row r="732" spans="1:28" x14ac:dyDescent="0.25">
      <c r="A732" t="s">
        <v>33</v>
      </c>
      <c r="B732" t="s">
        <v>2856</v>
      </c>
      <c r="C732" t="s">
        <v>92</v>
      </c>
      <c r="D732" t="s">
        <v>2856</v>
      </c>
      <c r="E732" t="s">
        <v>699</v>
      </c>
      <c r="F732" t="s">
        <v>2857</v>
      </c>
      <c r="G732" t="s">
        <v>24</v>
      </c>
      <c r="H732" t="s">
        <v>2858</v>
      </c>
      <c r="I732" t="s">
        <v>46</v>
      </c>
      <c r="N732" t="s">
        <v>1577</v>
      </c>
      <c r="S732" t="s">
        <v>48</v>
      </c>
      <c r="V732" t="s">
        <v>5705</v>
      </c>
      <c r="W732" t="s">
        <v>1577</v>
      </c>
      <c r="X732" s="2">
        <f>IFERROR(VLOOKUP(I732,'Rate Sheet'!$D:$F,3,FALSE),0)</f>
        <v>14.333333333333334</v>
      </c>
      <c r="Y732" s="2">
        <f>IFERROR(VLOOKUP(J732,'Rate Sheet'!$D:$F,3,FALSE),0)</f>
        <v>0</v>
      </c>
      <c r="Z732" s="2">
        <f>IFERROR(VLOOKUP(K732,'Rate Sheet'!$D:$F,3,FALSE),0)</f>
        <v>0</v>
      </c>
      <c r="AA732" s="2">
        <f t="shared" si="11"/>
        <v>14.333333333333334</v>
      </c>
      <c r="AB732">
        <v>1</v>
      </c>
    </row>
    <row r="733" spans="1:28" x14ac:dyDescent="0.25">
      <c r="A733" t="s">
        <v>33</v>
      </c>
      <c r="B733" t="s">
        <v>2859</v>
      </c>
      <c r="C733" t="s">
        <v>21</v>
      </c>
      <c r="D733" t="s">
        <v>2860</v>
      </c>
      <c r="E733" t="s">
        <v>660</v>
      </c>
      <c r="F733" t="s">
        <v>2861</v>
      </c>
      <c r="G733" t="s">
        <v>24</v>
      </c>
      <c r="H733" t="s">
        <v>2862</v>
      </c>
      <c r="N733" t="s">
        <v>190</v>
      </c>
      <c r="X733" s="2">
        <f>IFERROR(VLOOKUP(I733,'Rate Sheet'!$D:$F,3,FALSE),0)</f>
        <v>0</v>
      </c>
      <c r="Y733" s="2">
        <f>IFERROR(VLOOKUP(J733,'Rate Sheet'!$D:$F,3,FALSE),0)</f>
        <v>0</v>
      </c>
      <c r="Z733" s="2">
        <f>IFERROR(VLOOKUP(K733,'Rate Sheet'!$D:$F,3,FALSE),0)</f>
        <v>0</v>
      </c>
      <c r="AA733" s="2">
        <f t="shared" si="11"/>
        <v>0</v>
      </c>
    </row>
    <row r="734" spans="1:28" x14ac:dyDescent="0.25">
      <c r="A734" t="s">
        <v>33</v>
      </c>
      <c r="B734" t="s">
        <v>2863</v>
      </c>
      <c r="C734" t="s">
        <v>21</v>
      </c>
      <c r="D734" t="s">
        <v>2863</v>
      </c>
      <c r="E734" t="s">
        <v>2864</v>
      </c>
      <c r="F734" t="s">
        <v>2865</v>
      </c>
      <c r="G734" t="s">
        <v>24</v>
      </c>
      <c r="H734" t="s">
        <v>2866</v>
      </c>
      <c r="I734" t="s">
        <v>46</v>
      </c>
      <c r="N734" t="s">
        <v>389</v>
      </c>
      <c r="S734" t="s">
        <v>48</v>
      </c>
      <c r="V734" t="s">
        <v>5640</v>
      </c>
      <c r="W734" t="s">
        <v>5641</v>
      </c>
      <c r="X734" s="2">
        <f>IFERROR(VLOOKUP(I734,'Rate Sheet'!$D:$F,3,FALSE),0)</f>
        <v>14.333333333333334</v>
      </c>
      <c r="Y734" s="2">
        <f>IFERROR(VLOOKUP(J734,'Rate Sheet'!$D:$F,3,FALSE),0)</f>
        <v>0</v>
      </c>
      <c r="Z734" s="2">
        <f>IFERROR(VLOOKUP(K734,'Rate Sheet'!$D:$F,3,FALSE),0)</f>
        <v>0</v>
      </c>
      <c r="AA734" s="2">
        <f t="shared" si="11"/>
        <v>14.333333333333334</v>
      </c>
      <c r="AB734">
        <v>1</v>
      </c>
    </row>
    <row r="735" spans="1:28" x14ac:dyDescent="0.25">
      <c r="A735" t="s">
        <v>33</v>
      </c>
      <c r="B735" t="s">
        <v>2867</v>
      </c>
      <c r="C735" t="s">
        <v>92</v>
      </c>
      <c r="D735" t="s">
        <v>2867</v>
      </c>
      <c r="E735" t="s">
        <v>2281</v>
      </c>
      <c r="F735" t="s">
        <v>2857</v>
      </c>
      <c r="G735" t="s">
        <v>24</v>
      </c>
      <c r="H735" s="1" t="s">
        <v>2868</v>
      </c>
      <c r="I735" t="s">
        <v>73</v>
      </c>
      <c r="N735" t="s">
        <v>97</v>
      </c>
      <c r="S735" t="s">
        <v>75</v>
      </c>
      <c r="V735" t="s">
        <v>5592</v>
      </c>
      <c r="W735" t="s">
        <v>97</v>
      </c>
      <c r="X735" s="2">
        <f>IFERROR(VLOOKUP(I735,'Rate Sheet'!$D:$F,3,FALSE),0)</f>
        <v>8.6983333333333324</v>
      </c>
      <c r="Y735" s="2">
        <f>IFERROR(VLOOKUP(J735,'Rate Sheet'!$D:$F,3,FALSE),0)</f>
        <v>0</v>
      </c>
      <c r="Z735" s="2">
        <f>IFERROR(VLOOKUP(K735,'Rate Sheet'!$D:$F,3,FALSE),0)</f>
        <v>0</v>
      </c>
      <c r="AA735" s="2">
        <f t="shared" si="11"/>
        <v>8.6983333333333324</v>
      </c>
      <c r="AB735">
        <v>1</v>
      </c>
    </row>
    <row r="736" spans="1:28" x14ac:dyDescent="0.25">
      <c r="A736" t="s">
        <v>33</v>
      </c>
      <c r="B736" t="s">
        <v>2869</v>
      </c>
      <c r="C736" t="s">
        <v>21</v>
      </c>
      <c r="D736" t="s">
        <v>2869</v>
      </c>
      <c r="E736" t="s">
        <v>2870</v>
      </c>
      <c r="F736" t="s">
        <v>2871</v>
      </c>
      <c r="G736" t="s">
        <v>24</v>
      </c>
      <c r="H736" t="s">
        <v>2872</v>
      </c>
      <c r="N736" t="s">
        <v>148</v>
      </c>
      <c r="X736" s="2">
        <f>IFERROR(VLOOKUP(I736,'Rate Sheet'!$D:$F,3,FALSE),0)</f>
        <v>0</v>
      </c>
      <c r="Y736" s="2">
        <f>IFERROR(VLOOKUP(J736,'Rate Sheet'!$D:$F,3,FALSE),0)</f>
        <v>0</v>
      </c>
      <c r="Z736" s="2">
        <f>IFERROR(VLOOKUP(K736,'Rate Sheet'!$D:$F,3,FALSE),0)</f>
        <v>0</v>
      </c>
      <c r="AA736" s="2">
        <f t="shared" si="11"/>
        <v>0</v>
      </c>
    </row>
    <row r="737" spans="1:28" x14ac:dyDescent="0.25">
      <c r="A737" t="s">
        <v>33</v>
      </c>
      <c r="B737" t="s">
        <v>2873</v>
      </c>
      <c r="C737" t="s">
        <v>21</v>
      </c>
      <c r="D737" t="s">
        <v>2873</v>
      </c>
      <c r="E737" t="s">
        <v>2874</v>
      </c>
      <c r="F737" t="s">
        <v>2875</v>
      </c>
      <c r="G737" t="s">
        <v>24</v>
      </c>
      <c r="H737" t="s">
        <v>2876</v>
      </c>
      <c r="N737" t="s">
        <v>507</v>
      </c>
      <c r="X737" s="2">
        <f>IFERROR(VLOOKUP(I737,'Rate Sheet'!$D:$F,3,FALSE),0)</f>
        <v>0</v>
      </c>
      <c r="Y737" s="2">
        <f>IFERROR(VLOOKUP(J737,'Rate Sheet'!$D:$F,3,FALSE),0)</f>
        <v>0</v>
      </c>
      <c r="Z737" s="2">
        <f>IFERROR(VLOOKUP(K737,'Rate Sheet'!$D:$F,3,FALSE),0)</f>
        <v>0</v>
      </c>
      <c r="AA737" s="2">
        <f t="shared" si="11"/>
        <v>0</v>
      </c>
    </row>
    <row r="738" spans="1:28" x14ac:dyDescent="0.25">
      <c r="A738" t="s">
        <v>33</v>
      </c>
      <c r="B738" t="s">
        <v>2877</v>
      </c>
      <c r="C738" t="s">
        <v>21</v>
      </c>
      <c r="D738" t="s">
        <v>2877</v>
      </c>
      <c r="E738" t="s">
        <v>1706</v>
      </c>
      <c r="F738" t="s">
        <v>2878</v>
      </c>
      <c r="G738" t="s">
        <v>24</v>
      </c>
      <c r="H738" t="s">
        <v>2879</v>
      </c>
      <c r="I738" t="s">
        <v>46</v>
      </c>
      <c r="N738" t="s">
        <v>38</v>
      </c>
      <c r="S738" t="s">
        <v>48</v>
      </c>
      <c r="V738" t="s">
        <v>5630</v>
      </c>
      <c r="W738" t="s">
        <v>5631</v>
      </c>
      <c r="X738" s="2">
        <f>IFERROR(VLOOKUP(I738,'Rate Sheet'!$D:$F,3,FALSE),0)</f>
        <v>14.333333333333334</v>
      </c>
      <c r="Y738" s="2">
        <f>IFERROR(VLOOKUP(J738,'Rate Sheet'!$D:$F,3,FALSE),0)</f>
        <v>0</v>
      </c>
      <c r="Z738" s="2">
        <f>IFERROR(VLOOKUP(K738,'Rate Sheet'!$D:$F,3,FALSE),0)</f>
        <v>0</v>
      </c>
      <c r="AA738" s="2">
        <f t="shared" si="11"/>
        <v>14.333333333333334</v>
      </c>
      <c r="AB738">
        <v>1</v>
      </c>
    </row>
    <row r="739" spans="1:28" x14ac:dyDescent="0.25">
      <c r="A739" t="s">
        <v>33</v>
      </c>
      <c r="B739" t="s">
        <v>2880</v>
      </c>
      <c r="C739" t="s">
        <v>29</v>
      </c>
      <c r="D739" t="s">
        <v>2880</v>
      </c>
      <c r="E739" t="s">
        <v>2881</v>
      </c>
      <c r="F739" t="s">
        <v>2882</v>
      </c>
      <c r="G739" t="s">
        <v>24</v>
      </c>
      <c r="H739" t="s">
        <v>2883</v>
      </c>
      <c r="X739" s="2">
        <f>IFERROR(VLOOKUP(I739,'Rate Sheet'!$D:$F,3,FALSE),0)</f>
        <v>0</v>
      </c>
      <c r="Y739" s="2">
        <f>IFERROR(VLOOKUP(J739,'Rate Sheet'!$D:$F,3,FALSE),0)</f>
        <v>0</v>
      </c>
      <c r="Z739" s="2">
        <f>IFERROR(VLOOKUP(K739,'Rate Sheet'!$D:$F,3,FALSE),0)</f>
        <v>0</v>
      </c>
      <c r="AA739" s="2">
        <f t="shared" si="11"/>
        <v>0</v>
      </c>
    </row>
    <row r="740" spans="1:28" x14ac:dyDescent="0.25">
      <c r="A740" t="s">
        <v>33</v>
      </c>
      <c r="B740" t="s">
        <v>2884</v>
      </c>
      <c r="C740" t="s">
        <v>21</v>
      </c>
      <c r="D740" t="s">
        <v>2884</v>
      </c>
      <c r="E740" t="s">
        <v>126</v>
      </c>
      <c r="F740" t="s">
        <v>78</v>
      </c>
      <c r="G740" t="s">
        <v>24</v>
      </c>
      <c r="H740" t="s">
        <v>2885</v>
      </c>
      <c r="N740" t="s">
        <v>755</v>
      </c>
      <c r="X740" s="2">
        <f>IFERROR(VLOOKUP(I740,'Rate Sheet'!$D:$F,3,FALSE),0)</f>
        <v>0</v>
      </c>
      <c r="Y740" s="2">
        <f>IFERROR(VLOOKUP(J740,'Rate Sheet'!$D:$F,3,FALSE),0)</f>
        <v>0</v>
      </c>
      <c r="Z740" s="2">
        <f>IFERROR(VLOOKUP(K740,'Rate Sheet'!$D:$F,3,FALSE),0)</f>
        <v>0</v>
      </c>
      <c r="AA740" s="2">
        <f t="shared" si="11"/>
        <v>0</v>
      </c>
    </row>
    <row r="741" spans="1:28" x14ac:dyDescent="0.25">
      <c r="A741" t="s">
        <v>33</v>
      </c>
      <c r="B741" t="s">
        <v>2886</v>
      </c>
      <c r="C741" t="s">
        <v>21</v>
      </c>
      <c r="D741" t="s">
        <v>2886</v>
      </c>
      <c r="E741" t="s">
        <v>2887</v>
      </c>
      <c r="F741" t="s">
        <v>2888</v>
      </c>
      <c r="G741" t="s">
        <v>24</v>
      </c>
      <c r="H741" t="s">
        <v>2889</v>
      </c>
      <c r="I741" t="s">
        <v>46</v>
      </c>
      <c r="N741" t="s">
        <v>181</v>
      </c>
      <c r="S741" t="s">
        <v>48</v>
      </c>
      <c r="V741" t="s">
        <v>5615</v>
      </c>
      <c r="W741" t="s">
        <v>5616</v>
      </c>
      <c r="X741" s="2">
        <f>IFERROR(VLOOKUP(I741,'Rate Sheet'!$D:$F,3,FALSE),0)</f>
        <v>14.333333333333334</v>
      </c>
      <c r="Y741" s="2">
        <f>IFERROR(VLOOKUP(J741,'Rate Sheet'!$D:$F,3,FALSE),0)</f>
        <v>0</v>
      </c>
      <c r="Z741" s="2">
        <f>IFERROR(VLOOKUP(K741,'Rate Sheet'!$D:$F,3,FALSE),0)</f>
        <v>0</v>
      </c>
      <c r="AA741" s="2">
        <f t="shared" si="11"/>
        <v>14.333333333333334</v>
      </c>
      <c r="AB741">
        <v>1</v>
      </c>
    </row>
    <row r="742" spans="1:28" x14ac:dyDescent="0.25">
      <c r="A742" t="s">
        <v>33</v>
      </c>
      <c r="B742" t="s">
        <v>2890</v>
      </c>
      <c r="C742" t="s">
        <v>21</v>
      </c>
      <c r="D742" t="s">
        <v>2890</v>
      </c>
      <c r="E742" t="s">
        <v>140</v>
      </c>
      <c r="F742" t="s">
        <v>872</v>
      </c>
      <c r="G742" t="s">
        <v>2391</v>
      </c>
      <c r="H742" t="s">
        <v>2891</v>
      </c>
      <c r="I742" t="s">
        <v>73</v>
      </c>
      <c r="N742" t="s">
        <v>543</v>
      </c>
      <c r="S742" t="s">
        <v>75</v>
      </c>
      <c r="V742" t="s">
        <v>5733</v>
      </c>
      <c r="W742" t="s">
        <v>5734</v>
      </c>
      <c r="X742" s="2">
        <f>IFERROR(VLOOKUP(I742,'Rate Sheet'!$D:$F,3,FALSE),0)</f>
        <v>8.6983333333333324</v>
      </c>
      <c r="Y742" s="2">
        <f>IFERROR(VLOOKUP(J742,'Rate Sheet'!$D:$F,3,FALSE),0)</f>
        <v>0</v>
      </c>
      <c r="Z742" s="2">
        <f>IFERROR(VLOOKUP(K742,'Rate Sheet'!$D:$F,3,FALSE),0)</f>
        <v>0</v>
      </c>
      <c r="AA742" s="2">
        <f t="shared" si="11"/>
        <v>8.6983333333333324</v>
      </c>
      <c r="AB742">
        <v>1</v>
      </c>
    </row>
    <row r="743" spans="1:28" x14ac:dyDescent="0.25">
      <c r="A743" t="s">
        <v>33</v>
      </c>
      <c r="B743" t="s">
        <v>2892</v>
      </c>
      <c r="C743" t="s">
        <v>29</v>
      </c>
      <c r="D743" t="s">
        <v>2892</v>
      </c>
      <c r="E743" t="s">
        <v>2840</v>
      </c>
      <c r="F743" t="s">
        <v>2841</v>
      </c>
      <c r="G743" t="s">
        <v>24</v>
      </c>
      <c r="H743" t="s">
        <v>2893</v>
      </c>
      <c r="I743" t="s">
        <v>46</v>
      </c>
      <c r="N743" t="s">
        <v>246</v>
      </c>
      <c r="S743" t="s">
        <v>48</v>
      </c>
      <c r="V743" t="s">
        <v>5661</v>
      </c>
      <c r="W743" t="s">
        <v>246</v>
      </c>
      <c r="X743" s="2">
        <f>IFERROR(VLOOKUP(I743,'Rate Sheet'!$D:$F,3,FALSE),0)</f>
        <v>14.333333333333334</v>
      </c>
      <c r="Y743" s="2">
        <f>IFERROR(VLOOKUP(J743,'Rate Sheet'!$D:$F,3,FALSE),0)</f>
        <v>0</v>
      </c>
      <c r="Z743" s="2">
        <f>IFERROR(VLOOKUP(K743,'Rate Sheet'!$D:$F,3,FALSE),0)</f>
        <v>0</v>
      </c>
      <c r="AA743" s="2">
        <f t="shared" si="11"/>
        <v>14.333333333333334</v>
      </c>
      <c r="AB743">
        <v>1</v>
      </c>
    </row>
    <row r="744" spans="1:28" x14ac:dyDescent="0.25">
      <c r="A744" t="s">
        <v>33</v>
      </c>
      <c r="B744" t="s">
        <v>2894</v>
      </c>
      <c r="C744" t="s">
        <v>21</v>
      </c>
      <c r="D744" t="s">
        <v>2894</v>
      </c>
      <c r="E744" t="s">
        <v>1315</v>
      </c>
      <c r="F744" t="s">
        <v>1906</v>
      </c>
      <c r="G744" t="s">
        <v>24</v>
      </c>
      <c r="H744" t="s">
        <v>2895</v>
      </c>
      <c r="I744" t="s">
        <v>73</v>
      </c>
      <c r="N744" t="s">
        <v>273</v>
      </c>
      <c r="S744" t="s">
        <v>75</v>
      </c>
      <c r="V744" t="s">
        <v>5621</v>
      </c>
      <c r="W744" t="s">
        <v>5622</v>
      </c>
      <c r="X744" s="2">
        <f>IFERROR(VLOOKUP(I744,'Rate Sheet'!$D:$F,3,FALSE),0)</f>
        <v>8.6983333333333324</v>
      </c>
      <c r="Y744" s="2">
        <f>IFERROR(VLOOKUP(J744,'Rate Sheet'!$D:$F,3,FALSE),0)</f>
        <v>0</v>
      </c>
      <c r="Z744" s="2">
        <f>IFERROR(VLOOKUP(K744,'Rate Sheet'!$D:$F,3,FALSE),0)</f>
        <v>0</v>
      </c>
      <c r="AA744" s="2">
        <f t="shared" si="11"/>
        <v>8.6983333333333324</v>
      </c>
      <c r="AB744">
        <v>1</v>
      </c>
    </row>
    <row r="745" spans="1:28" x14ac:dyDescent="0.25">
      <c r="A745" t="s">
        <v>33</v>
      </c>
      <c r="B745" t="s">
        <v>2896</v>
      </c>
      <c r="C745" t="s">
        <v>21</v>
      </c>
      <c r="D745" t="s">
        <v>2896</v>
      </c>
      <c r="E745" t="s">
        <v>2897</v>
      </c>
      <c r="F745" t="s">
        <v>2898</v>
      </c>
      <c r="G745" t="s">
        <v>24</v>
      </c>
      <c r="H745" t="s">
        <v>2899</v>
      </c>
      <c r="I745" t="s">
        <v>46</v>
      </c>
      <c r="N745" t="s">
        <v>1061</v>
      </c>
      <c r="S745" t="s">
        <v>48</v>
      </c>
      <c r="V745" t="s">
        <v>5735</v>
      </c>
      <c r="W745" t="s">
        <v>571</v>
      </c>
      <c r="X745" s="2">
        <f>IFERROR(VLOOKUP(I745,'Rate Sheet'!$D:$F,3,FALSE),0)</f>
        <v>14.333333333333334</v>
      </c>
      <c r="Y745" s="2">
        <f>IFERROR(VLOOKUP(J745,'Rate Sheet'!$D:$F,3,FALSE),0)</f>
        <v>0</v>
      </c>
      <c r="Z745" s="2">
        <f>IFERROR(VLOOKUP(K745,'Rate Sheet'!$D:$F,3,FALSE),0)</f>
        <v>0</v>
      </c>
      <c r="AA745" s="2">
        <f t="shared" si="11"/>
        <v>14.333333333333334</v>
      </c>
      <c r="AB745">
        <v>1</v>
      </c>
    </row>
    <row r="746" spans="1:28" x14ac:dyDescent="0.25">
      <c r="A746" t="s">
        <v>33</v>
      </c>
      <c r="B746" t="s">
        <v>2900</v>
      </c>
      <c r="C746" t="s">
        <v>21</v>
      </c>
      <c r="D746" t="s">
        <v>2900</v>
      </c>
      <c r="E746" t="s">
        <v>660</v>
      </c>
      <c r="F746" t="s">
        <v>2901</v>
      </c>
      <c r="G746" t="s">
        <v>24</v>
      </c>
      <c r="H746" t="s">
        <v>2902</v>
      </c>
      <c r="X746" s="2">
        <f>IFERROR(VLOOKUP(I746,'Rate Sheet'!$D:$F,3,FALSE),0)</f>
        <v>0</v>
      </c>
      <c r="Y746" s="2">
        <f>IFERROR(VLOOKUP(J746,'Rate Sheet'!$D:$F,3,FALSE),0)</f>
        <v>0</v>
      </c>
      <c r="Z746" s="2">
        <f>IFERROR(VLOOKUP(K746,'Rate Sheet'!$D:$F,3,FALSE),0)</f>
        <v>0</v>
      </c>
      <c r="AA746" s="2">
        <f t="shared" si="11"/>
        <v>0</v>
      </c>
    </row>
    <row r="747" spans="1:28" x14ac:dyDescent="0.25">
      <c r="A747" t="s">
        <v>33</v>
      </c>
      <c r="B747" t="s">
        <v>2903</v>
      </c>
      <c r="C747" t="s">
        <v>21</v>
      </c>
      <c r="D747" t="s">
        <v>2903</v>
      </c>
      <c r="E747" t="s">
        <v>424</v>
      </c>
      <c r="F747" t="s">
        <v>2904</v>
      </c>
      <c r="G747" t="s">
        <v>24</v>
      </c>
      <c r="H747" t="s">
        <v>2905</v>
      </c>
      <c r="I747" t="s">
        <v>46</v>
      </c>
      <c r="N747" t="s">
        <v>2780</v>
      </c>
      <c r="S747" t="s">
        <v>48</v>
      </c>
      <c r="V747" t="s">
        <v>5699</v>
      </c>
      <c r="W747" t="s">
        <v>5700</v>
      </c>
      <c r="X747" s="2">
        <f>IFERROR(VLOOKUP(I747,'Rate Sheet'!$D:$F,3,FALSE),0)</f>
        <v>14.333333333333334</v>
      </c>
      <c r="Y747" s="2">
        <f>IFERROR(VLOOKUP(J747,'Rate Sheet'!$D:$F,3,FALSE),0)</f>
        <v>0</v>
      </c>
      <c r="Z747" s="2">
        <f>IFERROR(VLOOKUP(K747,'Rate Sheet'!$D:$F,3,FALSE),0)</f>
        <v>0</v>
      </c>
      <c r="AA747" s="2">
        <f t="shared" si="11"/>
        <v>14.333333333333334</v>
      </c>
      <c r="AB747">
        <v>1</v>
      </c>
    </row>
    <row r="748" spans="1:28" x14ac:dyDescent="0.25">
      <c r="A748" t="s">
        <v>33</v>
      </c>
      <c r="B748" t="s">
        <v>2906</v>
      </c>
      <c r="C748" t="s">
        <v>21</v>
      </c>
      <c r="D748" t="s">
        <v>2906</v>
      </c>
      <c r="E748" t="s">
        <v>1858</v>
      </c>
      <c r="F748" t="s">
        <v>2907</v>
      </c>
      <c r="G748" t="s">
        <v>24</v>
      </c>
      <c r="H748" t="s">
        <v>2908</v>
      </c>
      <c r="I748" t="s">
        <v>46</v>
      </c>
      <c r="N748" t="s">
        <v>38</v>
      </c>
      <c r="S748" t="s">
        <v>48</v>
      </c>
      <c r="V748" t="s">
        <v>5582</v>
      </c>
      <c r="W748" t="s">
        <v>5583</v>
      </c>
      <c r="X748" s="2">
        <f>IFERROR(VLOOKUP(I748,'Rate Sheet'!$D:$F,3,FALSE),0)</f>
        <v>14.333333333333334</v>
      </c>
      <c r="Y748" s="2">
        <f>IFERROR(VLOOKUP(J748,'Rate Sheet'!$D:$F,3,FALSE),0)</f>
        <v>0</v>
      </c>
      <c r="Z748" s="2">
        <f>IFERROR(VLOOKUP(K748,'Rate Sheet'!$D:$F,3,FALSE),0)</f>
        <v>0</v>
      </c>
      <c r="AA748" s="2">
        <f t="shared" si="11"/>
        <v>14.333333333333334</v>
      </c>
      <c r="AB748">
        <v>1</v>
      </c>
    </row>
    <row r="749" spans="1:28" x14ac:dyDescent="0.25">
      <c r="A749" t="s">
        <v>33</v>
      </c>
      <c r="B749" t="s">
        <v>2909</v>
      </c>
      <c r="C749" t="s">
        <v>21</v>
      </c>
      <c r="D749" t="s">
        <v>2909</v>
      </c>
      <c r="E749" t="s">
        <v>2910</v>
      </c>
      <c r="F749" t="s">
        <v>2911</v>
      </c>
      <c r="G749" t="s">
        <v>24</v>
      </c>
      <c r="H749" t="s">
        <v>2912</v>
      </c>
      <c r="I749" t="s">
        <v>46</v>
      </c>
      <c r="N749" t="s">
        <v>565</v>
      </c>
      <c r="S749" t="s">
        <v>48</v>
      </c>
      <c r="V749" t="s">
        <v>5652</v>
      </c>
      <c r="W749" t="s">
        <v>565</v>
      </c>
      <c r="X749" s="2">
        <f>IFERROR(VLOOKUP(I749,'Rate Sheet'!$D:$F,3,FALSE),0)</f>
        <v>14.333333333333334</v>
      </c>
      <c r="Y749" s="2">
        <f>IFERROR(VLOOKUP(J749,'Rate Sheet'!$D:$F,3,FALSE),0)</f>
        <v>0</v>
      </c>
      <c r="Z749" s="2">
        <f>IFERROR(VLOOKUP(K749,'Rate Sheet'!$D:$F,3,FALSE),0)</f>
        <v>0</v>
      </c>
      <c r="AA749" s="2">
        <f t="shared" si="11"/>
        <v>14.333333333333334</v>
      </c>
      <c r="AB749">
        <v>1</v>
      </c>
    </row>
    <row r="750" spans="1:28" x14ac:dyDescent="0.25">
      <c r="A750" t="s">
        <v>33</v>
      </c>
      <c r="B750" t="s">
        <v>2913</v>
      </c>
      <c r="C750" t="s">
        <v>21</v>
      </c>
      <c r="D750" t="s">
        <v>2913</v>
      </c>
      <c r="E750" t="s">
        <v>1063</v>
      </c>
      <c r="F750" t="s">
        <v>2914</v>
      </c>
      <c r="G750" t="s">
        <v>24</v>
      </c>
      <c r="H750" t="s">
        <v>2915</v>
      </c>
      <c r="I750" t="s">
        <v>73</v>
      </c>
      <c r="N750" t="s">
        <v>53</v>
      </c>
      <c r="S750" t="s">
        <v>75</v>
      </c>
      <c r="V750" t="s">
        <v>5580</v>
      </c>
      <c r="W750" t="s">
        <v>5581</v>
      </c>
      <c r="X750" s="2">
        <f>IFERROR(VLOOKUP(I750,'Rate Sheet'!$D:$F,3,FALSE),0)</f>
        <v>8.6983333333333324</v>
      </c>
      <c r="Y750" s="2">
        <f>IFERROR(VLOOKUP(J750,'Rate Sheet'!$D:$F,3,FALSE),0)</f>
        <v>0</v>
      </c>
      <c r="Z750" s="2">
        <f>IFERROR(VLOOKUP(K750,'Rate Sheet'!$D:$F,3,FALSE),0)</f>
        <v>0</v>
      </c>
      <c r="AA750" s="2">
        <f t="shared" si="11"/>
        <v>8.6983333333333324</v>
      </c>
      <c r="AB750">
        <v>1</v>
      </c>
    </row>
    <row r="751" spans="1:28" x14ac:dyDescent="0.25">
      <c r="A751" t="s">
        <v>33</v>
      </c>
      <c r="B751" t="s">
        <v>2916</v>
      </c>
      <c r="C751" t="s">
        <v>21</v>
      </c>
      <c r="D751" t="s">
        <v>2916</v>
      </c>
      <c r="E751" t="s">
        <v>2917</v>
      </c>
      <c r="F751" t="s">
        <v>2918</v>
      </c>
      <c r="G751" t="s">
        <v>24</v>
      </c>
      <c r="H751" t="s">
        <v>2919</v>
      </c>
      <c r="I751" t="s">
        <v>73</v>
      </c>
      <c r="N751" t="s">
        <v>38</v>
      </c>
      <c r="S751" t="s">
        <v>75</v>
      </c>
      <c r="V751" t="s">
        <v>5582</v>
      </c>
      <c r="W751" t="s">
        <v>5583</v>
      </c>
      <c r="X751" s="2">
        <f>IFERROR(VLOOKUP(I751,'Rate Sheet'!$D:$F,3,FALSE),0)</f>
        <v>8.6983333333333324</v>
      </c>
      <c r="Y751" s="2">
        <f>IFERROR(VLOOKUP(J751,'Rate Sheet'!$D:$F,3,FALSE),0)</f>
        <v>0</v>
      </c>
      <c r="Z751" s="2">
        <f>IFERROR(VLOOKUP(K751,'Rate Sheet'!$D:$F,3,FALSE),0)</f>
        <v>0</v>
      </c>
      <c r="AA751" s="2">
        <f t="shared" si="11"/>
        <v>8.6983333333333324</v>
      </c>
      <c r="AB751">
        <v>1</v>
      </c>
    </row>
    <row r="752" spans="1:28" x14ac:dyDescent="0.25">
      <c r="A752" t="s">
        <v>33</v>
      </c>
      <c r="B752" t="s">
        <v>2920</v>
      </c>
      <c r="C752" t="s">
        <v>21</v>
      </c>
      <c r="D752" t="s">
        <v>2921</v>
      </c>
      <c r="E752" t="s">
        <v>2922</v>
      </c>
      <c r="F752" t="s">
        <v>2923</v>
      </c>
      <c r="G752" t="s">
        <v>24</v>
      </c>
      <c r="H752" t="s">
        <v>2924</v>
      </c>
      <c r="N752" t="s">
        <v>2925</v>
      </c>
      <c r="X752" s="2">
        <f>IFERROR(VLOOKUP(I752,'Rate Sheet'!$D:$F,3,FALSE),0)</f>
        <v>0</v>
      </c>
      <c r="Y752" s="2">
        <f>IFERROR(VLOOKUP(J752,'Rate Sheet'!$D:$F,3,FALSE),0)</f>
        <v>0</v>
      </c>
      <c r="Z752" s="2">
        <f>IFERROR(VLOOKUP(K752,'Rate Sheet'!$D:$F,3,FALSE),0)</f>
        <v>0</v>
      </c>
      <c r="AA752" s="2">
        <f t="shared" si="11"/>
        <v>0</v>
      </c>
    </row>
    <row r="753" spans="1:28" x14ac:dyDescent="0.25">
      <c r="A753" t="s">
        <v>33</v>
      </c>
      <c r="B753" t="s">
        <v>2926</v>
      </c>
      <c r="C753" t="s">
        <v>21</v>
      </c>
      <c r="D753" t="s">
        <v>2926</v>
      </c>
      <c r="E753" t="s">
        <v>324</v>
      </c>
      <c r="F753" t="s">
        <v>2927</v>
      </c>
      <c r="G753" t="s">
        <v>24</v>
      </c>
      <c r="H753" t="s">
        <v>2928</v>
      </c>
      <c r="N753" t="s">
        <v>38</v>
      </c>
      <c r="X753" s="2">
        <f>IFERROR(VLOOKUP(I753,'Rate Sheet'!$D:$F,3,FALSE),0)</f>
        <v>0</v>
      </c>
      <c r="Y753" s="2">
        <f>IFERROR(VLOOKUP(J753,'Rate Sheet'!$D:$F,3,FALSE),0)</f>
        <v>0</v>
      </c>
      <c r="Z753" s="2">
        <f>IFERROR(VLOOKUP(K753,'Rate Sheet'!$D:$F,3,FALSE),0)</f>
        <v>0</v>
      </c>
      <c r="AA753" s="2">
        <f t="shared" si="11"/>
        <v>0</v>
      </c>
    </row>
    <row r="754" spans="1:28" x14ac:dyDescent="0.25">
      <c r="A754" t="s">
        <v>33</v>
      </c>
      <c r="B754" t="s">
        <v>2929</v>
      </c>
      <c r="C754" t="s">
        <v>21</v>
      </c>
      <c r="D754" t="s">
        <v>2929</v>
      </c>
      <c r="E754" t="s">
        <v>412</v>
      </c>
      <c r="F754" t="s">
        <v>2930</v>
      </c>
      <c r="G754" t="s">
        <v>2391</v>
      </c>
      <c r="H754" t="s">
        <v>2931</v>
      </c>
      <c r="N754" t="s">
        <v>2932</v>
      </c>
      <c r="X754" s="2">
        <f>IFERROR(VLOOKUP(I754,'Rate Sheet'!$D:$F,3,FALSE),0)</f>
        <v>0</v>
      </c>
      <c r="Y754" s="2">
        <f>IFERROR(VLOOKUP(J754,'Rate Sheet'!$D:$F,3,FALSE),0)</f>
        <v>0</v>
      </c>
      <c r="Z754" s="2">
        <f>IFERROR(VLOOKUP(K754,'Rate Sheet'!$D:$F,3,FALSE),0)</f>
        <v>0</v>
      </c>
      <c r="AA754" s="2">
        <f t="shared" si="11"/>
        <v>0</v>
      </c>
    </row>
    <row r="755" spans="1:28" x14ac:dyDescent="0.25">
      <c r="A755" t="s">
        <v>33</v>
      </c>
      <c r="B755" t="s">
        <v>2933</v>
      </c>
      <c r="C755" t="s">
        <v>92</v>
      </c>
      <c r="D755" t="s">
        <v>2934</v>
      </c>
      <c r="E755" t="s">
        <v>2935</v>
      </c>
      <c r="F755" t="s">
        <v>849</v>
      </c>
      <c r="G755" t="s">
        <v>24</v>
      </c>
      <c r="H755" t="s">
        <v>2936</v>
      </c>
      <c r="I755" t="s">
        <v>73</v>
      </c>
      <c r="N755" t="s">
        <v>1115</v>
      </c>
      <c r="S755" t="s">
        <v>75</v>
      </c>
      <c r="V755" t="s">
        <v>5685</v>
      </c>
      <c r="W755" t="s">
        <v>1115</v>
      </c>
      <c r="X755" s="2">
        <f>IFERROR(VLOOKUP(I755,'Rate Sheet'!$D:$F,3,FALSE),0)</f>
        <v>8.6983333333333324</v>
      </c>
      <c r="Y755" s="2">
        <f>IFERROR(VLOOKUP(J755,'Rate Sheet'!$D:$F,3,FALSE),0)</f>
        <v>0</v>
      </c>
      <c r="Z755" s="2">
        <f>IFERROR(VLOOKUP(K755,'Rate Sheet'!$D:$F,3,FALSE),0)</f>
        <v>0</v>
      </c>
      <c r="AA755" s="2">
        <f t="shared" si="11"/>
        <v>8.6983333333333324</v>
      </c>
      <c r="AB755">
        <v>1</v>
      </c>
    </row>
    <row r="756" spans="1:28" x14ac:dyDescent="0.25">
      <c r="A756" t="s">
        <v>33</v>
      </c>
      <c r="B756" t="s">
        <v>2937</v>
      </c>
      <c r="C756" t="s">
        <v>21</v>
      </c>
      <c r="D756" t="s">
        <v>2937</v>
      </c>
      <c r="E756" t="s">
        <v>2938</v>
      </c>
      <c r="F756" t="s">
        <v>2756</v>
      </c>
      <c r="G756" t="s">
        <v>24</v>
      </c>
      <c r="H756" t="s">
        <v>2939</v>
      </c>
      <c r="N756" t="s">
        <v>317</v>
      </c>
      <c r="X756" s="2">
        <f>IFERROR(VLOOKUP(I756,'Rate Sheet'!$D:$F,3,FALSE),0)</f>
        <v>0</v>
      </c>
      <c r="Y756" s="2">
        <f>IFERROR(VLOOKUP(J756,'Rate Sheet'!$D:$F,3,FALSE),0)</f>
        <v>0</v>
      </c>
      <c r="Z756" s="2">
        <f>IFERROR(VLOOKUP(K756,'Rate Sheet'!$D:$F,3,FALSE),0)</f>
        <v>0</v>
      </c>
      <c r="AA756" s="2">
        <f t="shared" si="11"/>
        <v>0</v>
      </c>
    </row>
    <row r="757" spans="1:28" x14ac:dyDescent="0.25">
      <c r="A757" t="s">
        <v>33</v>
      </c>
      <c r="B757" t="s">
        <v>2940</v>
      </c>
      <c r="C757" t="s">
        <v>21</v>
      </c>
      <c r="D757" t="s">
        <v>2940</v>
      </c>
      <c r="E757" t="s">
        <v>2941</v>
      </c>
      <c r="F757" t="s">
        <v>2942</v>
      </c>
      <c r="G757" t="s">
        <v>24</v>
      </c>
      <c r="H757" t="s">
        <v>2943</v>
      </c>
      <c r="N757" t="s">
        <v>1632</v>
      </c>
      <c r="X757" s="2">
        <f>IFERROR(VLOOKUP(I757,'Rate Sheet'!$D:$F,3,FALSE),0)</f>
        <v>0</v>
      </c>
      <c r="Y757" s="2">
        <f>IFERROR(VLOOKUP(J757,'Rate Sheet'!$D:$F,3,FALSE),0)</f>
        <v>0</v>
      </c>
      <c r="Z757" s="2">
        <f>IFERROR(VLOOKUP(K757,'Rate Sheet'!$D:$F,3,FALSE),0)</f>
        <v>0</v>
      </c>
      <c r="AA757" s="2">
        <f t="shared" si="11"/>
        <v>0</v>
      </c>
    </row>
    <row r="758" spans="1:28" x14ac:dyDescent="0.25">
      <c r="A758" t="s">
        <v>33</v>
      </c>
      <c r="B758" t="s">
        <v>2944</v>
      </c>
      <c r="C758" t="s">
        <v>21</v>
      </c>
      <c r="D758" t="s">
        <v>2944</v>
      </c>
      <c r="E758" t="s">
        <v>1946</v>
      </c>
      <c r="F758" t="s">
        <v>2945</v>
      </c>
      <c r="G758" t="s">
        <v>24</v>
      </c>
      <c r="H758" t="s">
        <v>2946</v>
      </c>
      <c r="I758" t="s">
        <v>46</v>
      </c>
      <c r="N758" t="s">
        <v>1441</v>
      </c>
      <c r="S758" t="s">
        <v>48</v>
      </c>
      <c r="V758" t="s">
        <v>5736</v>
      </c>
      <c r="W758" t="s">
        <v>1441</v>
      </c>
      <c r="X758" s="2">
        <f>IFERROR(VLOOKUP(I758,'Rate Sheet'!$D:$F,3,FALSE),0)</f>
        <v>14.333333333333334</v>
      </c>
      <c r="Y758" s="2">
        <f>IFERROR(VLOOKUP(J758,'Rate Sheet'!$D:$F,3,FALSE),0)</f>
        <v>0</v>
      </c>
      <c r="Z758" s="2">
        <f>IFERROR(VLOOKUP(K758,'Rate Sheet'!$D:$F,3,FALSE),0)</f>
        <v>0</v>
      </c>
      <c r="AA758" s="2">
        <f t="shared" si="11"/>
        <v>14.333333333333334</v>
      </c>
      <c r="AB758">
        <v>1</v>
      </c>
    </row>
    <row r="759" spans="1:28" x14ac:dyDescent="0.25">
      <c r="A759" t="s">
        <v>33</v>
      </c>
      <c r="B759" t="s">
        <v>2947</v>
      </c>
      <c r="C759" t="s">
        <v>21</v>
      </c>
      <c r="D759" t="s">
        <v>2948</v>
      </c>
      <c r="E759" t="s">
        <v>22</v>
      </c>
      <c r="F759" t="s">
        <v>2949</v>
      </c>
      <c r="G759" t="s">
        <v>24</v>
      </c>
      <c r="H759" t="s">
        <v>2950</v>
      </c>
      <c r="I759" t="s">
        <v>46</v>
      </c>
      <c r="N759" t="s">
        <v>2925</v>
      </c>
      <c r="S759" t="s">
        <v>48</v>
      </c>
      <c r="V759" t="s">
        <v>5737</v>
      </c>
      <c r="W759" t="s">
        <v>5738</v>
      </c>
      <c r="X759" s="2">
        <f>IFERROR(VLOOKUP(I759,'Rate Sheet'!$D:$F,3,FALSE),0)</f>
        <v>14.333333333333334</v>
      </c>
      <c r="Y759" s="2">
        <f>IFERROR(VLOOKUP(J759,'Rate Sheet'!$D:$F,3,FALSE),0)</f>
        <v>0</v>
      </c>
      <c r="Z759" s="2">
        <f>IFERROR(VLOOKUP(K759,'Rate Sheet'!$D:$F,3,FALSE),0)</f>
        <v>0</v>
      </c>
      <c r="AA759" s="2">
        <f t="shared" ref="AA759:AA822" si="12">SUM(X759:Z759)</f>
        <v>14.333333333333334</v>
      </c>
      <c r="AB759">
        <v>1</v>
      </c>
    </row>
    <row r="760" spans="1:28" x14ac:dyDescent="0.25">
      <c r="A760" t="s">
        <v>33</v>
      </c>
      <c r="B760" t="s">
        <v>2951</v>
      </c>
      <c r="C760" t="s">
        <v>21</v>
      </c>
      <c r="D760" t="s">
        <v>2951</v>
      </c>
      <c r="E760" t="s">
        <v>2813</v>
      </c>
      <c r="F760" t="s">
        <v>2952</v>
      </c>
      <c r="G760" t="s">
        <v>24</v>
      </c>
      <c r="H760" t="s">
        <v>2953</v>
      </c>
      <c r="I760" t="s">
        <v>46</v>
      </c>
      <c r="N760" t="s">
        <v>1061</v>
      </c>
      <c r="S760" t="s">
        <v>48</v>
      </c>
      <c r="V760" t="s">
        <v>5679</v>
      </c>
      <c r="W760" t="s">
        <v>1061</v>
      </c>
      <c r="X760" s="2">
        <f>IFERROR(VLOOKUP(I760,'Rate Sheet'!$D:$F,3,FALSE),0)</f>
        <v>14.333333333333334</v>
      </c>
      <c r="Y760" s="2">
        <f>IFERROR(VLOOKUP(J760,'Rate Sheet'!$D:$F,3,FALSE),0)</f>
        <v>0</v>
      </c>
      <c r="Z760" s="2">
        <f>IFERROR(VLOOKUP(K760,'Rate Sheet'!$D:$F,3,FALSE),0)</f>
        <v>0</v>
      </c>
      <c r="AA760" s="2">
        <f t="shared" si="12"/>
        <v>14.333333333333334</v>
      </c>
      <c r="AB760">
        <v>1</v>
      </c>
    </row>
    <row r="761" spans="1:28" x14ac:dyDescent="0.25">
      <c r="A761" t="s">
        <v>33</v>
      </c>
      <c r="B761" t="s">
        <v>2954</v>
      </c>
      <c r="C761" t="s">
        <v>21</v>
      </c>
      <c r="D761" t="s">
        <v>2954</v>
      </c>
      <c r="E761" t="s">
        <v>2955</v>
      </c>
      <c r="F761" t="s">
        <v>2956</v>
      </c>
      <c r="G761" t="s">
        <v>24</v>
      </c>
      <c r="H761" t="s">
        <v>2957</v>
      </c>
      <c r="I761" t="s">
        <v>46</v>
      </c>
      <c r="N761" t="s">
        <v>2925</v>
      </c>
      <c r="S761" t="s">
        <v>48</v>
      </c>
      <c r="V761" t="s">
        <v>5737</v>
      </c>
      <c r="W761" t="s">
        <v>5738</v>
      </c>
      <c r="X761" s="2">
        <f>IFERROR(VLOOKUP(I761,'Rate Sheet'!$D:$F,3,FALSE),0)</f>
        <v>14.333333333333334</v>
      </c>
      <c r="Y761" s="2">
        <f>IFERROR(VLOOKUP(J761,'Rate Sheet'!$D:$F,3,FALSE),0)</f>
        <v>0</v>
      </c>
      <c r="Z761" s="2">
        <f>IFERROR(VLOOKUP(K761,'Rate Sheet'!$D:$F,3,FALSE),0)</f>
        <v>0</v>
      </c>
      <c r="AA761" s="2">
        <f t="shared" si="12"/>
        <v>14.333333333333334</v>
      </c>
      <c r="AB761">
        <v>1</v>
      </c>
    </row>
    <row r="762" spans="1:28" x14ac:dyDescent="0.25">
      <c r="A762" t="s">
        <v>33</v>
      </c>
      <c r="B762" t="s">
        <v>2958</v>
      </c>
      <c r="C762" t="s">
        <v>21</v>
      </c>
      <c r="D762" t="s">
        <v>2958</v>
      </c>
      <c r="E762" t="s">
        <v>894</v>
      </c>
      <c r="F762" t="s">
        <v>2959</v>
      </c>
      <c r="G762" t="s">
        <v>24</v>
      </c>
      <c r="H762" t="s">
        <v>2960</v>
      </c>
      <c r="I762" t="s">
        <v>73</v>
      </c>
      <c r="N762" t="s">
        <v>108</v>
      </c>
      <c r="S762" t="s">
        <v>75</v>
      </c>
      <c r="V762" t="s">
        <v>5595</v>
      </c>
      <c r="W762" t="s">
        <v>108</v>
      </c>
      <c r="X762" s="2">
        <f>IFERROR(VLOOKUP(I762,'Rate Sheet'!$D:$F,3,FALSE),0)</f>
        <v>8.6983333333333324</v>
      </c>
      <c r="Y762" s="2">
        <f>IFERROR(VLOOKUP(J762,'Rate Sheet'!$D:$F,3,FALSE),0)</f>
        <v>0</v>
      </c>
      <c r="Z762" s="2">
        <f>IFERROR(VLOOKUP(K762,'Rate Sheet'!$D:$F,3,FALSE),0)</f>
        <v>0</v>
      </c>
      <c r="AA762" s="2">
        <f t="shared" si="12"/>
        <v>8.6983333333333324</v>
      </c>
      <c r="AB762">
        <v>1</v>
      </c>
    </row>
    <row r="763" spans="1:28" x14ac:dyDescent="0.25">
      <c r="A763" t="s">
        <v>33</v>
      </c>
      <c r="B763" t="s">
        <v>2961</v>
      </c>
      <c r="C763" t="s">
        <v>21</v>
      </c>
      <c r="D763" t="s">
        <v>2961</v>
      </c>
      <c r="E763" t="s">
        <v>324</v>
      </c>
      <c r="F763" t="s">
        <v>330</v>
      </c>
      <c r="G763" t="s">
        <v>24</v>
      </c>
      <c r="H763" t="s">
        <v>2962</v>
      </c>
      <c r="I763" t="s">
        <v>46</v>
      </c>
      <c r="N763" t="s">
        <v>2925</v>
      </c>
      <c r="S763" t="s">
        <v>48</v>
      </c>
      <c r="V763" t="s">
        <v>5737</v>
      </c>
      <c r="W763" t="s">
        <v>5738</v>
      </c>
      <c r="X763" s="2">
        <f>IFERROR(VLOOKUP(I763,'Rate Sheet'!$D:$F,3,FALSE),0)</f>
        <v>14.333333333333334</v>
      </c>
      <c r="Y763" s="2">
        <f>IFERROR(VLOOKUP(J763,'Rate Sheet'!$D:$F,3,FALSE),0)</f>
        <v>0</v>
      </c>
      <c r="Z763" s="2">
        <f>IFERROR(VLOOKUP(K763,'Rate Sheet'!$D:$F,3,FALSE),0)</f>
        <v>0</v>
      </c>
      <c r="AA763" s="2">
        <f t="shared" si="12"/>
        <v>14.333333333333334</v>
      </c>
      <c r="AB763">
        <v>1</v>
      </c>
    </row>
    <row r="764" spans="1:28" x14ac:dyDescent="0.25">
      <c r="A764" t="s">
        <v>33</v>
      </c>
      <c r="B764" t="s">
        <v>2963</v>
      </c>
      <c r="C764" t="s">
        <v>21</v>
      </c>
      <c r="D764" t="s">
        <v>2963</v>
      </c>
      <c r="E764" t="s">
        <v>178</v>
      </c>
      <c r="F764" t="s">
        <v>2964</v>
      </c>
      <c r="G764" t="s">
        <v>24</v>
      </c>
      <c r="H764" t="s">
        <v>2965</v>
      </c>
      <c r="I764" t="s">
        <v>46</v>
      </c>
      <c r="N764" t="s">
        <v>803</v>
      </c>
      <c r="S764" t="s">
        <v>48</v>
      </c>
      <c r="V764" t="s">
        <v>5665</v>
      </c>
      <c r="W764" t="s">
        <v>803</v>
      </c>
      <c r="X764" s="2">
        <f>IFERROR(VLOOKUP(I764,'Rate Sheet'!$D:$F,3,FALSE),0)</f>
        <v>14.333333333333334</v>
      </c>
      <c r="Y764" s="2">
        <f>IFERROR(VLOOKUP(J764,'Rate Sheet'!$D:$F,3,FALSE),0)</f>
        <v>0</v>
      </c>
      <c r="Z764" s="2">
        <f>IFERROR(VLOOKUP(K764,'Rate Sheet'!$D:$F,3,FALSE),0)</f>
        <v>0</v>
      </c>
      <c r="AA764" s="2">
        <f t="shared" si="12"/>
        <v>14.333333333333334</v>
      </c>
      <c r="AB764">
        <v>1</v>
      </c>
    </row>
    <row r="765" spans="1:28" x14ac:dyDescent="0.25">
      <c r="A765" t="s">
        <v>33</v>
      </c>
      <c r="B765" t="s">
        <v>2966</v>
      </c>
      <c r="C765" t="s">
        <v>21</v>
      </c>
      <c r="D765" t="s">
        <v>2966</v>
      </c>
      <c r="E765" t="s">
        <v>1003</v>
      </c>
      <c r="F765" t="s">
        <v>2967</v>
      </c>
      <c r="G765" t="s">
        <v>24</v>
      </c>
      <c r="H765" t="s">
        <v>2968</v>
      </c>
      <c r="I765" t="s">
        <v>46</v>
      </c>
      <c r="N765" t="s">
        <v>38</v>
      </c>
      <c r="S765" t="s">
        <v>48</v>
      </c>
      <c r="V765" t="s">
        <v>5582</v>
      </c>
      <c r="W765" t="s">
        <v>5583</v>
      </c>
      <c r="X765" s="2">
        <f>IFERROR(VLOOKUP(I765,'Rate Sheet'!$D:$F,3,FALSE),0)</f>
        <v>14.333333333333334</v>
      </c>
      <c r="Y765" s="2">
        <f>IFERROR(VLOOKUP(J765,'Rate Sheet'!$D:$F,3,FALSE),0)</f>
        <v>0</v>
      </c>
      <c r="Z765" s="2">
        <f>IFERROR(VLOOKUP(K765,'Rate Sheet'!$D:$F,3,FALSE),0)</f>
        <v>0</v>
      </c>
      <c r="AA765" s="2">
        <f t="shared" si="12"/>
        <v>14.333333333333334</v>
      </c>
      <c r="AB765">
        <v>1</v>
      </c>
    </row>
    <row r="766" spans="1:28" x14ac:dyDescent="0.25">
      <c r="A766" t="s">
        <v>33</v>
      </c>
      <c r="B766" t="s">
        <v>2969</v>
      </c>
      <c r="C766" t="s">
        <v>21</v>
      </c>
      <c r="D766" t="s">
        <v>2969</v>
      </c>
      <c r="E766" t="s">
        <v>2475</v>
      </c>
      <c r="F766" t="s">
        <v>2970</v>
      </c>
      <c r="G766" t="s">
        <v>24</v>
      </c>
      <c r="H766" t="s">
        <v>2971</v>
      </c>
      <c r="I766" t="s">
        <v>46</v>
      </c>
      <c r="N766" t="s">
        <v>1013</v>
      </c>
      <c r="S766" t="s">
        <v>48</v>
      </c>
      <c r="V766" t="s">
        <v>5701</v>
      </c>
      <c r="W766" t="s">
        <v>1013</v>
      </c>
      <c r="X766" s="2">
        <f>IFERROR(VLOOKUP(I766,'Rate Sheet'!$D:$F,3,FALSE),0)</f>
        <v>14.333333333333334</v>
      </c>
      <c r="Y766" s="2">
        <f>IFERROR(VLOOKUP(J766,'Rate Sheet'!$D:$F,3,FALSE),0)</f>
        <v>0</v>
      </c>
      <c r="Z766" s="2">
        <f>IFERROR(VLOOKUP(K766,'Rate Sheet'!$D:$F,3,FALSE),0)</f>
        <v>0</v>
      </c>
      <c r="AA766" s="2">
        <f t="shared" si="12"/>
        <v>14.333333333333334</v>
      </c>
      <c r="AB766">
        <v>1</v>
      </c>
    </row>
    <row r="767" spans="1:28" x14ac:dyDescent="0.25">
      <c r="A767" t="s">
        <v>33</v>
      </c>
      <c r="B767" t="s">
        <v>2972</v>
      </c>
      <c r="C767" t="s">
        <v>21</v>
      </c>
      <c r="D767" t="s">
        <v>2972</v>
      </c>
      <c r="E767" t="s">
        <v>1961</v>
      </c>
      <c r="F767" t="s">
        <v>2973</v>
      </c>
      <c r="G767" t="s">
        <v>24</v>
      </c>
      <c r="H767" t="s">
        <v>2974</v>
      </c>
      <c r="I767" t="s">
        <v>73</v>
      </c>
      <c r="N767" t="s">
        <v>2975</v>
      </c>
      <c r="S767" t="s">
        <v>75</v>
      </c>
      <c r="V767" t="s">
        <v>5737</v>
      </c>
      <c r="W767" t="s">
        <v>5738</v>
      </c>
      <c r="X767" s="2">
        <f>IFERROR(VLOOKUP(I767,'Rate Sheet'!$D:$F,3,FALSE),0)</f>
        <v>8.6983333333333324</v>
      </c>
      <c r="Y767" s="2">
        <f>IFERROR(VLOOKUP(J767,'Rate Sheet'!$D:$F,3,FALSE),0)</f>
        <v>0</v>
      </c>
      <c r="Z767" s="2">
        <f>IFERROR(VLOOKUP(K767,'Rate Sheet'!$D:$F,3,FALSE),0)</f>
        <v>0</v>
      </c>
      <c r="AA767" s="2">
        <f t="shared" si="12"/>
        <v>8.6983333333333324</v>
      </c>
      <c r="AB767">
        <v>1</v>
      </c>
    </row>
    <row r="768" spans="1:28" x14ac:dyDescent="0.25">
      <c r="A768" t="s">
        <v>33</v>
      </c>
      <c r="B768" t="s">
        <v>2976</v>
      </c>
      <c r="C768" t="s">
        <v>21</v>
      </c>
      <c r="D768" t="s">
        <v>2977</v>
      </c>
      <c r="E768" t="s">
        <v>2035</v>
      </c>
      <c r="F768" t="s">
        <v>2978</v>
      </c>
      <c r="G768" t="s">
        <v>24</v>
      </c>
      <c r="H768" t="s">
        <v>2979</v>
      </c>
      <c r="I768" t="s">
        <v>46</v>
      </c>
      <c r="N768" t="s">
        <v>2925</v>
      </c>
      <c r="S768" t="s">
        <v>48</v>
      </c>
      <c r="V768" t="s">
        <v>5737</v>
      </c>
      <c r="W768" t="s">
        <v>5738</v>
      </c>
      <c r="X768" s="2">
        <f>IFERROR(VLOOKUP(I768,'Rate Sheet'!$D:$F,3,FALSE),0)</f>
        <v>14.333333333333334</v>
      </c>
      <c r="Y768" s="2">
        <f>IFERROR(VLOOKUP(J768,'Rate Sheet'!$D:$F,3,FALSE),0)</f>
        <v>0</v>
      </c>
      <c r="Z768" s="2">
        <f>IFERROR(VLOOKUP(K768,'Rate Sheet'!$D:$F,3,FALSE),0)</f>
        <v>0</v>
      </c>
      <c r="AA768" s="2">
        <f t="shared" si="12"/>
        <v>14.333333333333334</v>
      </c>
      <c r="AB768">
        <v>1</v>
      </c>
    </row>
    <row r="769" spans="1:28" x14ac:dyDescent="0.25">
      <c r="A769" t="s">
        <v>33</v>
      </c>
      <c r="B769" t="s">
        <v>2980</v>
      </c>
      <c r="C769" t="s">
        <v>21</v>
      </c>
      <c r="D769" t="s">
        <v>2981</v>
      </c>
      <c r="E769" t="s">
        <v>1149</v>
      </c>
      <c r="F769" t="s">
        <v>2982</v>
      </c>
      <c r="G769" t="s">
        <v>24</v>
      </c>
      <c r="H769" t="s">
        <v>2983</v>
      </c>
      <c r="N769" t="s">
        <v>273</v>
      </c>
      <c r="X769" s="2">
        <f>IFERROR(VLOOKUP(I769,'Rate Sheet'!$D:$F,3,FALSE),0)</f>
        <v>0</v>
      </c>
      <c r="Y769" s="2">
        <f>IFERROR(VLOOKUP(J769,'Rate Sheet'!$D:$F,3,FALSE),0)</f>
        <v>0</v>
      </c>
      <c r="Z769" s="2">
        <f>IFERROR(VLOOKUP(K769,'Rate Sheet'!$D:$F,3,FALSE),0)</f>
        <v>0</v>
      </c>
      <c r="AA769" s="2">
        <f t="shared" si="12"/>
        <v>0</v>
      </c>
    </row>
    <row r="770" spans="1:28" x14ac:dyDescent="0.25">
      <c r="A770" t="s">
        <v>33</v>
      </c>
      <c r="B770" t="s">
        <v>2984</v>
      </c>
      <c r="C770" t="s">
        <v>21</v>
      </c>
      <c r="D770" t="s">
        <v>2985</v>
      </c>
      <c r="E770" t="s">
        <v>2090</v>
      </c>
      <c r="F770" t="s">
        <v>2986</v>
      </c>
      <c r="G770" t="s">
        <v>24</v>
      </c>
      <c r="H770" t="s">
        <v>2987</v>
      </c>
      <c r="I770" t="s">
        <v>46</v>
      </c>
      <c r="N770" t="s">
        <v>108</v>
      </c>
      <c r="S770" t="s">
        <v>48</v>
      </c>
      <c r="V770" t="s">
        <v>5585</v>
      </c>
      <c r="W770" t="s">
        <v>68</v>
      </c>
      <c r="X770" s="2">
        <f>IFERROR(VLOOKUP(I770,'Rate Sheet'!$D:$F,3,FALSE),0)</f>
        <v>14.333333333333334</v>
      </c>
      <c r="Y770" s="2">
        <f>IFERROR(VLOOKUP(J770,'Rate Sheet'!$D:$F,3,FALSE),0)</f>
        <v>0</v>
      </c>
      <c r="Z770" s="2">
        <f>IFERROR(VLOOKUP(K770,'Rate Sheet'!$D:$F,3,FALSE),0)</f>
        <v>0</v>
      </c>
      <c r="AA770" s="2">
        <f t="shared" si="12"/>
        <v>14.333333333333334</v>
      </c>
      <c r="AB770">
        <v>1</v>
      </c>
    </row>
    <row r="771" spans="1:28" x14ac:dyDescent="0.25">
      <c r="A771" t="s">
        <v>33</v>
      </c>
      <c r="B771" t="s">
        <v>2988</v>
      </c>
      <c r="C771" t="s">
        <v>21</v>
      </c>
      <c r="D771" t="s">
        <v>2988</v>
      </c>
      <c r="E771" t="s">
        <v>2989</v>
      </c>
      <c r="F771" t="s">
        <v>2990</v>
      </c>
      <c r="G771" t="s">
        <v>24</v>
      </c>
      <c r="H771" t="s">
        <v>2991</v>
      </c>
      <c r="I771" t="s">
        <v>46</v>
      </c>
      <c r="N771" t="s">
        <v>185</v>
      </c>
      <c r="S771" t="s">
        <v>48</v>
      </c>
      <c r="V771" t="s">
        <v>5610</v>
      </c>
      <c r="W771" t="s">
        <v>5611</v>
      </c>
      <c r="X771" s="2">
        <f>IFERROR(VLOOKUP(I771,'Rate Sheet'!$D:$F,3,FALSE),0)</f>
        <v>14.333333333333334</v>
      </c>
      <c r="Y771" s="2">
        <f>IFERROR(VLOOKUP(J771,'Rate Sheet'!$D:$F,3,FALSE),0)</f>
        <v>0</v>
      </c>
      <c r="Z771" s="2">
        <f>IFERROR(VLOOKUP(K771,'Rate Sheet'!$D:$F,3,FALSE),0)</f>
        <v>0</v>
      </c>
      <c r="AA771" s="2">
        <f t="shared" si="12"/>
        <v>14.333333333333334</v>
      </c>
      <c r="AB771">
        <v>1</v>
      </c>
    </row>
    <row r="772" spans="1:28" x14ac:dyDescent="0.25">
      <c r="A772" t="s">
        <v>33</v>
      </c>
      <c r="B772" t="s">
        <v>2992</v>
      </c>
      <c r="C772" t="s">
        <v>21</v>
      </c>
      <c r="D772" t="s">
        <v>2992</v>
      </c>
      <c r="E772" t="s">
        <v>2993</v>
      </c>
      <c r="F772" t="s">
        <v>330</v>
      </c>
      <c r="G772" t="s">
        <v>24</v>
      </c>
      <c r="H772" t="s">
        <v>2994</v>
      </c>
      <c r="I772" t="s">
        <v>73</v>
      </c>
      <c r="N772" t="s">
        <v>697</v>
      </c>
      <c r="S772" t="s">
        <v>75</v>
      </c>
      <c r="V772" t="s">
        <v>5692</v>
      </c>
      <c r="W772" t="s">
        <v>5693</v>
      </c>
      <c r="X772" s="2">
        <f>IFERROR(VLOOKUP(I772,'Rate Sheet'!$D:$F,3,FALSE),0)</f>
        <v>8.6983333333333324</v>
      </c>
      <c r="Y772" s="2">
        <f>IFERROR(VLOOKUP(J772,'Rate Sheet'!$D:$F,3,FALSE),0)</f>
        <v>0</v>
      </c>
      <c r="Z772" s="2">
        <f>IFERROR(VLOOKUP(K772,'Rate Sheet'!$D:$F,3,FALSE),0)</f>
        <v>0</v>
      </c>
      <c r="AA772" s="2">
        <f t="shared" si="12"/>
        <v>8.6983333333333324</v>
      </c>
      <c r="AB772">
        <v>1</v>
      </c>
    </row>
    <row r="773" spans="1:28" x14ac:dyDescent="0.25">
      <c r="A773" t="s">
        <v>33</v>
      </c>
      <c r="B773" t="s">
        <v>2995</v>
      </c>
      <c r="C773" t="s">
        <v>21</v>
      </c>
      <c r="D773" t="s">
        <v>2996</v>
      </c>
      <c r="E773" t="s">
        <v>796</v>
      </c>
      <c r="F773" t="s">
        <v>2997</v>
      </c>
      <c r="G773" t="s">
        <v>24</v>
      </c>
      <c r="H773" t="s">
        <v>2998</v>
      </c>
      <c r="I773" t="s">
        <v>73</v>
      </c>
      <c r="N773" t="s">
        <v>38</v>
      </c>
      <c r="S773" t="s">
        <v>75</v>
      </c>
      <c r="V773" t="s">
        <v>5582</v>
      </c>
      <c r="W773" t="s">
        <v>5583</v>
      </c>
      <c r="X773" s="2">
        <f>IFERROR(VLOOKUP(I773,'Rate Sheet'!$D:$F,3,FALSE),0)</f>
        <v>8.6983333333333324</v>
      </c>
      <c r="Y773" s="2">
        <f>IFERROR(VLOOKUP(J773,'Rate Sheet'!$D:$F,3,FALSE),0)</f>
        <v>0</v>
      </c>
      <c r="Z773" s="2">
        <f>IFERROR(VLOOKUP(K773,'Rate Sheet'!$D:$F,3,FALSE),0)</f>
        <v>0</v>
      </c>
      <c r="AA773" s="2">
        <f t="shared" si="12"/>
        <v>8.6983333333333324</v>
      </c>
      <c r="AB773">
        <v>1</v>
      </c>
    </row>
    <row r="774" spans="1:28" x14ac:dyDescent="0.25">
      <c r="A774" t="s">
        <v>33</v>
      </c>
      <c r="B774" t="s">
        <v>2999</v>
      </c>
      <c r="C774" t="s">
        <v>21</v>
      </c>
      <c r="D774" t="s">
        <v>2999</v>
      </c>
      <c r="E774" t="s">
        <v>3000</v>
      </c>
      <c r="F774" t="s">
        <v>3001</v>
      </c>
      <c r="G774" t="s">
        <v>24</v>
      </c>
      <c r="H774" t="s">
        <v>3002</v>
      </c>
      <c r="N774" t="s">
        <v>2592</v>
      </c>
      <c r="X774" s="2">
        <f>IFERROR(VLOOKUP(I774,'Rate Sheet'!$D:$F,3,FALSE),0)</f>
        <v>0</v>
      </c>
      <c r="Y774" s="2">
        <f>IFERROR(VLOOKUP(J774,'Rate Sheet'!$D:$F,3,FALSE),0)</f>
        <v>0</v>
      </c>
      <c r="Z774" s="2">
        <f>IFERROR(VLOOKUP(K774,'Rate Sheet'!$D:$F,3,FALSE),0)</f>
        <v>0</v>
      </c>
      <c r="AA774" s="2">
        <f t="shared" si="12"/>
        <v>0</v>
      </c>
    </row>
    <row r="775" spans="1:28" x14ac:dyDescent="0.25">
      <c r="A775" t="s">
        <v>33</v>
      </c>
      <c r="B775" t="s">
        <v>3003</v>
      </c>
      <c r="C775" t="s">
        <v>21</v>
      </c>
      <c r="D775" t="s">
        <v>3003</v>
      </c>
      <c r="E775" t="s">
        <v>3004</v>
      </c>
      <c r="F775" t="s">
        <v>3005</v>
      </c>
      <c r="G775" t="s">
        <v>24</v>
      </c>
      <c r="H775" t="s">
        <v>3006</v>
      </c>
      <c r="N775" t="s">
        <v>185</v>
      </c>
      <c r="X775" s="2">
        <f>IFERROR(VLOOKUP(I775,'Rate Sheet'!$D:$F,3,FALSE),0)</f>
        <v>0</v>
      </c>
      <c r="Y775" s="2">
        <f>IFERROR(VLOOKUP(J775,'Rate Sheet'!$D:$F,3,FALSE),0)</f>
        <v>0</v>
      </c>
      <c r="Z775" s="2">
        <f>IFERROR(VLOOKUP(K775,'Rate Sheet'!$D:$F,3,FALSE),0)</f>
        <v>0</v>
      </c>
      <c r="AA775" s="2">
        <f t="shared" si="12"/>
        <v>0</v>
      </c>
    </row>
    <row r="776" spans="1:28" x14ac:dyDescent="0.25">
      <c r="A776" t="s">
        <v>33</v>
      </c>
      <c r="B776" t="s">
        <v>3007</v>
      </c>
      <c r="C776" t="s">
        <v>21</v>
      </c>
      <c r="D776" t="s">
        <v>3007</v>
      </c>
      <c r="E776" t="s">
        <v>3008</v>
      </c>
      <c r="F776" t="s">
        <v>3009</v>
      </c>
      <c r="G776" t="s">
        <v>24</v>
      </c>
      <c r="H776" t="s">
        <v>3010</v>
      </c>
      <c r="N776" t="s">
        <v>38</v>
      </c>
      <c r="X776" s="2">
        <f>IFERROR(VLOOKUP(I776,'Rate Sheet'!$D:$F,3,FALSE),0)</f>
        <v>0</v>
      </c>
      <c r="Y776" s="2">
        <f>IFERROR(VLOOKUP(J776,'Rate Sheet'!$D:$F,3,FALSE),0)</f>
        <v>0</v>
      </c>
      <c r="Z776" s="2">
        <f>IFERROR(VLOOKUP(K776,'Rate Sheet'!$D:$F,3,FALSE),0)</f>
        <v>0</v>
      </c>
      <c r="AA776" s="2">
        <f t="shared" si="12"/>
        <v>0</v>
      </c>
    </row>
    <row r="777" spans="1:28" x14ac:dyDescent="0.25">
      <c r="A777" t="s">
        <v>33</v>
      </c>
      <c r="B777" t="s">
        <v>3011</v>
      </c>
      <c r="C777" t="s">
        <v>29</v>
      </c>
      <c r="D777" t="s">
        <v>3012</v>
      </c>
      <c r="E777" t="s">
        <v>1362</v>
      </c>
      <c r="F777" t="s">
        <v>482</v>
      </c>
      <c r="G777" t="s">
        <v>24</v>
      </c>
      <c r="H777" t="s">
        <v>3013</v>
      </c>
      <c r="I777" t="s">
        <v>46</v>
      </c>
      <c r="N777" t="s">
        <v>397</v>
      </c>
      <c r="S777" t="s">
        <v>48</v>
      </c>
      <c r="V777" t="s">
        <v>5643</v>
      </c>
      <c r="W777" t="s">
        <v>5644</v>
      </c>
      <c r="X777" s="2">
        <f>IFERROR(VLOOKUP(I777,'Rate Sheet'!$D:$F,3,FALSE),0)</f>
        <v>14.333333333333334</v>
      </c>
      <c r="Y777" s="2">
        <f>IFERROR(VLOOKUP(J777,'Rate Sheet'!$D:$F,3,FALSE),0)</f>
        <v>0</v>
      </c>
      <c r="Z777" s="2">
        <f>IFERROR(VLOOKUP(K777,'Rate Sheet'!$D:$F,3,FALSE),0)</f>
        <v>0</v>
      </c>
      <c r="AA777" s="2">
        <f t="shared" si="12"/>
        <v>14.333333333333334</v>
      </c>
      <c r="AB777">
        <v>1</v>
      </c>
    </row>
    <row r="778" spans="1:28" x14ac:dyDescent="0.25">
      <c r="A778" t="s">
        <v>33</v>
      </c>
      <c r="B778" t="s">
        <v>3014</v>
      </c>
      <c r="C778" t="s">
        <v>21</v>
      </c>
      <c r="D778" t="s">
        <v>3014</v>
      </c>
      <c r="E778" t="s">
        <v>3008</v>
      </c>
      <c r="F778" t="s">
        <v>3009</v>
      </c>
      <c r="G778" t="s">
        <v>24</v>
      </c>
      <c r="H778" t="s">
        <v>3015</v>
      </c>
      <c r="I778" t="s">
        <v>46</v>
      </c>
      <c r="N778" t="s">
        <v>38</v>
      </c>
      <c r="S778" t="s">
        <v>48</v>
      </c>
      <c r="V778" t="s">
        <v>5582</v>
      </c>
      <c r="W778" t="s">
        <v>5583</v>
      </c>
      <c r="X778" s="2">
        <f>IFERROR(VLOOKUP(I778,'Rate Sheet'!$D:$F,3,FALSE),0)</f>
        <v>14.333333333333334</v>
      </c>
      <c r="Y778" s="2">
        <f>IFERROR(VLOOKUP(J778,'Rate Sheet'!$D:$F,3,FALSE),0)</f>
        <v>0</v>
      </c>
      <c r="Z778" s="2">
        <f>IFERROR(VLOOKUP(K778,'Rate Sheet'!$D:$F,3,FALSE),0)</f>
        <v>0</v>
      </c>
      <c r="AA778" s="2">
        <f t="shared" si="12"/>
        <v>14.333333333333334</v>
      </c>
      <c r="AB778">
        <v>1</v>
      </c>
    </row>
    <row r="779" spans="1:28" x14ac:dyDescent="0.25">
      <c r="A779" t="s">
        <v>33</v>
      </c>
      <c r="B779" t="s">
        <v>3016</v>
      </c>
      <c r="C779" t="s">
        <v>21</v>
      </c>
      <c r="D779" t="s">
        <v>3016</v>
      </c>
      <c r="E779" t="s">
        <v>1015</v>
      </c>
      <c r="F779" t="s">
        <v>3017</v>
      </c>
      <c r="G779" t="s">
        <v>24</v>
      </c>
      <c r="H779" t="s">
        <v>3018</v>
      </c>
      <c r="I779" t="s">
        <v>73</v>
      </c>
      <c r="N779" t="s">
        <v>38</v>
      </c>
      <c r="S779" t="s">
        <v>75</v>
      </c>
      <c r="V779" t="s">
        <v>5582</v>
      </c>
      <c r="W779" t="s">
        <v>5583</v>
      </c>
      <c r="X779" s="2">
        <f>IFERROR(VLOOKUP(I779,'Rate Sheet'!$D:$F,3,FALSE),0)</f>
        <v>8.6983333333333324</v>
      </c>
      <c r="Y779" s="2">
        <f>IFERROR(VLOOKUP(J779,'Rate Sheet'!$D:$F,3,FALSE),0)</f>
        <v>0</v>
      </c>
      <c r="Z779" s="2">
        <f>IFERROR(VLOOKUP(K779,'Rate Sheet'!$D:$F,3,FALSE),0)</f>
        <v>0</v>
      </c>
      <c r="AA779" s="2">
        <f t="shared" si="12"/>
        <v>8.6983333333333324</v>
      </c>
      <c r="AB779">
        <v>1</v>
      </c>
    </row>
    <row r="780" spans="1:28" x14ac:dyDescent="0.25">
      <c r="A780" t="s">
        <v>33</v>
      </c>
      <c r="B780" t="s">
        <v>3019</v>
      </c>
      <c r="C780" t="s">
        <v>21</v>
      </c>
      <c r="D780" t="s">
        <v>3019</v>
      </c>
      <c r="E780" t="s">
        <v>178</v>
      </c>
      <c r="F780" t="s">
        <v>3020</v>
      </c>
      <c r="G780" t="s">
        <v>24</v>
      </c>
      <c r="H780" t="s">
        <v>3021</v>
      </c>
      <c r="I780" t="s">
        <v>46</v>
      </c>
      <c r="N780" t="s">
        <v>3022</v>
      </c>
      <c r="S780" t="s">
        <v>48</v>
      </c>
      <c r="V780" t="s">
        <v>5602</v>
      </c>
      <c r="W780" t="s">
        <v>5603</v>
      </c>
      <c r="X780" s="2">
        <f>IFERROR(VLOOKUP(I780,'Rate Sheet'!$D:$F,3,FALSE),0)</f>
        <v>14.333333333333334</v>
      </c>
      <c r="Y780" s="2">
        <f>IFERROR(VLOOKUP(J780,'Rate Sheet'!$D:$F,3,FALSE),0)</f>
        <v>0</v>
      </c>
      <c r="Z780" s="2">
        <f>IFERROR(VLOOKUP(K780,'Rate Sheet'!$D:$F,3,FALSE),0)</f>
        <v>0</v>
      </c>
      <c r="AA780" s="2">
        <f t="shared" si="12"/>
        <v>14.333333333333334</v>
      </c>
      <c r="AB780">
        <v>1</v>
      </c>
    </row>
    <row r="781" spans="1:28" x14ac:dyDescent="0.25">
      <c r="A781" t="s">
        <v>33</v>
      </c>
      <c r="B781" t="s">
        <v>3023</v>
      </c>
      <c r="C781" t="s">
        <v>21</v>
      </c>
      <c r="D781" t="s">
        <v>3023</v>
      </c>
      <c r="E781" t="s">
        <v>723</v>
      </c>
      <c r="F781" t="s">
        <v>3024</v>
      </c>
      <c r="G781" t="s">
        <v>24</v>
      </c>
      <c r="H781" t="s">
        <v>3025</v>
      </c>
      <c r="I781" t="s">
        <v>46</v>
      </c>
      <c r="N781" t="s">
        <v>207</v>
      </c>
      <c r="S781" t="s">
        <v>48</v>
      </c>
      <c r="V781" s="10" t="s">
        <v>5634</v>
      </c>
      <c r="W781" s="10" t="s">
        <v>207</v>
      </c>
      <c r="X781" s="2">
        <f>IFERROR(VLOOKUP(I781,'Rate Sheet'!$D:$F,3,FALSE),0)</f>
        <v>14.333333333333334</v>
      </c>
      <c r="Y781" s="2">
        <f>IFERROR(VLOOKUP(J781,'Rate Sheet'!$D:$F,3,FALSE),0)</f>
        <v>0</v>
      </c>
      <c r="Z781" s="2">
        <f>IFERROR(VLOOKUP(K781,'Rate Sheet'!$D:$F,3,FALSE),0)</f>
        <v>0</v>
      </c>
      <c r="AA781" s="2">
        <f t="shared" si="12"/>
        <v>14.333333333333334</v>
      </c>
      <c r="AB781">
        <v>1</v>
      </c>
    </row>
    <row r="782" spans="1:28" x14ac:dyDescent="0.25">
      <c r="A782" t="s">
        <v>33</v>
      </c>
      <c r="B782" t="s">
        <v>3026</v>
      </c>
      <c r="C782" t="s">
        <v>21</v>
      </c>
      <c r="D782" t="s">
        <v>3026</v>
      </c>
      <c r="E782" t="s">
        <v>135</v>
      </c>
      <c r="F782" t="s">
        <v>3027</v>
      </c>
      <c r="G782" t="s">
        <v>24</v>
      </c>
      <c r="H782" t="s">
        <v>3028</v>
      </c>
      <c r="I782" t="s">
        <v>46</v>
      </c>
      <c r="N782" t="s">
        <v>914</v>
      </c>
      <c r="S782" t="s">
        <v>48</v>
      </c>
      <c r="V782" t="s">
        <v>5686</v>
      </c>
      <c r="W782" t="s">
        <v>5687</v>
      </c>
      <c r="X782" s="2">
        <f>IFERROR(VLOOKUP(I782,'Rate Sheet'!$D:$F,3,FALSE),0)</f>
        <v>14.333333333333334</v>
      </c>
      <c r="Y782" s="2">
        <f>IFERROR(VLOOKUP(J782,'Rate Sheet'!$D:$F,3,FALSE),0)</f>
        <v>0</v>
      </c>
      <c r="Z782" s="2">
        <f>IFERROR(VLOOKUP(K782,'Rate Sheet'!$D:$F,3,FALSE),0)</f>
        <v>0</v>
      </c>
      <c r="AA782" s="2">
        <f t="shared" si="12"/>
        <v>14.333333333333334</v>
      </c>
      <c r="AB782">
        <v>1</v>
      </c>
    </row>
    <row r="783" spans="1:28" x14ac:dyDescent="0.25">
      <c r="A783" t="s">
        <v>33</v>
      </c>
      <c r="B783" t="s">
        <v>3029</v>
      </c>
      <c r="C783" t="s">
        <v>21</v>
      </c>
      <c r="D783" t="s">
        <v>3030</v>
      </c>
      <c r="E783" t="s">
        <v>3031</v>
      </c>
      <c r="F783" t="s">
        <v>3032</v>
      </c>
      <c r="G783" t="s">
        <v>24</v>
      </c>
      <c r="H783" t="s">
        <v>3033</v>
      </c>
      <c r="I783" t="s">
        <v>46</v>
      </c>
      <c r="N783" t="s">
        <v>148</v>
      </c>
      <c r="S783" t="s">
        <v>48</v>
      </c>
      <c r="V783" t="s">
        <v>5632</v>
      </c>
      <c r="W783" t="s">
        <v>5633</v>
      </c>
      <c r="X783" s="2">
        <f>IFERROR(VLOOKUP(I783,'Rate Sheet'!$D:$F,3,FALSE),0)</f>
        <v>14.333333333333334</v>
      </c>
      <c r="Y783" s="2">
        <f>IFERROR(VLOOKUP(J783,'Rate Sheet'!$D:$F,3,FALSE),0)</f>
        <v>0</v>
      </c>
      <c r="Z783" s="2">
        <f>IFERROR(VLOOKUP(K783,'Rate Sheet'!$D:$F,3,FALSE),0)</f>
        <v>0</v>
      </c>
      <c r="AA783" s="2">
        <f t="shared" si="12"/>
        <v>14.333333333333334</v>
      </c>
      <c r="AB783">
        <v>1</v>
      </c>
    </row>
    <row r="784" spans="1:28" x14ac:dyDescent="0.25">
      <c r="A784" t="s">
        <v>33</v>
      </c>
      <c r="B784" t="s">
        <v>3034</v>
      </c>
      <c r="C784" t="s">
        <v>21</v>
      </c>
      <c r="D784" t="s">
        <v>3035</v>
      </c>
      <c r="E784" t="s">
        <v>3036</v>
      </c>
      <c r="F784" t="s">
        <v>3037</v>
      </c>
      <c r="G784" t="s">
        <v>24</v>
      </c>
      <c r="H784" t="s">
        <v>3038</v>
      </c>
      <c r="I784" t="s">
        <v>46</v>
      </c>
      <c r="N784" t="s">
        <v>2014</v>
      </c>
      <c r="S784" t="s">
        <v>48</v>
      </c>
      <c r="V784" t="s">
        <v>5666</v>
      </c>
      <c r="W784" t="s">
        <v>1923</v>
      </c>
      <c r="X784" s="2">
        <f>IFERROR(VLOOKUP(I784,'Rate Sheet'!$D:$F,3,FALSE),0)</f>
        <v>14.333333333333334</v>
      </c>
      <c r="Y784" s="2">
        <f>IFERROR(VLOOKUP(J784,'Rate Sheet'!$D:$F,3,FALSE),0)</f>
        <v>0</v>
      </c>
      <c r="Z784" s="2">
        <f>IFERROR(VLOOKUP(K784,'Rate Sheet'!$D:$F,3,FALSE),0)</f>
        <v>0</v>
      </c>
      <c r="AA784" s="2">
        <f t="shared" si="12"/>
        <v>14.333333333333334</v>
      </c>
      <c r="AB784">
        <v>1</v>
      </c>
    </row>
    <row r="785" spans="1:28" x14ac:dyDescent="0.25">
      <c r="A785" t="s">
        <v>33</v>
      </c>
      <c r="B785" t="s">
        <v>3039</v>
      </c>
      <c r="C785" t="s">
        <v>21</v>
      </c>
      <c r="D785" t="s">
        <v>3039</v>
      </c>
      <c r="E785" t="s">
        <v>3040</v>
      </c>
      <c r="F785" t="s">
        <v>3041</v>
      </c>
      <c r="G785" t="s">
        <v>24</v>
      </c>
      <c r="H785" t="s">
        <v>3042</v>
      </c>
      <c r="I785" t="s">
        <v>46</v>
      </c>
      <c r="N785" t="s">
        <v>38</v>
      </c>
      <c r="S785" t="s">
        <v>48</v>
      </c>
      <c r="V785" t="s">
        <v>5582</v>
      </c>
      <c r="W785" t="s">
        <v>5583</v>
      </c>
      <c r="X785" s="2">
        <f>IFERROR(VLOOKUP(I785,'Rate Sheet'!$D:$F,3,FALSE),0)</f>
        <v>14.333333333333334</v>
      </c>
      <c r="Y785" s="2">
        <f>IFERROR(VLOOKUP(J785,'Rate Sheet'!$D:$F,3,FALSE),0)</f>
        <v>0</v>
      </c>
      <c r="Z785" s="2">
        <f>IFERROR(VLOOKUP(K785,'Rate Sheet'!$D:$F,3,FALSE),0)</f>
        <v>0</v>
      </c>
      <c r="AA785" s="2">
        <f t="shared" si="12"/>
        <v>14.333333333333334</v>
      </c>
      <c r="AB785">
        <v>1</v>
      </c>
    </row>
    <row r="786" spans="1:28" x14ac:dyDescent="0.25">
      <c r="A786" t="s">
        <v>33</v>
      </c>
      <c r="B786" t="s">
        <v>3043</v>
      </c>
      <c r="C786" t="s">
        <v>29</v>
      </c>
      <c r="D786" t="s">
        <v>3043</v>
      </c>
      <c r="E786" t="s">
        <v>660</v>
      </c>
      <c r="F786" t="s">
        <v>2901</v>
      </c>
      <c r="G786" t="s">
        <v>24</v>
      </c>
      <c r="H786" s="1" t="s">
        <v>3044</v>
      </c>
      <c r="X786" s="2">
        <f>IFERROR(VLOOKUP(I786,'Rate Sheet'!$D:$F,3,FALSE),0)</f>
        <v>0</v>
      </c>
      <c r="Y786" s="2">
        <f>IFERROR(VLOOKUP(J786,'Rate Sheet'!$D:$F,3,FALSE),0)</f>
        <v>0</v>
      </c>
      <c r="Z786" s="2">
        <f>IFERROR(VLOOKUP(K786,'Rate Sheet'!$D:$F,3,FALSE),0)</f>
        <v>0</v>
      </c>
      <c r="AA786" s="2">
        <f t="shared" si="12"/>
        <v>0</v>
      </c>
    </row>
    <row r="787" spans="1:28" x14ac:dyDescent="0.25">
      <c r="A787" t="s">
        <v>33</v>
      </c>
      <c r="B787" t="s">
        <v>3045</v>
      </c>
      <c r="C787" t="s">
        <v>21</v>
      </c>
      <c r="D787" t="s">
        <v>3045</v>
      </c>
      <c r="E787" t="s">
        <v>3046</v>
      </c>
      <c r="F787" t="s">
        <v>3047</v>
      </c>
      <c r="G787" t="s">
        <v>24</v>
      </c>
      <c r="H787" s="1" t="s">
        <v>3048</v>
      </c>
      <c r="I787" t="s">
        <v>46</v>
      </c>
      <c r="N787" t="s">
        <v>38</v>
      </c>
      <c r="S787" t="s">
        <v>48</v>
      </c>
      <c r="V787" t="s">
        <v>5582</v>
      </c>
      <c r="W787" t="s">
        <v>5583</v>
      </c>
      <c r="X787" s="2">
        <f>IFERROR(VLOOKUP(I787,'Rate Sheet'!$D:$F,3,FALSE),0)</f>
        <v>14.333333333333334</v>
      </c>
      <c r="Y787" s="2">
        <f>IFERROR(VLOOKUP(J787,'Rate Sheet'!$D:$F,3,FALSE),0)</f>
        <v>0</v>
      </c>
      <c r="Z787" s="2">
        <f>IFERROR(VLOOKUP(K787,'Rate Sheet'!$D:$F,3,FALSE),0)</f>
        <v>0</v>
      </c>
      <c r="AA787" s="2">
        <f t="shared" si="12"/>
        <v>14.333333333333334</v>
      </c>
      <c r="AB787">
        <v>1</v>
      </c>
    </row>
    <row r="788" spans="1:28" x14ac:dyDescent="0.25">
      <c r="A788" t="s">
        <v>33</v>
      </c>
      <c r="B788" t="s">
        <v>3049</v>
      </c>
      <c r="C788" t="s">
        <v>21</v>
      </c>
      <c r="D788" t="s">
        <v>3049</v>
      </c>
      <c r="E788" t="s">
        <v>449</v>
      </c>
      <c r="F788" t="s">
        <v>3050</v>
      </c>
      <c r="G788" t="s">
        <v>24</v>
      </c>
      <c r="H788" t="s">
        <v>3051</v>
      </c>
      <c r="N788" t="s">
        <v>1433</v>
      </c>
      <c r="X788" s="2">
        <f>IFERROR(VLOOKUP(I788,'Rate Sheet'!$D:$F,3,FALSE),0)</f>
        <v>0</v>
      </c>
      <c r="Y788" s="2">
        <f>IFERROR(VLOOKUP(J788,'Rate Sheet'!$D:$F,3,FALSE),0)</f>
        <v>0</v>
      </c>
      <c r="Z788" s="2">
        <f>IFERROR(VLOOKUP(K788,'Rate Sheet'!$D:$F,3,FALSE),0)</f>
        <v>0</v>
      </c>
      <c r="AA788" s="2">
        <f t="shared" si="12"/>
        <v>0</v>
      </c>
    </row>
    <row r="789" spans="1:28" x14ac:dyDescent="0.25">
      <c r="A789" t="s">
        <v>33</v>
      </c>
      <c r="B789" t="s">
        <v>3052</v>
      </c>
      <c r="C789" t="s">
        <v>21</v>
      </c>
      <c r="D789" t="s">
        <v>3052</v>
      </c>
      <c r="E789" t="s">
        <v>3053</v>
      </c>
      <c r="F789" t="s">
        <v>822</v>
      </c>
      <c r="G789" t="s">
        <v>24</v>
      </c>
      <c r="H789" t="s">
        <v>3054</v>
      </c>
      <c r="I789" t="s">
        <v>46</v>
      </c>
      <c r="N789" t="s">
        <v>389</v>
      </c>
      <c r="S789" t="s">
        <v>48</v>
      </c>
      <c r="V789" s="10" t="s">
        <v>5640</v>
      </c>
      <c r="W789" s="10" t="s">
        <v>5641</v>
      </c>
      <c r="X789" s="2">
        <f>IFERROR(VLOOKUP(I789,'Rate Sheet'!$D:$F,3,FALSE),0)</f>
        <v>14.333333333333334</v>
      </c>
      <c r="Y789" s="2">
        <f>IFERROR(VLOOKUP(J789,'Rate Sheet'!$D:$F,3,FALSE),0)</f>
        <v>0</v>
      </c>
      <c r="Z789" s="2">
        <f>IFERROR(VLOOKUP(K789,'Rate Sheet'!$D:$F,3,FALSE),0)</f>
        <v>0</v>
      </c>
      <c r="AA789" s="2">
        <f t="shared" si="12"/>
        <v>14.333333333333334</v>
      </c>
      <c r="AB789">
        <v>1</v>
      </c>
    </row>
    <row r="790" spans="1:28" x14ac:dyDescent="0.25">
      <c r="A790" t="s">
        <v>33</v>
      </c>
      <c r="B790" t="s">
        <v>3055</v>
      </c>
      <c r="C790" t="s">
        <v>29</v>
      </c>
      <c r="D790" t="s">
        <v>3055</v>
      </c>
      <c r="E790" t="s">
        <v>1738</v>
      </c>
      <c r="F790" t="s">
        <v>3056</v>
      </c>
      <c r="G790" t="s">
        <v>24</v>
      </c>
      <c r="H790" t="s">
        <v>3057</v>
      </c>
      <c r="N790" t="s">
        <v>246</v>
      </c>
      <c r="X790" s="2">
        <f>IFERROR(VLOOKUP(I790,'Rate Sheet'!$D:$F,3,FALSE),0)</f>
        <v>0</v>
      </c>
      <c r="Y790" s="2">
        <f>IFERROR(VLOOKUP(J790,'Rate Sheet'!$D:$F,3,FALSE),0)</f>
        <v>0</v>
      </c>
      <c r="Z790" s="2">
        <f>IFERROR(VLOOKUP(K790,'Rate Sheet'!$D:$F,3,FALSE),0)</f>
        <v>0</v>
      </c>
      <c r="AA790" s="2">
        <f t="shared" si="12"/>
        <v>0</v>
      </c>
    </row>
    <row r="791" spans="1:28" x14ac:dyDescent="0.25">
      <c r="A791" t="s">
        <v>33</v>
      </c>
      <c r="B791" t="s">
        <v>3058</v>
      </c>
      <c r="C791" t="s">
        <v>29</v>
      </c>
      <c r="D791" t="s">
        <v>3058</v>
      </c>
      <c r="E791" t="s">
        <v>3059</v>
      </c>
      <c r="F791" t="s">
        <v>111</v>
      </c>
      <c r="G791" t="s">
        <v>24</v>
      </c>
      <c r="H791" t="s">
        <v>3060</v>
      </c>
      <c r="I791" t="s">
        <v>46</v>
      </c>
      <c r="N791" t="s">
        <v>246</v>
      </c>
      <c r="S791" t="s">
        <v>48</v>
      </c>
      <c r="V791" t="s">
        <v>5661</v>
      </c>
      <c r="W791" t="s">
        <v>246</v>
      </c>
      <c r="X791" s="2">
        <f>IFERROR(VLOOKUP(I791,'Rate Sheet'!$D:$F,3,FALSE),0)</f>
        <v>14.333333333333334</v>
      </c>
      <c r="Y791" s="2">
        <f>IFERROR(VLOOKUP(J791,'Rate Sheet'!$D:$F,3,FALSE),0)</f>
        <v>0</v>
      </c>
      <c r="Z791" s="2">
        <f>IFERROR(VLOOKUP(K791,'Rate Sheet'!$D:$F,3,FALSE),0)</f>
        <v>0</v>
      </c>
      <c r="AA791" s="2">
        <f t="shared" si="12"/>
        <v>14.333333333333334</v>
      </c>
      <c r="AB791">
        <v>1</v>
      </c>
    </row>
    <row r="792" spans="1:28" x14ac:dyDescent="0.25">
      <c r="A792" t="s">
        <v>33</v>
      </c>
      <c r="B792" t="s">
        <v>3061</v>
      </c>
      <c r="C792" t="s">
        <v>21</v>
      </c>
      <c r="D792" t="s">
        <v>3061</v>
      </c>
      <c r="E792" t="s">
        <v>519</v>
      </c>
      <c r="F792" t="s">
        <v>3062</v>
      </c>
      <c r="G792" t="s">
        <v>24</v>
      </c>
      <c r="H792" t="s">
        <v>3063</v>
      </c>
      <c r="I792" t="s">
        <v>46</v>
      </c>
      <c r="N792" t="s">
        <v>148</v>
      </c>
      <c r="S792" t="s">
        <v>48</v>
      </c>
      <c r="V792" t="s">
        <v>5689</v>
      </c>
      <c r="W792" t="s">
        <v>148</v>
      </c>
      <c r="X792" s="2">
        <f>IFERROR(VLOOKUP(I792,'Rate Sheet'!$D:$F,3,FALSE),0)</f>
        <v>14.333333333333334</v>
      </c>
      <c r="Y792" s="2">
        <f>IFERROR(VLOOKUP(J792,'Rate Sheet'!$D:$F,3,FALSE),0)</f>
        <v>0</v>
      </c>
      <c r="Z792" s="2">
        <f>IFERROR(VLOOKUP(K792,'Rate Sheet'!$D:$F,3,FALSE),0)</f>
        <v>0</v>
      </c>
      <c r="AA792" s="2">
        <f t="shared" si="12"/>
        <v>14.333333333333334</v>
      </c>
      <c r="AB792">
        <v>1</v>
      </c>
    </row>
    <row r="793" spans="1:28" x14ac:dyDescent="0.25">
      <c r="A793" t="s">
        <v>33</v>
      </c>
      <c r="B793" t="s">
        <v>3064</v>
      </c>
      <c r="C793" t="s">
        <v>21</v>
      </c>
      <c r="D793" t="s">
        <v>3064</v>
      </c>
      <c r="E793" t="s">
        <v>1125</v>
      </c>
      <c r="F793" t="s">
        <v>792</v>
      </c>
      <c r="G793" t="s">
        <v>24</v>
      </c>
      <c r="H793" t="s">
        <v>3065</v>
      </c>
      <c r="I793" t="s">
        <v>46</v>
      </c>
      <c r="N793" t="s">
        <v>808</v>
      </c>
      <c r="S793" t="s">
        <v>48</v>
      </c>
      <c r="V793" t="s">
        <v>5667</v>
      </c>
      <c r="W793" t="s">
        <v>808</v>
      </c>
      <c r="X793" s="2">
        <f>IFERROR(VLOOKUP(I793,'Rate Sheet'!$D:$F,3,FALSE),0)</f>
        <v>14.333333333333334</v>
      </c>
      <c r="Y793" s="2">
        <f>IFERROR(VLOOKUP(J793,'Rate Sheet'!$D:$F,3,FALSE),0)</f>
        <v>0</v>
      </c>
      <c r="Z793" s="2">
        <f>IFERROR(VLOOKUP(K793,'Rate Sheet'!$D:$F,3,FALSE),0)</f>
        <v>0</v>
      </c>
      <c r="AA793" s="2">
        <f t="shared" si="12"/>
        <v>14.333333333333334</v>
      </c>
      <c r="AB793">
        <v>1</v>
      </c>
    </row>
    <row r="794" spans="1:28" x14ac:dyDescent="0.25">
      <c r="A794" t="s">
        <v>33</v>
      </c>
      <c r="B794" t="s">
        <v>3066</v>
      </c>
      <c r="C794" t="s">
        <v>21</v>
      </c>
      <c r="D794" t="s">
        <v>3066</v>
      </c>
      <c r="E794" t="s">
        <v>872</v>
      </c>
      <c r="F794" t="s">
        <v>3067</v>
      </c>
      <c r="G794" t="s">
        <v>24</v>
      </c>
      <c r="H794" t="s">
        <v>3068</v>
      </c>
      <c r="I794" t="s">
        <v>46</v>
      </c>
      <c r="N794" t="s">
        <v>273</v>
      </c>
      <c r="S794" t="s">
        <v>48</v>
      </c>
      <c r="V794" t="s">
        <v>5621</v>
      </c>
      <c r="W794" t="s">
        <v>5622</v>
      </c>
      <c r="X794" s="2">
        <f>IFERROR(VLOOKUP(I794,'Rate Sheet'!$D:$F,3,FALSE),0)</f>
        <v>14.333333333333334</v>
      </c>
      <c r="Y794" s="2">
        <f>IFERROR(VLOOKUP(J794,'Rate Sheet'!$D:$F,3,FALSE),0)</f>
        <v>0</v>
      </c>
      <c r="Z794" s="2">
        <f>IFERROR(VLOOKUP(K794,'Rate Sheet'!$D:$F,3,FALSE),0)</f>
        <v>0</v>
      </c>
      <c r="AA794" s="2">
        <f t="shared" si="12"/>
        <v>14.333333333333334</v>
      </c>
      <c r="AB794">
        <v>1</v>
      </c>
    </row>
    <row r="795" spans="1:28" x14ac:dyDescent="0.25">
      <c r="A795" t="s">
        <v>33</v>
      </c>
      <c r="B795" t="s">
        <v>3069</v>
      </c>
      <c r="C795" t="s">
        <v>21</v>
      </c>
      <c r="D795" t="s">
        <v>3070</v>
      </c>
      <c r="E795" t="s">
        <v>3071</v>
      </c>
      <c r="F795" t="s">
        <v>3072</v>
      </c>
      <c r="G795" t="s">
        <v>24</v>
      </c>
      <c r="H795" t="s">
        <v>3073</v>
      </c>
      <c r="I795" t="s">
        <v>46</v>
      </c>
      <c r="N795" t="s">
        <v>273</v>
      </c>
      <c r="S795" t="s">
        <v>48</v>
      </c>
      <c r="V795" t="s">
        <v>5621</v>
      </c>
      <c r="W795" t="s">
        <v>5622</v>
      </c>
      <c r="X795" s="2">
        <f>IFERROR(VLOOKUP(I795,'Rate Sheet'!$D:$F,3,FALSE),0)</f>
        <v>14.333333333333334</v>
      </c>
      <c r="Y795" s="2">
        <f>IFERROR(VLOOKUP(J795,'Rate Sheet'!$D:$F,3,FALSE),0)</f>
        <v>0</v>
      </c>
      <c r="Z795" s="2">
        <f>IFERROR(VLOOKUP(K795,'Rate Sheet'!$D:$F,3,FALSE),0)</f>
        <v>0</v>
      </c>
      <c r="AA795" s="2">
        <f t="shared" si="12"/>
        <v>14.333333333333334</v>
      </c>
      <c r="AB795">
        <v>1</v>
      </c>
    </row>
    <row r="796" spans="1:28" x14ac:dyDescent="0.25">
      <c r="A796" t="s">
        <v>33</v>
      </c>
      <c r="B796" t="s">
        <v>3074</v>
      </c>
      <c r="C796" t="s">
        <v>21</v>
      </c>
      <c r="D796" t="s">
        <v>3074</v>
      </c>
      <c r="E796" t="s">
        <v>275</v>
      </c>
      <c r="F796" t="s">
        <v>1538</v>
      </c>
      <c r="G796" t="s">
        <v>24</v>
      </c>
      <c r="H796" t="s">
        <v>3075</v>
      </c>
      <c r="I796" t="s">
        <v>46</v>
      </c>
      <c r="N796" t="s">
        <v>389</v>
      </c>
      <c r="S796" t="s">
        <v>48</v>
      </c>
      <c r="V796" t="s">
        <v>5640</v>
      </c>
      <c r="W796" t="s">
        <v>5641</v>
      </c>
      <c r="X796" s="2">
        <f>IFERROR(VLOOKUP(I796,'Rate Sheet'!$D:$F,3,FALSE),0)</f>
        <v>14.333333333333334</v>
      </c>
      <c r="Y796" s="2">
        <f>IFERROR(VLOOKUP(J796,'Rate Sheet'!$D:$F,3,FALSE),0)</f>
        <v>0</v>
      </c>
      <c r="Z796" s="2">
        <f>IFERROR(VLOOKUP(K796,'Rate Sheet'!$D:$F,3,FALSE),0)</f>
        <v>0</v>
      </c>
      <c r="AA796" s="2">
        <f t="shared" si="12"/>
        <v>14.333333333333334</v>
      </c>
      <c r="AB796">
        <v>1</v>
      </c>
    </row>
    <row r="797" spans="1:28" x14ac:dyDescent="0.25">
      <c r="A797" t="s">
        <v>33</v>
      </c>
      <c r="B797" t="s">
        <v>3076</v>
      </c>
      <c r="C797" t="s">
        <v>21</v>
      </c>
      <c r="D797" t="s">
        <v>3076</v>
      </c>
      <c r="E797" t="s">
        <v>1883</v>
      </c>
      <c r="F797" t="s">
        <v>792</v>
      </c>
      <c r="G797" t="s">
        <v>24</v>
      </c>
      <c r="H797" t="s">
        <v>3077</v>
      </c>
      <c r="I797" t="s">
        <v>46</v>
      </c>
      <c r="L797" t="s">
        <v>26</v>
      </c>
      <c r="S797" t="s">
        <v>48</v>
      </c>
      <c r="V797" t="s">
        <v>5576</v>
      </c>
      <c r="W797" t="s">
        <v>5577</v>
      </c>
      <c r="X797" s="2">
        <f>IFERROR(VLOOKUP(I797,'Rate Sheet'!$D:$F,3,FALSE),0)</f>
        <v>14.333333333333334</v>
      </c>
      <c r="Y797" s="2">
        <f>IFERROR(VLOOKUP(J797,'Rate Sheet'!$D:$F,3,FALSE),0)</f>
        <v>0</v>
      </c>
      <c r="Z797" s="2">
        <f>IFERROR(VLOOKUP(K797,'Rate Sheet'!$D:$F,3,FALSE),0)</f>
        <v>0</v>
      </c>
      <c r="AA797" s="2">
        <f t="shared" si="12"/>
        <v>14.333333333333334</v>
      </c>
      <c r="AB797">
        <v>1</v>
      </c>
    </row>
    <row r="798" spans="1:28" x14ac:dyDescent="0.25">
      <c r="A798" t="s">
        <v>33</v>
      </c>
      <c r="B798" t="s">
        <v>3078</v>
      </c>
      <c r="C798" t="s">
        <v>21</v>
      </c>
      <c r="D798" t="s">
        <v>3078</v>
      </c>
      <c r="E798" t="s">
        <v>1537</v>
      </c>
      <c r="F798" t="s">
        <v>3079</v>
      </c>
      <c r="G798" t="s">
        <v>24</v>
      </c>
      <c r="H798" t="s">
        <v>3080</v>
      </c>
      <c r="I798" t="s">
        <v>46</v>
      </c>
      <c r="N798" t="s">
        <v>309</v>
      </c>
      <c r="S798" t="s">
        <v>48</v>
      </c>
      <c r="V798" t="s">
        <v>5739</v>
      </c>
      <c r="W798" t="s">
        <v>5740</v>
      </c>
      <c r="X798" s="2">
        <f>IFERROR(VLOOKUP(I798,'Rate Sheet'!$D:$F,3,FALSE),0)</f>
        <v>14.333333333333334</v>
      </c>
      <c r="Y798" s="2">
        <f>IFERROR(VLOOKUP(J798,'Rate Sheet'!$D:$F,3,FALSE),0)</f>
        <v>0</v>
      </c>
      <c r="Z798" s="2">
        <f>IFERROR(VLOOKUP(K798,'Rate Sheet'!$D:$F,3,FALSE),0)</f>
        <v>0</v>
      </c>
      <c r="AA798" s="2">
        <f t="shared" si="12"/>
        <v>14.333333333333334</v>
      </c>
      <c r="AB798">
        <v>1</v>
      </c>
    </row>
    <row r="799" spans="1:28" x14ac:dyDescent="0.25">
      <c r="A799" t="s">
        <v>33</v>
      </c>
      <c r="B799" t="s">
        <v>3081</v>
      </c>
      <c r="C799" t="s">
        <v>21</v>
      </c>
      <c r="D799" t="s">
        <v>3081</v>
      </c>
      <c r="E799" t="s">
        <v>159</v>
      </c>
      <c r="F799" t="s">
        <v>3082</v>
      </c>
      <c r="G799" t="s">
        <v>24</v>
      </c>
      <c r="H799" t="s">
        <v>3083</v>
      </c>
      <c r="N799" t="s">
        <v>620</v>
      </c>
      <c r="X799" s="2">
        <f>IFERROR(VLOOKUP(I799,'Rate Sheet'!$D:$F,3,FALSE),0)</f>
        <v>0</v>
      </c>
      <c r="Y799" s="2">
        <f>IFERROR(VLOOKUP(J799,'Rate Sheet'!$D:$F,3,FALSE),0)</f>
        <v>0</v>
      </c>
      <c r="Z799" s="2">
        <f>IFERROR(VLOOKUP(K799,'Rate Sheet'!$D:$F,3,FALSE),0)</f>
        <v>0</v>
      </c>
      <c r="AA799" s="2">
        <f t="shared" si="12"/>
        <v>0</v>
      </c>
    </row>
    <row r="800" spans="1:28" x14ac:dyDescent="0.25">
      <c r="A800" t="s">
        <v>33</v>
      </c>
      <c r="B800" t="s">
        <v>3084</v>
      </c>
      <c r="C800" t="s">
        <v>29</v>
      </c>
      <c r="D800" t="s">
        <v>3084</v>
      </c>
      <c r="E800" t="s">
        <v>77</v>
      </c>
      <c r="F800" t="s">
        <v>1431</v>
      </c>
      <c r="G800" t="s">
        <v>24</v>
      </c>
      <c r="H800" t="s">
        <v>3085</v>
      </c>
      <c r="X800" s="2">
        <f>IFERROR(VLOOKUP(I800,'Rate Sheet'!$D:$F,3,FALSE),0)</f>
        <v>0</v>
      </c>
      <c r="Y800" s="2">
        <f>IFERROR(VLOOKUP(J800,'Rate Sheet'!$D:$F,3,FALSE),0)</f>
        <v>0</v>
      </c>
      <c r="Z800" s="2">
        <f>IFERROR(VLOOKUP(K800,'Rate Sheet'!$D:$F,3,FALSE),0)</f>
        <v>0</v>
      </c>
      <c r="AA800" s="2">
        <f t="shared" si="12"/>
        <v>0</v>
      </c>
    </row>
    <row r="801" spans="1:28" x14ac:dyDescent="0.25">
      <c r="A801" t="s">
        <v>33</v>
      </c>
      <c r="B801" t="s">
        <v>3086</v>
      </c>
      <c r="C801" t="s">
        <v>92</v>
      </c>
      <c r="D801" t="s">
        <v>3087</v>
      </c>
      <c r="E801" t="s">
        <v>338</v>
      </c>
      <c r="F801" t="s">
        <v>3088</v>
      </c>
      <c r="G801" t="s">
        <v>24</v>
      </c>
      <c r="H801" t="s">
        <v>3089</v>
      </c>
      <c r="I801" t="s">
        <v>73</v>
      </c>
      <c r="N801" t="s">
        <v>1115</v>
      </c>
      <c r="S801" t="s">
        <v>75</v>
      </c>
      <c r="V801" t="s">
        <v>5685</v>
      </c>
      <c r="W801" t="s">
        <v>1115</v>
      </c>
      <c r="X801" s="2">
        <f>IFERROR(VLOOKUP(I801,'Rate Sheet'!$D:$F,3,FALSE),0)</f>
        <v>8.6983333333333324</v>
      </c>
      <c r="Y801" s="2">
        <f>IFERROR(VLOOKUP(J801,'Rate Sheet'!$D:$F,3,FALSE),0)</f>
        <v>0</v>
      </c>
      <c r="Z801" s="2">
        <f>IFERROR(VLOOKUP(K801,'Rate Sheet'!$D:$F,3,FALSE),0)</f>
        <v>0</v>
      </c>
      <c r="AA801" s="2">
        <f t="shared" si="12"/>
        <v>8.6983333333333324</v>
      </c>
      <c r="AB801">
        <v>1</v>
      </c>
    </row>
    <row r="802" spans="1:28" x14ac:dyDescent="0.25">
      <c r="A802" t="s">
        <v>33</v>
      </c>
      <c r="B802" t="s">
        <v>3090</v>
      </c>
      <c r="C802" t="s">
        <v>21</v>
      </c>
      <c r="D802" t="s">
        <v>3090</v>
      </c>
      <c r="E802" t="s">
        <v>3091</v>
      </c>
      <c r="F802" t="s">
        <v>3092</v>
      </c>
      <c r="G802" t="s">
        <v>24</v>
      </c>
      <c r="H802" t="s">
        <v>3093</v>
      </c>
      <c r="I802" t="s">
        <v>46</v>
      </c>
      <c r="N802" t="s">
        <v>1061</v>
      </c>
      <c r="S802" t="s">
        <v>48</v>
      </c>
      <c r="V802" t="s">
        <v>5679</v>
      </c>
      <c r="W802" t="s">
        <v>1061</v>
      </c>
      <c r="X802" s="2">
        <f>IFERROR(VLOOKUP(I802,'Rate Sheet'!$D:$F,3,FALSE),0)</f>
        <v>14.333333333333334</v>
      </c>
      <c r="Y802" s="2">
        <f>IFERROR(VLOOKUP(J802,'Rate Sheet'!$D:$F,3,FALSE),0)</f>
        <v>0</v>
      </c>
      <c r="Z802" s="2">
        <f>IFERROR(VLOOKUP(K802,'Rate Sheet'!$D:$F,3,FALSE),0)</f>
        <v>0</v>
      </c>
      <c r="AA802" s="2">
        <f t="shared" si="12"/>
        <v>14.333333333333334</v>
      </c>
      <c r="AB802">
        <v>1</v>
      </c>
    </row>
    <row r="803" spans="1:28" x14ac:dyDescent="0.25">
      <c r="A803" t="s">
        <v>33</v>
      </c>
      <c r="B803" t="s">
        <v>3094</v>
      </c>
      <c r="C803" t="s">
        <v>21</v>
      </c>
      <c r="D803" t="s">
        <v>3095</v>
      </c>
      <c r="E803" t="s">
        <v>213</v>
      </c>
      <c r="F803" t="s">
        <v>3096</v>
      </c>
      <c r="G803" t="s">
        <v>24</v>
      </c>
      <c r="H803" s="1" t="s">
        <v>3097</v>
      </c>
      <c r="N803" t="s">
        <v>273</v>
      </c>
      <c r="X803" s="2">
        <f>IFERROR(VLOOKUP(I803,'Rate Sheet'!$D:$F,3,FALSE),0)</f>
        <v>0</v>
      </c>
      <c r="Y803" s="2">
        <f>IFERROR(VLOOKUP(J803,'Rate Sheet'!$D:$F,3,FALSE),0)</f>
        <v>0</v>
      </c>
      <c r="Z803" s="2">
        <f>IFERROR(VLOOKUP(K803,'Rate Sheet'!$D:$F,3,FALSE),0)</f>
        <v>0</v>
      </c>
      <c r="AA803" s="2">
        <f t="shared" si="12"/>
        <v>0</v>
      </c>
    </row>
    <row r="804" spans="1:28" x14ac:dyDescent="0.25">
      <c r="A804" t="s">
        <v>33</v>
      </c>
      <c r="B804" t="s">
        <v>3098</v>
      </c>
      <c r="C804" t="s">
        <v>21</v>
      </c>
      <c r="D804" t="s">
        <v>3098</v>
      </c>
      <c r="E804" t="s">
        <v>3099</v>
      </c>
      <c r="F804" t="s">
        <v>3100</v>
      </c>
      <c r="G804" t="s">
        <v>24</v>
      </c>
      <c r="H804" s="1" t="s">
        <v>3101</v>
      </c>
      <c r="N804" t="s">
        <v>914</v>
      </c>
      <c r="X804" s="2">
        <f>IFERROR(VLOOKUP(I804,'Rate Sheet'!$D:$F,3,FALSE),0)</f>
        <v>0</v>
      </c>
      <c r="Y804" s="2">
        <f>IFERROR(VLOOKUP(J804,'Rate Sheet'!$D:$F,3,FALSE),0)</f>
        <v>0</v>
      </c>
      <c r="Z804" s="2">
        <f>IFERROR(VLOOKUP(K804,'Rate Sheet'!$D:$F,3,FALSE),0)</f>
        <v>0</v>
      </c>
      <c r="AA804" s="2">
        <f t="shared" si="12"/>
        <v>0</v>
      </c>
    </row>
    <row r="805" spans="1:28" x14ac:dyDescent="0.25">
      <c r="A805" t="s">
        <v>33</v>
      </c>
      <c r="B805" t="s">
        <v>3102</v>
      </c>
      <c r="C805" t="s">
        <v>21</v>
      </c>
      <c r="D805" t="s">
        <v>3102</v>
      </c>
      <c r="E805" t="s">
        <v>1076</v>
      </c>
      <c r="F805" t="s">
        <v>3103</v>
      </c>
      <c r="G805" t="s">
        <v>24</v>
      </c>
      <c r="H805" t="s">
        <v>3104</v>
      </c>
      <c r="I805" t="s">
        <v>46</v>
      </c>
      <c r="N805" t="s">
        <v>994</v>
      </c>
      <c r="S805" t="s">
        <v>48</v>
      </c>
      <c r="V805" t="s">
        <v>5653</v>
      </c>
      <c r="W805" t="s">
        <v>5654</v>
      </c>
      <c r="X805" s="2">
        <f>IFERROR(VLOOKUP(I805,'Rate Sheet'!$D:$F,3,FALSE),0)</f>
        <v>14.333333333333334</v>
      </c>
      <c r="Y805" s="2">
        <f>IFERROR(VLOOKUP(J805,'Rate Sheet'!$D:$F,3,FALSE),0)</f>
        <v>0</v>
      </c>
      <c r="Z805" s="2">
        <f>IFERROR(VLOOKUP(K805,'Rate Sheet'!$D:$F,3,FALSE),0)</f>
        <v>0</v>
      </c>
      <c r="AA805" s="2">
        <f t="shared" si="12"/>
        <v>14.333333333333334</v>
      </c>
      <c r="AB805">
        <v>1</v>
      </c>
    </row>
    <row r="806" spans="1:28" x14ac:dyDescent="0.25">
      <c r="A806" t="s">
        <v>33</v>
      </c>
      <c r="B806" t="s">
        <v>3105</v>
      </c>
      <c r="C806" t="s">
        <v>21</v>
      </c>
      <c r="D806" t="s">
        <v>3105</v>
      </c>
      <c r="E806" t="s">
        <v>126</v>
      </c>
      <c r="F806" t="s">
        <v>78</v>
      </c>
      <c r="G806" t="s">
        <v>24</v>
      </c>
      <c r="H806" t="s">
        <v>3106</v>
      </c>
      <c r="I806" t="s">
        <v>46</v>
      </c>
      <c r="N806" t="s">
        <v>755</v>
      </c>
      <c r="S806" t="s">
        <v>48</v>
      </c>
      <c r="V806" t="s">
        <v>5694</v>
      </c>
      <c r="W806" t="s">
        <v>755</v>
      </c>
      <c r="X806" s="2">
        <f>IFERROR(VLOOKUP(I806,'Rate Sheet'!$D:$F,3,FALSE),0)</f>
        <v>14.333333333333334</v>
      </c>
      <c r="Y806" s="2">
        <f>IFERROR(VLOOKUP(J806,'Rate Sheet'!$D:$F,3,FALSE),0)</f>
        <v>0</v>
      </c>
      <c r="Z806" s="2">
        <f>IFERROR(VLOOKUP(K806,'Rate Sheet'!$D:$F,3,FALSE),0)</f>
        <v>0</v>
      </c>
      <c r="AA806" s="2">
        <f t="shared" si="12"/>
        <v>14.333333333333334</v>
      </c>
      <c r="AB806">
        <v>1</v>
      </c>
    </row>
    <row r="807" spans="1:28" x14ac:dyDescent="0.25">
      <c r="A807" t="s">
        <v>33</v>
      </c>
      <c r="B807" t="s">
        <v>3107</v>
      </c>
      <c r="C807" t="s">
        <v>21</v>
      </c>
      <c r="D807" t="s">
        <v>3107</v>
      </c>
      <c r="E807" t="s">
        <v>3108</v>
      </c>
      <c r="F807" t="s">
        <v>2445</v>
      </c>
      <c r="G807" t="s">
        <v>24</v>
      </c>
      <c r="H807" t="s">
        <v>3109</v>
      </c>
      <c r="I807" t="s">
        <v>46</v>
      </c>
      <c r="N807" t="s">
        <v>620</v>
      </c>
      <c r="S807" t="s">
        <v>48</v>
      </c>
      <c r="V807" t="s">
        <v>5741</v>
      </c>
      <c r="W807" t="s">
        <v>4723</v>
      </c>
      <c r="X807" s="2">
        <f>IFERROR(VLOOKUP(I807,'Rate Sheet'!$D:$F,3,FALSE),0)</f>
        <v>14.333333333333334</v>
      </c>
      <c r="Y807" s="2">
        <f>IFERROR(VLOOKUP(J807,'Rate Sheet'!$D:$F,3,FALSE),0)</f>
        <v>0</v>
      </c>
      <c r="Z807" s="2">
        <f>IFERROR(VLOOKUP(K807,'Rate Sheet'!$D:$F,3,FALSE),0)</f>
        <v>0</v>
      </c>
      <c r="AA807" s="2">
        <f t="shared" si="12"/>
        <v>14.333333333333334</v>
      </c>
      <c r="AB807">
        <v>1</v>
      </c>
    </row>
    <row r="808" spans="1:28" x14ac:dyDescent="0.25">
      <c r="A808" t="s">
        <v>33</v>
      </c>
      <c r="B808" t="s">
        <v>3110</v>
      </c>
      <c r="C808" t="s">
        <v>21</v>
      </c>
      <c r="D808" t="s">
        <v>3111</v>
      </c>
      <c r="E808" t="s">
        <v>3112</v>
      </c>
      <c r="F808" t="s">
        <v>3113</v>
      </c>
      <c r="G808" t="s">
        <v>24</v>
      </c>
      <c r="H808" t="s">
        <v>3114</v>
      </c>
      <c r="N808" t="s">
        <v>878</v>
      </c>
      <c r="X808" s="2">
        <f>IFERROR(VLOOKUP(I808,'Rate Sheet'!$D:$F,3,FALSE),0)</f>
        <v>0</v>
      </c>
      <c r="Y808" s="2">
        <f>IFERROR(VLOOKUP(J808,'Rate Sheet'!$D:$F,3,FALSE),0)</f>
        <v>0</v>
      </c>
      <c r="Z808" s="2">
        <f>IFERROR(VLOOKUP(K808,'Rate Sheet'!$D:$F,3,FALSE),0)</f>
        <v>0</v>
      </c>
      <c r="AA808" s="2">
        <f t="shared" si="12"/>
        <v>0</v>
      </c>
    </row>
    <row r="809" spans="1:28" x14ac:dyDescent="0.25">
      <c r="A809" t="s">
        <v>33</v>
      </c>
      <c r="B809" t="s">
        <v>3115</v>
      </c>
      <c r="C809" t="s">
        <v>21</v>
      </c>
      <c r="D809" t="s">
        <v>3115</v>
      </c>
      <c r="E809" t="s">
        <v>626</v>
      </c>
      <c r="F809" t="s">
        <v>3116</v>
      </c>
      <c r="G809" t="s">
        <v>24</v>
      </c>
      <c r="H809" t="s">
        <v>3117</v>
      </c>
      <c r="N809" t="s">
        <v>27</v>
      </c>
      <c r="X809" s="2">
        <f>IFERROR(VLOOKUP(I809,'Rate Sheet'!$D:$F,3,FALSE),0)</f>
        <v>0</v>
      </c>
      <c r="Y809" s="2">
        <f>IFERROR(VLOOKUP(J809,'Rate Sheet'!$D:$F,3,FALSE),0)</f>
        <v>0</v>
      </c>
      <c r="Z809" s="2">
        <f>IFERROR(VLOOKUP(K809,'Rate Sheet'!$D:$F,3,FALSE),0)</f>
        <v>0</v>
      </c>
      <c r="AA809" s="2">
        <f t="shared" si="12"/>
        <v>0</v>
      </c>
    </row>
    <row r="810" spans="1:28" x14ac:dyDescent="0.25">
      <c r="A810" t="s">
        <v>33</v>
      </c>
      <c r="B810" t="s">
        <v>3118</v>
      </c>
      <c r="C810" t="s">
        <v>21</v>
      </c>
      <c r="D810" t="s">
        <v>3118</v>
      </c>
      <c r="E810" t="s">
        <v>2369</v>
      </c>
      <c r="F810" t="s">
        <v>3119</v>
      </c>
      <c r="G810" t="s">
        <v>24</v>
      </c>
      <c r="H810" t="s">
        <v>3120</v>
      </c>
      <c r="N810" t="s">
        <v>27</v>
      </c>
      <c r="X810" s="2">
        <f>IFERROR(VLOOKUP(I810,'Rate Sheet'!$D:$F,3,FALSE),0)</f>
        <v>0</v>
      </c>
      <c r="Y810" s="2">
        <f>IFERROR(VLOOKUP(J810,'Rate Sheet'!$D:$F,3,FALSE),0)</f>
        <v>0</v>
      </c>
      <c r="Z810" s="2">
        <f>IFERROR(VLOOKUP(K810,'Rate Sheet'!$D:$F,3,FALSE),0)</f>
        <v>0</v>
      </c>
      <c r="AA810" s="2">
        <f t="shared" si="12"/>
        <v>0</v>
      </c>
    </row>
    <row r="811" spans="1:28" x14ac:dyDescent="0.25">
      <c r="A811" t="s">
        <v>33</v>
      </c>
      <c r="B811" t="s">
        <v>3121</v>
      </c>
      <c r="C811" t="s">
        <v>21</v>
      </c>
      <c r="D811" t="s">
        <v>3122</v>
      </c>
      <c r="E811" t="s">
        <v>204</v>
      </c>
      <c r="F811" t="s">
        <v>3123</v>
      </c>
      <c r="G811" t="s">
        <v>24</v>
      </c>
      <c r="H811" t="s">
        <v>3124</v>
      </c>
      <c r="I811" t="s">
        <v>46</v>
      </c>
      <c r="N811" t="s">
        <v>309</v>
      </c>
      <c r="S811" t="s">
        <v>48</v>
      </c>
      <c r="V811" t="s">
        <v>5742</v>
      </c>
      <c r="W811" t="s">
        <v>5743</v>
      </c>
      <c r="X811" s="2">
        <f>IFERROR(VLOOKUP(I811,'Rate Sheet'!$D:$F,3,FALSE),0)</f>
        <v>14.333333333333334</v>
      </c>
      <c r="Y811" s="2">
        <f>IFERROR(VLOOKUP(J811,'Rate Sheet'!$D:$F,3,FALSE),0)</f>
        <v>0</v>
      </c>
      <c r="Z811" s="2">
        <f>IFERROR(VLOOKUP(K811,'Rate Sheet'!$D:$F,3,FALSE),0)</f>
        <v>0</v>
      </c>
      <c r="AA811" s="2">
        <f t="shared" si="12"/>
        <v>14.333333333333334</v>
      </c>
      <c r="AB811">
        <v>1</v>
      </c>
    </row>
    <row r="812" spans="1:28" x14ac:dyDescent="0.25">
      <c r="A812" t="s">
        <v>33</v>
      </c>
      <c r="B812" t="s">
        <v>3125</v>
      </c>
      <c r="C812" t="s">
        <v>21</v>
      </c>
      <c r="D812" t="s">
        <v>3126</v>
      </c>
      <c r="E812" t="s">
        <v>778</v>
      </c>
      <c r="F812" t="s">
        <v>3127</v>
      </c>
      <c r="G812" t="s">
        <v>24</v>
      </c>
      <c r="H812" t="s">
        <v>3128</v>
      </c>
      <c r="I812" t="s">
        <v>46</v>
      </c>
      <c r="N812" t="s">
        <v>309</v>
      </c>
      <c r="S812" t="s">
        <v>48</v>
      </c>
      <c r="V812" t="s">
        <v>5742</v>
      </c>
      <c r="W812" t="s">
        <v>5743</v>
      </c>
      <c r="X812" s="2">
        <f>IFERROR(VLOOKUP(I812,'Rate Sheet'!$D:$F,3,FALSE),0)</f>
        <v>14.333333333333334</v>
      </c>
      <c r="Y812" s="2">
        <f>IFERROR(VLOOKUP(J812,'Rate Sheet'!$D:$F,3,FALSE),0)</f>
        <v>0</v>
      </c>
      <c r="Z812" s="2">
        <f>IFERROR(VLOOKUP(K812,'Rate Sheet'!$D:$F,3,FALSE),0)</f>
        <v>0</v>
      </c>
      <c r="AA812" s="2">
        <f t="shared" si="12"/>
        <v>14.333333333333334</v>
      </c>
      <c r="AB812">
        <v>1</v>
      </c>
    </row>
    <row r="813" spans="1:28" x14ac:dyDescent="0.25">
      <c r="A813" t="s">
        <v>33</v>
      </c>
      <c r="B813" t="s">
        <v>3129</v>
      </c>
      <c r="C813" t="s">
        <v>21</v>
      </c>
      <c r="D813" t="s">
        <v>3129</v>
      </c>
      <c r="E813" t="s">
        <v>1557</v>
      </c>
      <c r="F813" t="s">
        <v>3130</v>
      </c>
      <c r="G813" t="s">
        <v>24</v>
      </c>
      <c r="H813" t="s">
        <v>3131</v>
      </c>
      <c r="I813" t="s">
        <v>46</v>
      </c>
      <c r="N813" t="s">
        <v>309</v>
      </c>
      <c r="S813" t="s">
        <v>48</v>
      </c>
      <c r="V813" t="s">
        <v>5742</v>
      </c>
      <c r="W813" t="s">
        <v>5743</v>
      </c>
      <c r="X813" s="2">
        <f>IFERROR(VLOOKUP(I813,'Rate Sheet'!$D:$F,3,FALSE),0)</f>
        <v>14.333333333333334</v>
      </c>
      <c r="Y813" s="2">
        <f>IFERROR(VLOOKUP(J813,'Rate Sheet'!$D:$F,3,FALSE),0)</f>
        <v>0</v>
      </c>
      <c r="Z813" s="2">
        <f>IFERROR(VLOOKUP(K813,'Rate Sheet'!$D:$F,3,FALSE),0)</f>
        <v>0</v>
      </c>
      <c r="AA813" s="2">
        <f t="shared" si="12"/>
        <v>14.333333333333334</v>
      </c>
      <c r="AB813">
        <v>1</v>
      </c>
    </row>
    <row r="814" spans="1:28" x14ac:dyDescent="0.25">
      <c r="A814" t="s">
        <v>33</v>
      </c>
      <c r="B814" t="s">
        <v>3132</v>
      </c>
      <c r="C814" t="s">
        <v>21</v>
      </c>
      <c r="D814" t="s">
        <v>3133</v>
      </c>
      <c r="E814" t="s">
        <v>1189</v>
      </c>
      <c r="F814" t="s">
        <v>3134</v>
      </c>
      <c r="G814" t="s">
        <v>24</v>
      </c>
      <c r="H814" t="s">
        <v>3135</v>
      </c>
      <c r="I814" t="s">
        <v>46</v>
      </c>
      <c r="N814" t="s">
        <v>309</v>
      </c>
      <c r="S814" t="s">
        <v>48</v>
      </c>
      <c r="V814" t="s">
        <v>5742</v>
      </c>
      <c r="W814" t="s">
        <v>5743</v>
      </c>
      <c r="X814" s="2">
        <f>IFERROR(VLOOKUP(I814,'Rate Sheet'!$D:$F,3,FALSE),0)</f>
        <v>14.333333333333334</v>
      </c>
      <c r="Y814" s="2">
        <f>IFERROR(VLOOKUP(J814,'Rate Sheet'!$D:$F,3,FALSE),0)</f>
        <v>0</v>
      </c>
      <c r="Z814" s="2">
        <f>IFERROR(VLOOKUP(K814,'Rate Sheet'!$D:$F,3,FALSE),0)</f>
        <v>0</v>
      </c>
      <c r="AA814" s="2">
        <f t="shared" si="12"/>
        <v>14.333333333333334</v>
      </c>
      <c r="AB814">
        <v>1</v>
      </c>
    </row>
    <row r="815" spans="1:28" x14ac:dyDescent="0.25">
      <c r="A815" t="s">
        <v>33</v>
      </c>
      <c r="B815" t="s">
        <v>3136</v>
      </c>
      <c r="C815" t="s">
        <v>21</v>
      </c>
      <c r="D815" t="s">
        <v>3137</v>
      </c>
      <c r="E815" t="s">
        <v>3138</v>
      </c>
      <c r="F815" t="s">
        <v>822</v>
      </c>
      <c r="G815" t="s">
        <v>24</v>
      </c>
      <c r="H815" t="s">
        <v>3139</v>
      </c>
      <c r="N815" t="s">
        <v>309</v>
      </c>
      <c r="X815" s="2">
        <f>IFERROR(VLOOKUP(I815,'Rate Sheet'!$D:$F,3,FALSE),0)</f>
        <v>0</v>
      </c>
      <c r="Y815" s="2">
        <f>IFERROR(VLOOKUP(J815,'Rate Sheet'!$D:$F,3,FALSE),0)</f>
        <v>0</v>
      </c>
      <c r="Z815" s="2">
        <f>IFERROR(VLOOKUP(K815,'Rate Sheet'!$D:$F,3,FALSE),0)</f>
        <v>0</v>
      </c>
      <c r="AA815" s="2">
        <f t="shared" si="12"/>
        <v>0</v>
      </c>
    </row>
    <row r="816" spans="1:28" x14ac:dyDescent="0.25">
      <c r="A816" t="s">
        <v>33</v>
      </c>
      <c r="B816" t="s">
        <v>3140</v>
      </c>
      <c r="C816" t="s">
        <v>21</v>
      </c>
      <c r="D816" t="s">
        <v>3141</v>
      </c>
      <c r="E816" t="s">
        <v>660</v>
      </c>
      <c r="F816" t="s">
        <v>3142</v>
      </c>
      <c r="G816" t="s">
        <v>24</v>
      </c>
      <c r="H816" t="s">
        <v>3143</v>
      </c>
      <c r="X816" s="2">
        <f>IFERROR(VLOOKUP(I816,'Rate Sheet'!$D:$F,3,FALSE),0)</f>
        <v>0</v>
      </c>
      <c r="Y816" s="2">
        <f>IFERROR(VLOOKUP(J816,'Rate Sheet'!$D:$F,3,FALSE),0)</f>
        <v>0</v>
      </c>
      <c r="Z816" s="2">
        <f>IFERROR(VLOOKUP(K816,'Rate Sheet'!$D:$F,3,FALSE),0)</f>
        <v>0</v>
      </c>
      <c r="AA816" s="2">
        <f t="shared" si="12"/>
        <v>0</v>
      </c>
    </row>
    <row r="817" spans="1:28" x14ac:dyDescent="0.25">
      <c r="A817" t="s">
        <v>33</v>
      </c>
      <c r="B817" t="s">
        <v>3144</v>
      </c>
      <c r="C817" t="s">
        <v>21</v>
      </c>
      <c r="D817" t="s">
        <v>3144</v>
      </c>
      <c r="E817" t="s">
        <v>1176</v>
      </c>
      <c r="F817" t="s">
        <v>3145</v>
      </c>
      <c r="G817" t="s">
        <v>24</v>
      </c>
      <c r="H817" t="s">
        <v>3146</v>
      </c>
      <c r="N817" t="s">
        <v>349</v>
      </c>
      <c r="X817" s="2">
        <f>IFERROR(VLOOKUP(I817,'Rate Sheet'!$D:$F,3,FALSE),0)</f>
        <v>0</v>
      </c>
      <c r="Y817" s="2">
        <f>IFERROR(VLOOKUP(J817,'Rate Sheet'!$D:$F,3,FALSE),0)</f>
        <v>0</v>
      </c>
      <c r="Z817" s="2">
        <f>IFERROR(VLOOKUP(K817,'Rate Sheet'!$D:$F,3,FALSE),0)</f>
        <v>0</v>
      </c>
      <c r="AA817" s="2">
        <f t="shared" si="12"/>
        <v>0</v>
      </c>
    </row>
    <row r="818" spans="1:28" x14ac:dyDescent="0.25">
      <c r="A818" t="s">
        <v>33</v>
      </c>
      <c r="B818" t="s">
        <v>3147</v>
      </c>
      <c r="C818" t="s">
        <v>21</v>
      </c>
      <c r="D818" t="s">
        <v>3147</v>
      </c>
      <c r="E818" t="s">
        <v>3148</v>
      </c>
      <c r="F818" t="s">
        <v>3149</v>
      </c>
      <c r="G818" t="s">
        <v>24</v>
      </c>
      <c r="H818" t="s">
        <v>3150</v>
      </c>
      <c r="I818" t="s">
        <v>46</v>
      </c>
      <c r="N818" t="s">
        <v>47</v>
      </c>
      <c r="S818" t="s">
        <v>48</v>
      </c>
      <c r="V818" t="s">
        <v>5578</v>
      </c>
      <c r="W818" t="s">
        <v>5579</v>
      </c>
      <c r="X818" s="2">
        <f>IFERROR(VLOOKUP(I818,'Rate Sheet'!$D:$F,3,FALSE),0)</f>
        <v>14.333333333333334</v>
      </c>
      <c r="Y818" s="2">
        <f>IFERROR(VLOOKUP(J818,'Rate Sheet'!$D:$F,3,FALSE),0)</f>
        <v>0</v>
      </c>
      <c r="Z818" s="2">
        <f>IFERROR(VLOOKUP(K818,'Rate Sheet'!$D:$F,3,FALSE),0)</f>
        <v>0</v>
      </c>
      <c r="AA818" s="2">
        <f t="shared" si="12"/>
        <v>14.333333333333334</v>
      </c>
      <c r="AB818">
        <v>1</v>
      </c>
    </row>
    <row r="819" spans="1:28" x14ac:dyDescent="0.25">
      <c r="A819" t="s">
        <v>33</v>
      </c>
      <c r="B819" t="s">
        <v>3151</v>
      </c>
      <c r="C819" t="s">
        <v>21</v>
      </c>
      <c r="D819" t="s">
        <v>3152</v>
      </c>
      <c r="E819" t="s">
        <v>678</v>
      </c>
      <c r="F819" t="s">
        <v>3153</v>
      </c>
      <c r="G819" t="s">
        <v>24</v>
      </c>
      <c r="H819" t="s">
        <v>3154</v>
      </c>
      <c r="I819" t="s">
        <v>73</v>
      </c>
      <c r="N819" t="s">
        <v>914</v>
      </c>
      <c r="S819" t="s">
        <v>75</v>
      </c>
      <c r="V819" s="10" t="s">
        <v>5686</v>
      </c>
      <c r="W819" s="10" t="s">
        <v>5687</v>
      </c>
      <c r="X819" s="2">
        <f>IFERROR(VLOOKUP(I819,'Rate Sheet'!$D:$F,3,FALSE),0)</f>
        <v>8.6983333333333324</v>
      </c>
      <c r="Y819" s="2">
        <f>IFERROR(VLOOKUP(J819,'Rate Sheet'!$D:$F,3,FALSE),0)</f>
        <v>0</v>
      </c>
      <c r="Z819" s="2">
        <f>IFERROR(VLOOKUP(K819,'Rate Sheet'!$D:$F,3,FALSE),0)</f>
        <v>0</v>
      </c>
      <c r="AA819" s="2">
        <f t="shared" si="12"/>
        <v>8.6983333333333324</v>
      </c>
      <c r="AB819">
        <v>1</v>
      </c>
    </row>
    <row r="820" spans="1:28" x14ac:dyDescent="0.25">
      <c r="A820" t="s">
        <v>33</v>
      </c>
      <c r="B820" t="s">
        <v>3155</v>
      </c>
      <c r="C820" t="s">
        <v>21</v>
      </c>
      <c r="D820" t="s">
        <v>3155</v>
      </c>
      <c r="E820" t="s">
        <v>3031</v>
      </c>
      <c r="F820" t="s">
        <v>3156</v>
      </c>
      <c r="G820" t="s">
        <v>24</v>
      </c>
      <c r="H820" t="s">
        <v>3157</v>
      </c>
      <c r="I820" t="s">
        <v>46</v>
      </c>
      <c r="N820" t="s">
        <v>914</v>
      </c>
      <c r="S820" t="s">
        <v>48</v>
      </c>
      <c r="V820" t="s">
        <v>5686</v>
      </c>
      <c r="W820" t="s">
        <v>5687</v>
      </c>
      <c r="X820" s="2">
        <f>IFERROR(VLOOKUP(I820,'Rate Sheet'!$D:$F,3,FALSE),0)</f>
        <v>14.333333333333334</v>
      </c>
      <c r="Y820" s="2">
        <f>IFERROR(VLOOKUP(J820,'Rate Sheet'!$D:$F,3,FALSE),0)</f>
        <v>0</v>
      </c>
      <c r="Z820" s="2">
        <f>IFERROR(VLOOKUP(K820,'Rate Sheet'!$D:$F,3,FALSE),0)</f>
        <v>0</v>
      </c>
      <c r="AA820" s="2">
        <f t="shared" si="12"/>
        <v>14.333333333333334</v>
      </c>
      <c r="AB820">
        <v>1</v>
      </c>
    </row>
    <row r="821" spans="1:28" x14ac:dyDescent="0.25">
      <c r="A821" t="s">
        <v>33</v>
      </c>
      <c r="B821" t="s">
        <v>3158</v>
      </c>
      <c r="C821" t="s">
        <v>21</v>
      </c>
      <c r="D821" t="s">
        <v>3158</v>
      </c>
      <c r="E821" t="s">
        <v>894</v>
      </c>
      <c r="F821" t="s">
        <v>3159</v>
      </c>
      <c r="G821" t="s">
        <v>24</v>
      </c>
      <c r="H821" t="s">
        <v>3160</v>
      </c>
      <c r="I821" t="s">
        <v>46</v>
      </c>
      <c r="N821" t="s">
        <v>74</v>
      </c>
      <c r="S821" t="s">
        <v>48</v>
      </c>
      <c r="V821" t="s">
        <v>5586</v>
      </c>
      <c r="W821" t="s">
        <v>5587</v>
      </c>
      <c r="X821" s="2">
        <f>IFERROR(VLOOKUP(I821,'Rate Sheet'!$D:$F,3,FALSE),0)</f>
        <v>14.333333333333334</v>
      </c>
      <c r="Y821" s="2">
        <f>IFERROR(VLOOKUP(J821,'Rate Sheet'!$D:$F,3,FALSE),0)</f>
        <v>0</v>
      </c>
      <c r="Z821" s="2">
        <f>IFERROR(VLOOKUP(K821,'Rate Sheet'!$D:$F,3,FALSE),0)</f>
        <v>0</v>
      </c>
      <c r="AA821" s="2">
        <f t="shared" si="12"/>
        <v>14.333333333333334</v>
      </c>
      <c r="AB821">
        <v>1</v>
      </c>
    </row>
    <row r="822" spans="1:28" x14ac:dyDescent="0.25">
      <c r="A822" t="s">
        <v>33</v>
      </c>
      <c r="B822" t="s">
        <v>3161</v>
      </c>
      <c r="C822" t="s">
        <v>21</v>
      </c>
      <c r="D822" t="s">
        <v>3161</v>
      </c>
      <c r="E822" t="s">
        <v>3162</v>
      </c>
      <c r="F822" t="s">
        <v>3163</v>
      </c>
      <c r="G822" t="s">
        <v>24</v>
      </c>
      <c r="H822" t="s">
        <v>3164</v>
      </c>
      <c r="I822" t="s">
        <v>46</v>
      </c>
      <c r="N822" t="s">
        <v>53</v>
      </c>
      <c r="S822" t="s">
        <v>48</v>
      </c>
      <c r="V822" t="s">
        <v>5628</v>
      </c>
      <c r="W822" t="s">
        <v>5629</v>
      </c>
      <c r="X822" s="2">
        <f>IFERROR(VLOOKUP(I822,'Rate Sheet'!$D:$F,3,FALSE),0)</f>
        <v>14.333333333333334</v>
      </c>
      <c r="Y822" s="2">
        <f>IFERROR(VLOOKUP(J822,'Rate Sheet'!$D:$F,3,FALSE),0)</f>
        <v>0</v>
      </c>
      <c r="Z822" s="2">
        <f>IFERROR(VLOOKUP(K822,'Rate Sheet'!$D:$F,3,FALSE),0)</f>
        <v>0</v>
      </c>
      <c r="AA822" s="2">
        <f t="shared" si="12"/>
        <v>14.333333333333334</v>
      </c>
      <c r="AB822">
        <v>1</v>
      </c>
    </row>
    <row r="823" spans="1:28" x14ac:dyDescent="0.25">
      <c r="A823" t="s">
        <v>33</v>
      </c>
      <c r="B823" t="s">
        <v>3165</v>
      </c>
      <c r="C823" t="s">
        <v>29</v>
      </c>
      <c r="D823" t="s">
        <v>3165</v>
      </c>
      <c r="E823" t="s">
        <v>3166</v>
      </c>
      <c r="F823" t="s">
        <v>1565</v>
      </c>
      <c r="G823" t="s">
        <v>24</v>
      </c>
      <c r="H823" t="s">
        <v>3167</v>
      </c>
      <c r="I823" t="s">
        <v>46</v>
      </c>
      <c r="N823" t="s">
        <v>246</v>
      </c>
      <c r="S823" t="s">
        <v>48</v>
      </c>
      <c r="V823" t="s">
        <v>5661</v>
      </c>
      <c r="W823" t="s">
        <v>246</v>
      </c>
      <c r="X823" s="2">
        <f>IFERROR(VLOOKUP(I823,'Rate Sheet'!$D:$F,3,FALSE),0)</f>
        <v>14.333333333333334</v>
      </c>
      <c r="Y823" s="2">
        <f>IFERROR(VLOOKUP(J823,'Rate Sheet'!$D:$F,3,FALSE),0)</f>
        <v>0</v>
      </c>
      <c r="Z823" s="2">
        <f>IFERROR(VLOOKUP(K823,'Rate Sheet'!$D:$F,3,FALSE),0)</f>
        <v>0</v>
      </c>
      <c r="AA823" s="2">
        <f t="shared" ref="AA823:AA884" si="13">SUM(X823:Z823)</f>
        <v>14.333333333333334</v>
      </c>
      <c r="AB823">
        <v>1</v>
      </c>
    </row>
    <row r="824" spans="1:28" x14ac:dyDescent="0.25">
      <c r="A824" t="s">
        <v>33</v>
      </c>
      <c r="B824" t="s">
        <v>3168</v>
      </c>
      <c r="C824" t="s">
        <v>21</v>
      </c>
      <c r="D824" t="s">
        <v>3168</v>
      </c>
      <c r="E824" t="s">
        <v>1357</v>
      </c>
      <c r="F824" t="s">
        <v>3169</v>
      </c>
      <c r="G824" t="s">
        <v>24</v>
      </c>
      <c r="H824" t="s">
        <v>3170</v>
      </c>
      <c r="I824" t="s">
        <v>46</v>
      </c>
      <c r="N824" t="s">
        <v>273</v>
      </c>
      <c r="S824" t="s">
        <v>48</v>
      </c>
      <c r="V824" t="s">
        <v>5621</v>
      </c>
      <c r="W824" t="s">
        <v>5622</v>
      </c>
      <c r="X824" s="2">
        <f>IFERROR(VLOOKUP(I824,'Rate Sheet'!$D:$F,3,FALSE),0)</f>
        <v>14.333333333333334</v>
      </c>
      <c r="Y824" s="2">
        <f>IFERROR(VLOOKUP(J824,'Rate Sheet'!$D:$F,3,FALSE),0)</f>
        <v>0</v>
      </c>
      <c r="Z824" s="2">
        <f>IFERROR(VLOOKUP(K824,'Rate Sheet'!$D:$F,3,FALSE),0)</f>
        <v>0</v>
      </c>
      <c r="AA824" s="2">
        <f t="shared" si="13"/>
        <v>14.333333333333334</v>
      </c>
      <c r="AB824">
        <v>1</v>
      </c>
    </row>
    <row r="825" spans="1:28" x14ac:dyDescent="0.25">
      <c r="A825" t="s">
        <v>33</v>
      </c>
      <c r="B825" t="s">
        <v>3171</v>
      </c>
      <c r="C825" t="s">
        <v>21</v>
      </c>
      <c r="D825" t="s">
        <v>3171</v>
      </c>
      <c r="E825" t="s">
        <v>3172</v>
      </c>
      <c r="F825" t="s">
        <v>3173</v>
      </c>
      <c r="G825" t="s">
        <v>24</v>
      </c>
      <c r="H825" t="s">
        <v>3174</v>
      </c>
      <c r="I825" t="s">
        <v>46</v>
      </c>
      <c r="N825" t="s">
        <v>85</v>
      </c>
      <c r="S825" t="s">
        <v>48</v>
      </c>
      <c r="V825" t="s">
        <v>5590</v>
      </c>
      <c r="W825" t="s">
        <v>85</v>
      </c>
      <c r="X825" s="2">
        <f>IFERROR(VLOOKUP(I825,'Rate Sheet'!$D:$F,3,FALSE),0)</f>
        <v>14.333333333333334</v>
      </c>
      <c r="Y825" s="2">
        <f>IFERROR(VLOOKUP(J825,'Rate Sheet'!$D:$F,3,FALSE),0)</f>
        <v>0</v>
      </c>
      <c r="Z825" s="2">
        <f>IFERROR(VLOOKUP(K825,'Rate Sheet'!$D:$F,3,FALSE),0)</f>
        <v>0</v>
      </c>
      <c r="AA825" s="2">
        <f t="shared" si="13"/>
        <v>14.333333333333334</v>
      </c>
      <c r="AB825">
        <v>1</v>
      </c>
    </row>
    <row r="826" spans="1:28" x14ac:dyDescent="0.25">
      <c r="A826" t="s">
        <v>33</v>
      </c>
      <c r="B826" t="s">
        <v>3175</v>
      </c>
      <c r="C826" t="s">
        <v>21</v>
      </c>
      <c r="D826" t="s">
        <v>3176</v>
      </c>
      <c r="E826" t="s">
        <v>3177</v>
      </c>
      <c r="F826" t="s">
        <v>3178</v>
      </c>
      <c r="G826" t="s">
        <v>24</v>
      </c>
      <c r="H826" t="s">
        <v>3179</v>
      </c>
      <c r="I826" t="s">
        <v>73</v>
      </c>
      <c r="N826" t="s">
        <v>3180</v>
      </c>
      <c r="S826" t="s">
        <v>75</v>
      </c>
      <c r="V826" t="s">
        <v>5744</v>
      </c>
      <c r="W826" t="s">
        <v>5745</v>
      </c>
      <c r="X826" s="2">
        <f>IFERROR(VLOOKUP(I826,'Rate Sheet'!$D:$F,3,FALSE),0)</f>
        <v>8.6983333333333324</v>
      </c>
      <c r="Y826" s="2">
        <f>IFERROR(VLOOKUP(J826,'Rate Sheet'!$D:$F,3,FALSE),0)</f>
        <v>0</v>
      </c>
      <c r="Z826" s="2">
        <f>IFERROR(VLOOKUP(K826,'Rate Sheet'!$D:$F,3,FALSE),0)</f>
        <v>0</v>
      </c>
      <c r="AA826" s="2">
        <f t="shared" si="13"/>
        <v>8.6983333333333324</v>
      </c>
      <c r="AB826">
        <v>1</v>
      </c>
    </row>
    <row r="827" spans="1:28" x14ac:dyDescent="0.25">
      <c r="A827" t="s">
        <v>33</v>
      </c>
      <c r="B827" t="s">
        <v>3181</v>
      </c>
      <c r="C827" t="s">
        <v>21</v>
      </c>
      <c r="D827" t="s">
        <v>3182</v>
      </c>
      <c r="E827" t="s">
        <v>3183</v>
      </c>
      <c r="F827" t="s">
        <v>3184</v>
      </c>
      <c r="G827" t="s">
        <v>24</v>
      </c>
      <c r="H827" t="s">
        <v>3185</v>
      </c>
      <c r="I827" t="s">
        <v>46</v>
      </c>
      <c r="N827" t="s">
        <v>1061</v>
      </c>
      <c r="S827" t="s">
        <v>48</v>
      </c>
      <c r="V827" t="s">
        <v>5679</v>
      </c>
      <c r="W827" t="s">
        <v>1061</v>
      </c>
      <c r="X827" s="2">
        <f>IFERROR(VLOOKUP(I827,'Rate Sheet'!$D:$F,3,FALSE),0)</f>
        <v>14.333333333333334</v>
      </c>
      <c r="Y827" s="2">
        <f>IFERROR(VLOOKUP(J827,'Rate Sheet'!$D:$F,3,FALSE),0)</f>
        <v>0</v>
      </c>
      <c r="Z827" s="2">
        <f>IFERROR(VLOOKUP(K827,'Rate Sheet'!$D:$F,3,FALSE),0)</f>
        <v>0</v>
      </c>
      <c r="AA827" s="2">
        <f t="shared" si="13"/>
        <v>14.333333333333334</v>
      </c>
      <c r="AB827">
        <v>1</v>
      </c>
    </row>
    <row r="828" spans="1:28" x14ac:dyDescent="0.25">
      <c r="A828" t="s">
        <v>33</v>
      </c>
      <c r="B828" t="s">
        <v>3186</v>
      </c>
      <c r="C828" t="s">
        <v>21</v>
      </c>
      <c r="D828" t="s">
        <v>3186</v>
      </c>
      <c r="E828" t="s">
        <v>735</v>
      </c>
      <c r="F828" t="s">
        <v>3187</v>
      </c>
      <c r="G828" t="s">
        <v>24</v>
      </c>
      <c r="H828" t="s">
        <v>3188</v>
      </c>
      <c r="I828" t="s">
        <v>46</v>
      </c>
      <c r="N828" t="s">
        <v>697</v>
      </c>
      <c r="S828" t="s">
        <v>48</v>
      </c>
      <c r="V828" t="s">
        <v>5692</v>
      </c>
      <c r="W828" t="s">
        <v>5693</v>
      </c>
      <c r="X828" s="2">
        <f>IFERROR(VLOOKUP(I828,'Rate Sheet'!$D:$F,3,FALSE),0)</f>
        <v>14.333333333333334</v>
      </c>
      <c r="Y828" s="2">
        <f>IFERROR(VLOOKUP(J828,'Rate Sheet'!$D:$F,3,FALSE),0)</f>
        <v>0</v>
      </c>
      <c r="Z828" s="2">
        <f>IFERROR(VLOOKUP(K828,'Rate Sheet'!$D:$F,3,FALSE),0)</f>
        <v>0</v>
      </c>
      <c r="AA828" s="2">
        <f t="shared" si="13"/>
        <v>14.333333333333334</v>
      </c>
      <c r="AB828">
        <v>1</v>
      </c>
    </row>
    <row r="829" spans="1:28" x14ac:dyDescent="0.25">
      <c r="A829" t="s">
        <v>19</v>
      </c>
      <c r="B829" t="s">
        <v>3189</v>
      </c>
      <c r="C829" t="s">
        <v>3190</v>
      </c>
      <c r="D829" t="s">
        <v>3189</v>
      </c>
      <c r="E829" t="s">
        <v>626</v>
      </c>
      <c r="F829" t="s">
        <v>3116</v>
      </c>
      <c r="G829" t="s">
        <v>2391</v>
      </c>
      <c r="H829" t="s">
        <v>3191</v>
      </c>
      <c r="N829" t="s">
        <v>27</v>
      </c>
      <c r="X829" s="2">
        <f>IFERROR(VLOOKUP(I829,'Rate Sheet'!$D:$F,3,FALSE),0)</f>
        <v>0</v>
      </c>
      <c r="Y829" s="2">
        <f>IFERROR(VLOOKUP(J829,'Rate Sheet'!$D:$F,3,FALSE),0)</f>
        <v>0</v>
      </c>
      <c r="Z829" s="2">
        <f>IFERROR(VLOOKUP(K829,'Rate Sheet'!$D:$F,3,FALSE),0)</f>
        <v>0</v>
      </c>
      <c r="AA829" s="2">
        <f t="shared" si="13"/>
        <v>0</v>
      </c>
    </row>
    <row r="830" spans="1:28" x14ac:dyDescent="0.25">
      <c r="A830" t="s">
        <v>33</v>
      </c>
      <c r="B830" t="s">
        <v>3192</v>
      </c>
      <c r="C830" t="s">
        <v>21</v>
      </c>
      <c r="D830" t="s">
        <v>3192</v>
      </c>
      <c r="E830" t="s">
        <v>324</v>
      </c>
      <c r="F830" t="s">
        <v>3193</v>
      </c>
      <c r="G830" t="s">
        <v>24</v>
      </c>
      <c r="H830" t="s">
        <v>3194</v>
      </c>
      <c r="I830" t="s">
        <v>46</v>
      </c>
      <c r="N830" t="s">
        <v>273</v>
      </c>
      <c r="S830" t="s">
        <v>48</v>
      </c>
      <c r="V830" t="s">
        <v>5602</v>
      </c>
      <c r="W830" t="s">
        <v>5603</v>
      </c>
      <c r="X830" s="2">
        <f>IFERROR(VLOOKUP(I830,'Rate Sheet'!$D:$F,3,FALSE),0)</f>
        <v>14.333333333333334</v>
      </c>
      <c r="Y830" s="2">
        <f>IFERROR(VLOOKUP(J830,'Rate Sheet'!$D:$F,3,FALSE),0)</f>
        <v>0</v>
      </c>
      <c r="Z830" s="2">
        <f>IFERROR(VLOOKUP(K830,'Rate Sheet'!$D:$F,3,FALSE),0)</f>
        <v>0</v>
      </c>
      <c r="AA830" s="2">
        <f t="shared" si="13"/>
        <v>14.333333333333334</v>
      </c>
      <c r="AB830">
        <v>1</v>
      </c>
    </row>
    <row r="831" spans="1:28" x14ac:dyDescent="0.25">
      <c r="A831" t="s">
        <v>33</v>
      </c>
      <c r="B831" t="s">
        <v>3195</v>
      </c>
      <c r="C831" t="s">
        <v>21</v>
      </c>
      <c r="D831" t="s">
        <v>3195</v>
      </c>
      <c r="E831" t="s">
        <v>126</v>
      </c>
      <c r="F831" t="s">
        <v>3196</v>
      </c>
      <c r="G831" t="s">
        <v>24</v>
      </c>
      <c r="H831" t="s">
        <v>3197</v>
      </c>
      <c r="I831" t="s">
        <v>46</v>
      </c>
      <c r="N831" t="s">
        <v>1061</v>
      </c>
      <c r="S831" t="s">
        <v>48</v>
      </c>
      <c r="V831" t="s">
        <v>5679</v>
      </c>
      <c r="W831" t="s">
        <v>1061</v>
      </c>
      <c r="X831" s="2">
        <f>IFERROR(VLOOKUP(I831,'Rate Sheet'!$D:$F,3,FALSE),0)</f>
        <v>14.333333333333334</v>
      </c>
      <c r="Y831" s="2">
        <f>IFERROR(VLOOKUP(J831,'Rate Sheet'!$D:$F,3,FALSE),0)</f>
        <v>0</v>
      </c>
      <c r="Z831" s="2">
        <f>IFERROR(VLOOKUP(K831,'Rate Sheet'!$D:$F,3,FALSE),0)</f>
        <v>0</v>
      </c>
      <c r="AA831" s="2">
        <f t="shared" si="13"/>
        <v>14.333333333333334</v>
      </c>
      <c r="AB831">
        <v>1</v>
      </c>
    </row>
    <row r="832" spans="1:28" x14ac:dyDescent="0.25">
      <c r="A832" t="s">
        <v>33</v>
      </c>
      <c r="B832" t="s">
        <v>3198</v>
      </c>
      <c r="C832" t="s">
        <v>21</v>
      </c>
      <c r="D832" t="s">
        <v>3198</v>
      </c>
      <c r="E832" t="s">
        <v>3199</v>
      </c>
      <c r="F832" t="s">
        <v>3200</v>
      </c>
      <c r="G832" t="s">
        <v>24</v>
      </c>
      <c r="H832" t="s">
        <v>3201</v>
      </c>
      <c r="I832" t="s">
        <v>46</v>
      </c>
      <c r="N832" t="s">
        <v>2329</v>
      </c>
      <c r="S832" t="s">
        <v>48</v>
      </c>
      <c r="V832" t="s">
        <v>5672</v>
      </c>
      <c r="W832" t="s">
        <v>2329</v>
      </c>
      <c r="X832" s="2">
        <f>IFERROR(VLOOKUP(I832,'Rate Sheet'!$D:$F,3,FALSE),0)</f>
        <v>14.333333333333334</v>
      </c>
      <c r="Y832" s="2">
        <f>IFERROR(VLOOKUP(J832,'Rate Sheet'!$D:$F,3,FALSE),0)</f>
        <v>0</v>
      </c>
      <c r="Z832" s="2">
        <f>IFERROR(VLOOKUP(K832,'Rate Sheet'!$D:$F,3,FALSE),0)</f>
        <v>0</v>
      </c>
      <c r="AA832" s="2">
        <f t="shared" si="13"/>
        <v>14.333333333333334</v>
      </c>
      <c r="AB832">
        <v>1</v>
      </c>
    </row>
    <row r="833" spans="1:28" x14ac:dyDescent="0.25">
      <c r="A833" t="s">
        <v>33</v>
      </c>
      <c r="B833" t="s">
        <v>3202</v>
      </c>
      <c r="C833" t="s">
        <v>21</v>
      </c>
      <c r="D833" t="s">
        <v>3202</v>
      </c>
      <c r="E833" t="s">
        <v>3203</v>
      </c>
      <c r="F833" t="s">
        <v>3204</v>
      </c>
      <c r="G833" t="s">
        <v>24</v>
      </c>
      <c r="H833" t="s">
        <v>3205</v>
      </c>
      <c r="I833" t="s">
        <v>3206</v>
      </c>
      <c r="N833" t="s">
        <v>38</v>
      </c>
      <c r="S833" t="s">
        <v>3207</v>
      </c>
      <c r="V833" t="s">
        <v>5582</v>
      </c>
      <c r="W833" t="s">
        <v>5583</v>
      </c>
      <c r="X833" s="2">
        <f>IFERROR(VLOOKUP(I833,'Rate Sheet'!$D:$F,3,FALSE),0)</f>
        <v>36.357500000000002</v>
      </c>
      <c r="Y833" s="2">
        <f>IFERROR(VLOOKUP(J833,'Rate Sheet'!$D:$F,3,FALSE),0)</f>
        <v>0</v>
      </c>
      <c r="Z833" s="2">
        <f>IFERROR(VLOOKUP(K833,'Rate Sheet'!$D:$F,3,FALSE),0)</f>
        <v>0</v>
      </c>
      <c r="AA833" s="2">
        <f t="shared" si="13"/>
        <v>36.357500000000002</v>
      </c>
      <c r="AB833">
        <v>1</v>
      </c>
    </row>
    <row r="834" spans="1:28" x14ac:dyDescent="0.25">
      <c r="A834" t="s">
        <v>33</v>
      </c>
      <c r="B834" t="s">
        <v>3208</v>
      </c>
      <c r="C834" t="s">
        <v>21</v>
      </c>
      <c r="D834" t="s">
        <v>3209</v>
      </c>
      <c r="E834" t="s">
        <v>3210</v>
      </c>
      <c r="F834" t="s">
        <v>1565</v>
      </c>
      <c r="G834" t="s">
        <v>24</v>
      </c>
      <c r="H834" t="s">
        <v>3211</v>
      </c>
      <c r="N834" t="s">
        <v>1402</v>
      </c>
      <c r="X834" s="2">
        <f>IFERROR(VLOOKUP(I834,'Rate Sheet'!$D:$F,3,FALSE),0)</f>
        <v>0</v>
      </c>
      <c r="Y834" s="2">
        <f>IFERROR(VLOOKUP(J834,'Rate Sheet'!$D:$F,3,FALSE),0)</f>
        <v>0</v>
      </c>
      <c r="Z834" s="2">
        <f>IFERROR(VLOOKUP(K834,'Rate Sheet'!$D:$F,3,FALSE),0)</f>
        <v>0</v>
      </c>
      <c r="AA834" s="2">
        <f t="shared" si="13"/>
        <v>0</v>
      </c>
    </row>
    <row r="835" spans="1:28" x14ac:dyDescent="0.25">
      <c r="A835" t="s">
        <v>33</v>
      </c>
      <c r="B835" t="s">
        <v>3212</v>
      </c>
      <c r="C835" t="s">
        <v>21</v>
      </c>
      <c r="D835" t="s">
        <v>3212</v>
      </c>
      <c r="E835" t="s">
        <v>3213</v>
      </c>
      <c r="F835" t="s">
        <v>3214</v>
      </c>
      <c r="G835" t="s">
        <v>24</v>
      </c>
      <c r="H835" t="s">
        <v>3215</v>
      </c>
      <c r="I835" t="s">
        <v>46</v>
      </c>
      <c r="N835" t="s">
        <v>273</v>
      </c>
      <c r="S835" t="s">
        <v>48</v>
      </c>
      <c r="V835" t="s">
        <v>5602</v>
      </c>
      <c r="W835" t="s">
        <v>5603</v>
      </c>
      <c r="X835" s="2">
        <f>IFERROR(VLOOKUP(I835,'Rate Sheet'!$D:$F,3,FALSE),0)</f>
        <v>14.333333333333334</v>
      </c>
      <c r="Y835" s="2">
        <f>IFERROR(VLOOKUP(J835,'Rate Sheet'!$D:$F,3,FALSE),0)</f>
        <v>0</v>
      </c>
      <c r="Z835" s="2">
        <f>IFERROR(VLOOKUP(K835,'Rate Sheet'!$D:$F,3,FALSE),0)</f>
        <v>0</v>
      </c>
      <c r="AA835" s="2">
        <f t="shared" si="13"/>
        <v>14.333333333333334</v>
      </c>
      <c r="AB835">
        <v>1</v>
      </c>
    </row>
    <row r="836" spans="1:28" x14ac:dyDescent="0.25">
      <c r="A836" t="s">
        <v>33</v>
      </c>
      <c r="B836" t="s">
        <v>3216</v>
      </c>
      <c r="C836" t="s">
        <v>29</v>
      </c>
      <c r="D836" t="s">
        <v>3216</v>
      </c>
      <c r="E836" t="s">
        <v>3217</v>
      </c>
      <c r="F836" t="s">
        <v>3218</v>
      </c>
      <c r="G836" t="s">
        <v>24</v>
      </c>
      <c r="H836" t="s">
        <v>3219</v>
      </c>
      <c r="I836" t="s">
        <v>46</v>
      </c>
      <c r="N836" t="s">
        <v>511</v>
      </c>
      <c r="S836" t="s">
        <v>48</v>
      </c>
      <c r="V836" t="s">
        <v>5617</v>
      </c>
      <c r="W836" t="s">
        <v>511</v>
      </c>
      <c r="X836" s="2">
        <f>IFERROR(VLOOKUP(I836,'Rate Sheet'!$D:$F,3,FALSE),0)</f>
        <v>14.333333333333334</v>
      </c>
      <c r="Y836" s="2">
        <f>IFERROR(VLOOKUP(J836,'Rate Sheet'!$D:$F,3,FALSE),0)</f>
        <v>0</v>
      </c>
      <c r="Z836" s="2">
        <f>IFERROR(VLOOKUP(K836,'Rate Sheet'!$D:$F,3,FALSE),0)</f>
        <v>0</v>
      </c>
      <c r="AA836" s="2">
        <f t="shared" si="13"/>
        <v>14.333333333333334</v>
      </c>
      <c r="AB836">
        <v>1</v>
      </c>
    </row>
    <row r="837" spans="1:28" x14ac:dyDescent="0.25">
      <c r="A837" t="s">
        <v>33</v>
      </c>
      <c r="B837" t="s">
        <v>3225</v>
      </c>
      <c r="C837" t="s">
        <v>21</v>
      </c>
      <c r="D837" t="s">
        <v>3225</v>
      </c>
      <c r="E837" t="s">
        <v>3226</v>
      </c>
      <c r="F837" t="s">
        <v>78</v>
      </c>
      <c r="G837" t="s">
        <v>24</v>
      </c>
      <c r="H837" t="s">
        <v>3227</v>
      </c>
      <c r="I837" t="s">
        <v>46</v>
      </c>
      <c r="N837" t="s">
        <v>620</v>
      </c>
      <c r="S837" t="s">
        <v>48</v>
      </c>
      <c r="V837" t="s">
        <v>5659</v>
      </c>
      <c r="W837" t="s">
        <v>620</v>
      </c>
      <c r="X837" s="2">
        <f>IFERROR(VLOOKUP(I837,'Rate Sheet'!$D:$F,3,FALSE),0)</f>
        <v>14.333333333333334</v>
      </c>
      <c r="Y837" s="2">
        <f>IFERROR(VLOOKUP(J837,'Rate Sheet'!$D:$F,3,FALSE),0)</f>
        <v>0</v>
      </c>
      <c r="Z837" s="2">
        <f>IFERROR(VLOOKUP(K837,'Rate Sheet'!$D:$F,3,FALSE),0)</f>
        <v>0</v>
      </c>
      <c r="AA837" s="2">
        <f t="shared" si="13"/>
        <v>14.333333333333334</v>
      </c>
      <c r="AB837">
        <v>1</v>
      </c>
    </row>
    <row r="838" spans="1:28" x14ac:dyDescent="0.25">
      <c r="A838" t="s">
        <v>33</v>
      </c>
      <c r="B838" t="s">
        <v>3228</v>
      </c>
      <c r="C838" t="s">
        <v>29</v>
      </c>
      <c r="D838" t="s">
        <v>3228</v>
      </c>
      <c r="E838" t="s">
        <v>3229</v>
      </c>
      <c r="F838" t="s">
        <v>3230</v>
      </c>
      <c r="G838" t="s">
        <v>24</v>
      </c>
      <c r="H838" t="s">
        <v>3231</v>
      </c>
      <c r="I838" t="s">
        <v>46</v>
      </c>
      <c r="N838" t="s">
        <v>601</v>
      </c>
      <c r="S838" t="s">
        <v>48</v>
      </c>
      <c r="V838" t="s">
        <v>5695</v>
      </c>
      <c r="W838" t="s">
        <v>601</v>
      </c>
      <c r="X838" s="2">
        <f>IFERROR(VLOOKUP(I838,'Rate Sheet'!$D:$F,3,FALSE),0)</f>
        <v>14.333333333333334</v>
      </c>
      <c r="Y838" s="2">
        <f>IFERROR(VLOOKUP(J838,'Rate Sheet'!$D:$F,3,FALSE),0)</f>
        <v>0</v>
      </c>
      <c r="Z838" s="2">
        <f>IFERROR(VLOOKUP(K838,'Rate Sheet'!$D:$F,3,FALSE),0)</f>
        <v>0</v>
      </c>
      <c r="AA838" s="2">
        <f t="shared" si="13"/>
        <v>14.333333333333334</v>
      </c>
      <c r="AB838">
        <v>1</v>
      </c>
    </row>
    <row r="839" spans="1:28" x14ac:dyDescent="0.25">
      <c r="A839" t="s">
        <v>33</v>
      </c>
      <c r="B839" t="s">
        <v>3232</v>
      </c>
      <c r="C839" t="s">
        <v>21</v>
      </c>
      <c r="D839" t="s">
        <v>3232</v>
      </c>
      <c r="E839" t="s">
        <v>351</v>
      </c>
      <c r="F839" t="s">
        <v>295</v>
      </c>
      <c r="G839" t="s">
        <v>24</v>
      </c>
      <c r="H839" t="s">
        <v>3233</v>
      </c>
      <c r="N839" t="s">
        <v>389</v>
      </c>
      <c r="X839" s="2">
        <f>IFERROR(VLOOKUP(I839,'Rate Sheet'!$D:$F,3,FALSE),0)</f>
        <v>0</v>
      </c>
      <c r="Y839" s="2">
        <f>IFERROR(VLOOKUP(J839,'Rate Sheet'!$D:$F,3,FALSE),0)</f>
        <v>0</v>
      </c>
      <c r="Z839" s="2">
        <f>IFERROR(VLOOKUP(K839,'Rate Sheet'!$D:$F,3,FALSE),0)</f>
        <v>0</v>
      </c>
      <c r="AA839" s="2">
        <f t="shared" si="13"/>
        <v>0</v>
      </c>
    </row>
    <row r="840" spans="1:28" x14ac:dyDescent="0.25">
      <c r="A840" t="s">
        <v>33</v>
      </c>
      <c r="B840" t="s">
        <v>3234</v>
      </c>
      <c r="C840" t="s">
        <v>21</v>
      </c>
      <c r="D840" t="s">
        <v>3234</v>
      </c>
      <c r="E840" t="s">
        <v>3235</v>
      </c>
      <c r="F840" t="s">
        <v>3236</v>
      </c>
      <c r="G840" t="s">
        <v>2391</v>
      </c>
      <c r="H840" t="s">
        <v>3237</v>
      </c>
      <c r="I840" t="s">
        <v>73</v>
      </c>
      <c r="N840" t="s">
        <v>97</v>
      </c>
      <c r="S840" t="s">
        <v>75</v>
      </c>
      <c r="V840" t="s">
        <v>5592</v>
      </c>
      <c r="W840" t="s">
        <v>97</v>
      </c>
      <c r="X840" s="2">
        <f>IFERROR(VLOOKUP(I840,'Rate Sheet'!$D:$F,3,FALSE),0)</f>
        <v>8.6983333333333324</v>
      </c>
      <c r="Y840" s="2">
        <f>IFERROR(VLOOKUP(J840,'Rate Sheet'!$D:$F,3,FALSE),0)</f>
        <v>0</v>
      </c>
      <c r="Z840" s="2">
        <f>IFERROR(VLOOKUP(K840,'Rate Sheet'!$D:$F,3,FALSE),0)</f>
        <v>0</v>
      </c>
      <c r="AA840" s="2">
        <f t="shared" si="13"/>
        <v>8.6983333333333324</v>
      </c>
      <c r="AB840">
        <v>1</v>
      </c>
    </row>
    <row r="841" spans="1:28" x14ac:dyDescent="0.25">
      <c r="A841" t="s">
        <v>33</v>
      </c>
      <c r="B841" t="s">
        <v>3238</v>
      </c>
      <c r="C841" t="s">
        <v>21</v>
      </c>
      <c r="D841" t="s">
        <v>3238</v>
      </c>
      <c r="E841" t="s">
        <v>1146</v>
      </c>
      <c r="F841" t="s">
        <v>3239</v>
      </c>
      <c r="G841" t="s">
        <v>24</v>
      </c>
      <c r="H841" t="s">
        <v>3240</v>
      </c>
      <c r="I841" t="s">
        <v>46</v>
      </c>
      <c r="N841" t="s">
        <v>273</v>
      </c>
      <c r="S841" t="s">
        <v>48</v>
      </c>
      <c r="V841" t="s">
        <v>5621</v>
      </c>
      <c r="W841" t="s">
        <v>5622</v>
      </c>
      <c r="X841" s="2">
        <f>IFERROR(VLOOKUP(I841,'Rate Sheet'!$D:$F,3,FALSE),0)</f>
        <v>14.333333333333334</v>
      </c>
      <c r="Y841" s="2">
        <f>IFERROR(VLOOKUP(J841,'Rate Sheet'!$D:$F,3,FALSE),0)</f>
        <v>0</v>
      </c>
      <c r="Z841" s="2">
        <f>IFERROR(VLOOKUP(K841,'Rate Sheet'!$D:$F,3,FALSE),0)</f>
        <v>0</v>
      </c>
      <c r="AA841" s="2">
        <f t="shared" si="13"/>
        <v>14.333333333333334</v>
      </c>
      <c r="AB841">
        <v>1</v>
      </c>
    </row>
    <row r="842" spans="1:28" x14ac:dyDescent="0.25">
      <c r="A842" t="s">
        <v>33</v>
      </c>
      <c r="B842" t="s">
        <v>3241</v>
      </c>
      <c r="C842" t="s">
        <v>21</v>
      </c>
      <c r="D842" t="s">
        <v>3242</v>
      </c>
      <c r="E842" t="s">
        <v>342</v>
      </c>
      <c r="F842" t="s">
        <v>1806</v>
      </c>
      <c r="G842" t="s">
        <v>24</v>
      </c>
      <c r="H842" t="s">
        <v>3243</v>
      </c>
      <c r="I842" t="s">
        <v>46</v>
      </c>
      <c r="N842" t="s">
        <v>53</v>
      </c>
      <c r="S842" t="s">
        <v>48</v>
      </c>
      <c r="V842" t="s">
        <v>5580</v>
      </c>
      <c r="W842" t="s">
        <v>5581</v>
      </c>
      <c r="X842" s="2">
        <f>IFERROR(VLOOKUP(I842,'Rate Sheet'!$D:$F,3,FALSE),0)</f>
        <v>14.333333333333334</v>
      </c>
      <c r="Y842" s="2">
        <f>IFERROR(VLOOKUP(J842,'Rate Sheet'!$D:$F,3,FALSE),0)</f>
        <v>0</v>
      </c>
      <c r="Z842" s="2">
        <f>IFERROR(VLOOKUP(K842,'Rate Sheet'!$D:$F,3,FALSE),0)</f>
        <v>0</v>
      </c>
      <c r="AA842" s="2">
        <f t="shared" si="13"/>
        <v>14.333333333333334</v>
      </c>
      <c r="AB842">
        <v>1</v>
      </c>
    </row>
    <row r="843" spans="1:28" x14ac:dyDescent="0.25">
      <c r="A843" t="s">
        <v>33</v>
      </c>
      <c r="B843" t="s">
        <v>3244</v>
      </c>
      <c r="C843" t="s">
        <v>21</v>
      </c>
      <c r="D843" t="s">
        <v>3244</v>
      </c>
      <c r="E843" t="s">
        <v>424</v>
      </c>
      <c r="F843" t="s">
        <v>3245</v>
      </c>
      <c r="G843" t="s">
        <v>24</v>
      </c>
      <c r="H843" t="s">
        <v>3246</v>
      </c>
      <c r="I843" t="s">
        <v>46</v>
      </c>
      <c r="N843" t="s">
        <v>80</v>
      </c>
      <c r="S843" t="s">
        <v>48</v>
      </c>
      <c r="V843" t="s">
        <v>5598</v>
      </c>
      <c r="W843" t="s">
        <v>119</v>
      </c>
      <c r="X843" s="2">
        <f>IFERROR(VLOOKUP(I843,'Rate Sheet'!$D:$F,3,FALSE),0)</f>
        <v>14.333333333333334</v>
      </c>
      <c r="Y843" s="2">
        <f>IFERROR(VLOOKUP(J843,'Rate Sheet'!$D:$F,3,FALSE),0)</f>
        <v>0</v>
      </c>
      <c r="Z843" s="2">
        <f>IFERROR(VLOOKUP(K843,'Rate Sheet'!$D:$F,3,FALSE),0)</f>
        <v>0</v>
      </c>
      <c r="AA843" s="2">
        <f t="shared" si="13"/>
        <v>14.333333333333334</v>
      </c>
      <c r="AB843">
        <v>1</v>
      </c>
    </row>
    <row r="844" spans="1:28" x14ac:dyDescent="0.25">
      <c r="A844" t="s">
        <v>33</v>
      </c>
      <c r="B844" t="s">
        <v>3247</v>
      </c>
      <c r="C844" t="s">
        <v>29</v>
      </c>
      <c r="D844" t="s">
        <v>3248</v>
      </c>
      <c r="E844" t="s">
        <v>3249</v>
      </c>
      <c r="F844" t="s">
        <v>3250</v>
      </c>
      <c r="G844" t="s">
        <v>24</v>
      </c>
      <c r="H844" t="s">
        <v>3251</v>
      </c>
      <c r="I844" t="s">
        <v>46</v>
      </c>
      <c r="N844" t="s">
        <v>246</v>
      </c>
      <c r="S844" t="s">
        <v>48</v>
      </c>
      <c r="V844" t="s">
        <v>5661</v>
      </c>
      <c r="W844" t="s">
        <v>246</v>
      </c>
      <c r="X844" s="2">
        <f>IFERROR(VLOOKUP(I844,'Rate Sheet'!$D:$F,3,FALSE),0)</f>
        <v>14.333333333333334</v>
      </c>
      <c r="Y844" s="2">
        <f>IFERROR(VLOOKUP(J844,'Rate Sheet'!$D:$F,3,FALSE),0)</f>
        <v>0</v>
      </c>
      <c r="Z844" s="2">
        <f>IFERROR(VLOOKUP(K844,'Rate Sheet'!$D:$F,3,FALSE),0)</f>
        <v>0</v>
      </c>
      <c r="AA844" s="2">
        <f t="shared" si="13"/>
        <v>14.333333333333334</v>
      </c>
      <c r="AB844">
        <v>1</v>
      </c>
    </row>
    <row r="845" spans="1:28" x14ac:dyDescent="0.25">
      <c r="A845" t="s">
        <v>33</v>
      </c>
      <c r="B845" t="s">
        <v>3252</v>
      </c>
      <c r="C845" t="s">
        <v>21</v>
      </c>
      <c r="D845" t="s">
        <v>3252</v>
      </c>
      <c r="E845" t="s">
        <v>2104</v>
      </c>
      <c r="F845" t="s">
        <v>2041</v>
      </c>
      <c r="G845" t="s">
        <v>24</v>
      </c>
      <c r="H845" t="s">
        <v>3253</v>
      </c>
      <c r="I845" t="s">
        <v>73</v>
      </c>
      <c r="N845" t="s">
        <v>3254</v>
      </c>
      <c r="S845" t="s">
        <v>75</v>
      </c>
      <c r="V845" t="s">
        <v>5624</v>
      </c>
      <c r="W845" t="s">
        <v>292</v>
      </c>
      <c r="X845" s="2">
        <f>IFERROR(VLOOKUP(I845,'Rate Sheet'!$D:$F,3,FALSE),0)</f>
        <v>8.6983333333333324</v>
      </c>
      <c r="Y845" s="2">
        <f>IFERROR(VLOOKUP(J845,'Rate Sheet'!$D:$F,3,FALSE),0)</f>
        <v>0</v>
      </c>
      <c r="Z845" s="2">
        <f>IFERROR(VLOOKUP(K845,'Rate Sheet'!$D:$F,3,FALSE),0)</f>
        <v>0</v>
      </c>
      <c r="AA845" s="2">
        <f t="shared" si="13"/>
        <v>8.6983333333333324</v>
      </c>
      <c r="AB845">
        <v>1</v>
      </c>
    </row>
    <row r="846" spans="1:28" x14ac:dyDescent="0.25">
      <c r="A846" t="s">
        <v>33</v>
      </c>
      <c r="B846" t="s">
        <v>3255</v>
      </c>
      <c r="C846" t="s">
        <v>21</v>
      </c>
      <c r="D846" t="s">
        <v>3255</v>
      </c>
      <c r="E846" t="s">
        <v>660</v>
      </c>
      <c r="F846" t="s">
        <v>3256</v>
      </c>
      <c r="G846" t="s">
        <v>24</v>
      </c>
      <c r="H846" t="s">
        <v>3257</v>
      </c>
      <c r="I846" t="s">
        <v>46</v>
      </c>
      <c r="N846" t="s">
        <v>3258</v>
      </c>
      <c r="S846" t="s">
        <v>48</v>
      </c>
      <c r="V846" t="s">
        <v>5746</v>
      </c>
      <c r="W846" t="s">
        <v>5747</v>
      </c>
      <c r="X846" s="2">
        <f>IFERROR(VLOOKUP(I846,'Rate Sheet'!$D:$F,3,FALSE),0)</f>
        <v>14.333333333333334</v>
      </c>
      <c r="Y846" s="2">
        <f>IFERROR(VLOOKUP(J846,'Rate Sheet'!$D:$F,3,FALSE),0)</f>
        <v>0</v>
      </c>
      <c r="Z846" s="2">
        <f>IFERROR(VLOOKUP(K846,'Rate Sheet'!$D:$F,3,FALSE),0)</f>
        <v>0</v>
      </c>
      <c r="AA846" s="2">
        <f t="shared" si="13"/>
        <v>14.333333333333334</v>
      </c>
      <c r="AB846">
        <v>1</v>
      </c>
    </row>
    <row r="847" spans="1:28" x14ac:dyDescent="0.25">
      <c r="A847" t="s">
        <v>33</v>
      </c>
      <c r="B847" t="s">
        <v>3259</v>
      </c>
      <c r="C847" t="s">
        <v>21</v>
      </c>
      <c r="D847" t="s">
        <v>3259</v>
      </c>
      <c r="E847" t="s">
        <v>275</v>
      </c>
      <c r="F847" t="s">
        <v>3260</v>
      </c>
      <c r="G847" t="s">
        <v>24</v>
      </c>
      <c r="H847" t="s">
        <v>3261</v>
      </c>
      <c r="I847" t="s">
        <v>46</v>
      </c>
      <c r="N847" t="s">
        <v>484</v>
      </c>
      <c r="S847" t="s">
        <v>48</v>
      </c>
      <c r="V847" t="s">
        <v>5642</v>
      </c>
      <c r="W847" t="s">
        <v>484</v>
      </c>
      <c r="X847" s="2">
        <f>IFERROR(VLOOKUP(I847,'Rate Sheet'!$D:$F,3,FALSE),0)</f>
        <v>14.333333333333334</v>
      </c>
      <c r="Y847" s="2">
        <f>IFERROR(VLOOKUP(J847,'Rate Sheet'!$D:$F,3,FALSE),0)</f>
        <v>0</v>
      </c>
      <c r="Z847" s="2">
        <f>IFERROR(VLOOKUP(K847,'Rate Sheet'!$D:$F,3,FALSE),0)</f>
        <v>0</v>
      </c>
      <c r="AA847" s="2">
        <f t="shared" si="13"/>
        <v>14.333333333333334</v>
      </c>
      <c r="AB847">
        <v>1</v>
      </c>
    </row>
    <row r="848" spans="1:28" x14ac:dyDescent="0.25">
      <c r="A848" t="s">
        <v>33</v>
      </c>
      <c r="B848" t="s">
        <v>3262</v>
      </c>
      <c r="C848" t="s">
        <v>21</v>
      </c>
      <c r="D848" t="s">
        <v>3262</v>
      </c>
      <c r="E848" t="s">
        <v>610</v>
      </c>
      <c r="F848" t="s">
        <v>3263</v>
      </c>
      <c r="G848" t="s">
        <v>24</v>
      </c>
      <c r="H848" t="s">
        <v>3264</v>
      </c>
      <c r="I848" t="s">
        <v>46</v>
      </c>
      <c r="N848" t="s">
        <v>1042</v>
      </c>
      <c r="S848" t="s">
        <v>48</v>
      </c>
      <c r="V848" t="s">
        <v>5683</v>
      </c>
      <c r="W848" t="s">
        <v>5684</v>
      </c>
      <c r="X848" s="2">
        <f>IFERROR(VLOOKUP(I848,'Rate Sheet'!$D:$F,3,FALSE),0)</f>
        <v>14.333333333333334</v>
      </c>
      <c r="Y848" s="2">
        <f>IFERROR(VLOOKUP(J848,'Rate Sheet'!$D:$F,3,FALSE),0)</f>
        <v>0</v>
      </c>
      <c r="Z848" s="2">
        <f>IFERROR(VLOOKUP(K848,'Rate Sheet'!$D:$F,3,FALSE),0)</f>
        <v>0</v>
      </c>
      <c r="AA848" s="2">
        <f t="shared" si="13"/>
        <v>14.333333333333334</v>
      </c>
      <c r="AB848">
        <v>1</v>
      </c>
    </row>
    <row r="849" spans="1:28" x14ac:dyDescent="0.25">
      <c r="A849" t="s">
        <v>33</v>
      </c>
      <c r="B849" t="s">
        <v>3265</v>
      </c>
      <c r="C849" t="s">
        <v>21</v>
      </c>
      <c r="D849" t="s">
        <v>3265</v>
      </c>
      <c r="E849" t="s">
        <v>3266</v>
      </c>
      <c r="F849" t="s">
        <v>3267</v>
      </c>
      <c r="G849" t="s">
        <v>24</v>
      </c>
      <c r="H849" t="s">
        <v>3268</v>
      </c>
      <c r="I849" t="s">
        <v>46</v>
      </c>
      <c r="N849" t="s">
        <v>47</v>
      </c>
      <c r="S849" t="s">
        <v>48</v>
      </c>
      <c r="V849" t="s">
        <v>5578</v>
      </c>
      <c r="W849" t="s">
        <v>5579</v>
      </c>
      <c r="X849" s="2">
        <f>IFERROR(VLOOKUP(I849,'Rate Sheet'!$D:$F,3,FALSE),0)</f>
        <v>14.333333333333334</v>
      </c>
      <c r="Y849" s="2">
        <f>IFERROR(VLOOKUP(J849,'Rate Sheet'!$D:$F,3,FALSE),0)</f>
        <v>0</v>
      </c>
      <c r="Z849" s="2">
        <f>IFERROR(VLOOKUP(K849,'Rate Sheet'!$D:$F,3,FALSE),0)</f>
        <v>0</v>
      </c>
      <c r="AA849" s="2">
        <f t="shared" si="13"/>
        <v>14.333333333333334</v>
      </c>
      <c r="AB849">
        <v>1</v>
      </c>
    </row>
    <row r="850" spans="1:28" x14ac:dyDescent="0.25">
      <c r="A850" t="s">
        <v>33</v>
      </c>
      <c r="B850" t="s">
        <v>3269</v>
      </c>
      <c r="C850" t="s">
        <v>21</v>
      </c>
      <c r="D850" t="s">
        <v>3269</v>
      </c>
      <c r="E850" t="s">
        <v>306</v>
      </c>
      <c r="F850" t="s">
        <v>3270</v>
      </c>
      <c r="G850" t="s">
        <v>24</v>
      </c>
      <c r="H850" t="s">
        <v>3271</v>
      </c>
      <c r="I850" t="s">
        <v>46</v>
      </c>
      <c r="N850" t="s">
        <v>80</v>
      </c>
      <c r="S850" t="s">
        <v>48</v>
      </c>
      <c r="V850" t="s">
        <v>5588</v>
      </c>
      <c r="W850" t="s">
        <v>5589</v>
      </c>
      <c r="X850" s="2">
        <f>IFERROR(VLOOKUP(I850,'Rate Sheet'!$D:$F,3,FALSE),0)</f>
        <v>14.333333333333334</v>
      </c>
      <c r="Y850" s="2">
        <f>IFERROR(VLOOKUP(J850,'Rate Sheet'!$D:$F,3,FALSE),0)</f>
        <v>0</v>
      </c>
      <c r="Z850" s="2">
        <f>IFERROR(VLOOKUP(K850,'Rate Sheet'!$D:$F,3,FALSE),0)</f>
        <v>0</v>
      </c>
      <c r="AA850" s="2">
        <f t="shared" si="13"/>
        <v>14.333333333333334</v>
      </c>
      <c r="AB850">
        <v>1</v>
      </c>
    </row>
    <row r="851" spans="1:28" x14ac:dyDescent="0.25">
      <c r="A851" t="s">
        <v>33</v>
      </c>
      <c r="B851" t="s">
        <v>3272</v>
      </c>
      <c r="C851" t="s">
        <v>21</v>
      </c>
      <c r="D851" t="s">
        <v>3272</v>
      </c>
      <c r="E851" t="s">
        <v>1542</v>
      </c>
      <c r="F851" t="s">
        <v>3273</v>
      </c>
      <c r="G851" t="s">
        <v>24</v>
      </c>
      <c r="H851" t="s">
        <v>3274</v>
      </c>
      <c r="I851" t="s">
        <v>46</v>
      </c>
      <c r="N851" t="s">
        <v>484</v>
      </c>
      <c r="S851" t="s">
        <v>48</v>
      </c>
      <c r="V851" t="s">
        <v>5642</v>
      </c>
      <c r="W851" t="s">
        <v>484</v>
      </c>
      <c r="X851" s="2">
        <f>IFERROR(VLOOKUP(I851,'Rate Sheet'!$D:$F,3,FALSE),0)</f>
        <v>14.333333333333334</v>
      </c>
      <c r="Y851" s="2">
        <f>IFERROR(VLOOKUP(J851,'Rate Sheet'!$D:$F,3,FALSE),0)</f>
        <v>0</v>
      </c>
      <c r="Z851" s="2">
        <f>IFERROR(VLOOKUP(K851,'Rate Sheet'!$D:$F,3,FALSE),0)</f>
        <v>0</v>
      </c>
      <c r="AA851" s="2">
        <f t="shared" si="13"/>
        <v>14.333333333333334</v>
      </c>
      <c r="AB851">
        <v>1</v>
      </c>
    </row>
    <row r="852" spans="1:28" x14ac:dyDescent="0.25">
      <c r="A852" t="s">
        <v>33</v>
      </c>
      <c r="B852" t="s">
        <v>3275</v>
      </c>
      <c r="C852" t="s">
        <v>21</v>
      </c>
      <c r="D852" t="s">
        <v>3276</v>
      </c>
      <c r="E852" t="s">
        <v>1520</v>
      </c>
      <c r="F852" t="s">
        <v>3277</v>
      </c>
      <c r="G852" t="s">
        <v>24</v>
      </c>
      <c r="H852" t="s">
        <v>3278</v>
      </c>
      <c r="I852" t="s">
        <v>46</v>
      </c>
      <c r="N852" t="s">
        <v>2329</v>
      </c>
      <c r="S852" t="s">
        <v>48</v>
      </c>
      <c r="V852" t="s">
        <v>5748</v>
      </c>
      <c r="W852" t="s">
        <v>4972</v>
      </c>
      <c r="X852" s="2">
        <f>IFERROR(VLOOKUP(I852,'Rate Sheet'!$D:$F,3,FALSE),0)</f>
        <v>14.333333333333334</v>
      </c>
      <c r="Y852" s="2">
        <f>IFERROR(VLOOKUP(J852,'Rate Sheet'!$D:$F,3,FALSE),0)</f>
        <v>0</v>
      </c>
      <c r="Z852" s="2">
        <f>IFERROR(VLOOKUP(K852,'Rate Sheet'!$D:$F,3,FALSE),0)</f>
        <v>0</v>
      </c>
      <c r="AA852" s="2">
        <f t="shared" si="13"/>
        <v>14.333333333333334</v>
      </c>
      <c r="AB852">
        <v>1</v>
      </c>
    </row>
    <row r="853" spans="1:28" x14ac:dyDescent="0.25">
      <c r="A853" t="s">
        <v>33</v>
      </c>
      <c r="B853" t="s">
        <v>3279</v>
      </c>
      <c r="C853" t="s">
        <v>21</v>
      </c>
      <c r="D853" t="s">
        <v>3279</v>
      </c>
      <c r="E853" t="s">
        <v>2910</v>
      </c>
      <c r="F853" t="s">
        <v>3280</v>
      </c>
      <c r="G853" t="s">
        <v>24</v>
      </c>
      <c r="H853" t="s">
        <v>3281</v>
      </c>
      <c r="I853" t="s">
        <v>46</v>
      </c>
      <c r="N853" t="s">
        <v>181</v>
      </c>
      <c r="S853" t="s">
        <v>48</v>
      </c>
      <c r="V853" t="s">
        <v>5609</v>
      </c>
      <c r="W853" t="s">
        <v>181</v>
      </c>
      <c r="X853" s="2">
        <f>IFERROR(VLOOKUP(I853,'Rate Sheet'!$D:$F,3,FALSE),0)</f>
        <v>14.333333333333334</v>
      </c>
      <c r="Y853" s="2">
        <f>IFERROR(VLOOKUP(J853,'Rate Sheet'!$D:$F,3,FALSE),0)</f>
        <v>0</v>
      </c>
      <c r="Z853" s="2">
        <f>IFERROR(VLOOKUP(K853,'Rate Sheet'!$D:$F,3,FALSE),0)</f>
        <v>0</v>
      </c>
      <c r="AA853" s="2">
        <f t="shared" si="13"/>
        <v>14.333333333333334</v>
      </c>
      <c r="AB853">
        <v>1</v>
      </c>
    </row>
    <row r="854" spans="1:28" x14ac:dyDescent="0.25">
      <c r="A854" t="s">
        <v>33</v>
      </c>
      <c r="B854" t="s">
        <v>3286</v>
      </c>
      <c r="C854" t="s">
        <v>21</v>
      </c>
      <c r="D854" t="s">
        <v>3286</v>
      </c>
      <c r="E854" t="s">
        <v>55</v>
      </c>
      <c r="F854" t="s">
        <v>3287</v>
      </c>
      <c r="G854" t="s">
        <v>24</v>
      </c>
      <c r="H854" t="s">
        <v>3288</v>
      </c>
      <c r="I854" t="s">
        <v>46</v>
      </c>
      <c r="N854" t="s">
        <v>819</v>
      </c>
      <c r="S854" t="s">
        <v>48</v>
      </c>
      <c r="V854" t="s">
        <v>5668</v>
      </c>
      <c r="W854" t="s">
        <v>5669</v>
      </c>
      <c r="X854" s="2">
        <f>IFERROR(VLOOKUP(I854,'Rate Sheet'!$D:$F,3,FALSE),0)</f>
        <v>14.333333333333334</v>
      </c>
      <c r="Y854" s="2">
        <f>IFERROR(VLOOKUP(J854,'Rate Sheet'!$D:$F,3,FALSE),0)</f>
        <v>0</v>
      </c>
      <c r="Z854" s="2">
        <f>IFERROR(VLOOKUP(K854,'Rate Sheet'!$D:$F,3,FALSE),0)</f>
        <v>0</v>
      </c>
      <c r="AA854" s="2">
        <f t="shared" si="13"/>
        <v>14.333333333333334</v>
      </c>
      <c r="AB854">
        <v>1</v>
      </c>
    </row>
    <row r="855" spans="1:28" x14ac:dyDescent="0.25">
      <c r="A855" t="s">
        <v>33</v>
      </c>
      <c r="B855" t="s">
        <v>3289</v>
      </c>
      <c r="C855" t="s">
        <v>21</v>
      </c>
      <c r="D855" t="s">
        <v>3289</v>
      </c>
      <c r="E855" t="s">
        <v>284</v>
      </c>
      <c r="F855" t="s">
        <v>3290</v>
      </c>
      <c r="G855" t="s">
        <v>24</v>
      </c>
      <c r="H855" t="s">
        <v>3291</v>
      </c>
      <c r="I855" t="s">
        <v>46</v>
      </c>
      <c r="N855" t="s">
        <v>63</v>
      </c>
      <c r="S855" t="s">
        <v>48</v>
      </c>
      <c r="V855" t="s">
        <v>5606</v>
      </c>
      <c r="W855" t="s">
        <v>166</v>
      </c>
      <c r="X855" s="2">
        <f>IFERROR(VLOOKUP(I855,'Rate Sheet'!$D:$F,3,FALSE),0)</f>
        <v>14.333333333333334</v>
      </c>
      <c r="Y855" s="2">
        <f>IFERROR(VLOOKUP(J855,'Rate Sheet'!$D:$F,3,FALSE),0)</f>
        <v>0</v>
      </c>
      <c r="Z855" s="2">
        <f>IFERROR(VLOOKUP(K855,'Rate Sheet'!$D:$F,3,FALSE),0)</f>
        <v>0</v>
      </c>
      <c r="AA855" s="2">
        <f t="shared" si="13"/>
        <v>14.333333333333334</v>
      </c>
      <c r="AB855">
        <v>1</v>
      </c>
    </row>
    <row r="856" spans="1:28" x14ac:dyDescent="0.25">
      <c r="A856" t="s">
        <v>33</v>
      </c>
      <c r="B856" t="s">
        <v>3292</v>
      </c>
      <c r="C856" t="s">
        <v>21</v>
      </c>
      <c r="D856" t="s">
        <v>3292</v>
      </c>
      <c r="E856" t="s">
        <v>2044</v>
      </c>
      <c r="F856" t="s">
        <v>3293</v>
      </c>
      <c r="G856" t="s">
        <v>24</v>
      </c>
      <c r="H856" t="s">
        <v>3294</v>
      </c>
      <c r="I856" t="s">
        <v>46</v>
      </c>
      <c r="N856" t="s">
        <v>292</v>
      </c>
      <c r="S856" t="s">
        <v>48</v>
      </c>
      <c r="V856" t="s">
        <v>5624</v>
      </c>
      <c r="W856" t="s">
        <v>292</v>
      </c>
      <c r="X856" s="2">
        <f>IFERROR(VLOOKUP(I856,'Rate Sheet'!$D:$F,3,FALSE),0)</f>
        <v>14.333333333333334</v>
      </c>
      <c r="Y856" s="2">
        <f>IFERROR(VLOOKUP(J856,'Rate Sheet'!$D:$F,3,FALSE),0)</f>
        <v>0</v>
      </c>
      <c r="Z856" s="2">
        <f>IFERROR(VLOOKUP(K856,'Rate Sheet'!$D:$F,3,FALSE),0)</f>
        <v>0</v>
      </c>
      <c r="AA856" s="2">
        <f t="shared" si="13"/>
        <v>14.333333333333334</v>
      </c>
      <c r="AB856">
        <v>1</v>
      </c>
    </row>
    <row r="857" spans="1:28" x14ac:dyDescent="0.25">
      <c r="A857" t="s">
        <v>33</v>
      </c>
      <c r="B857" t="s">
        <v>3295</v>
      </c>
      <c r="C857" t="s">
        <v>21</v>
      </c>
      <c r="D857" t="s">
        <v>3295</v>
      </c>
      <c r="E857" t="s">
        <v>3296</v>
      </c>
      <c r="F857" t="s">
        <v>3297</v>
      </c>
      <c r="G857" t="s">
        <v>24</v>
      </c>
      <c r="H857" t="s">
        <v>3298</v>
      </c>
      <c r="I857" t="s">
        <v>46</v>
      </c>
      <c r="N857" t="s">
        <v>878</v>
      </c>
      <c r="S857" t="s">
        <v>48</v>
      </c>
      <c r="V857" t="s">
        <v>5749</v>
      </c>
      <c r="W857" t="s">
        <v>5750</v>
      </c>
      <c r="X857" s="2">
        <f>IFERROR(VLOOKUP(I857,'Rate Sheet'!$D:$F,3,FALSE),0)</f>
        <v>14.333333333333334</v>
      </c>
      <c r="Y857" s="2">
        <f>IFERROR(VLOOKUP(J857,'Rate Sheet'!$D:$F,3,FALSE),0)</f>
        <v>0</v>
      </c>
      <c r="Z857" s="2">
        <f>IFERROR(VLOOKUP(K857,'Rate Sheet'!$D:$F,3,FALSE),0)</f>
        <v>0</v>
      </c>
      <c r="AA857" s="2">
        <f t="shared" si="13"/>
        <v>14.333333333333334</v>
      </c>
      <c r="AB857">
        <v>1</v>
      </c>
    </row>
    <row r="858" spans="1:28" x14ac:dyDescent="0.25">
      <c r="A858" t="s">
        <v>33</v>
      </c>
      <c r="B858" t="s">
        <v>3299</v>
      </c>
      <c r="C858" t="s">
        <v>21</v>
      </c>
      <c r="D858" t="s">
        <v>3299</v>
      </c>
      <c r="E858" t="s">
        <v>3300</v>
      </c>
      <c r="F858" t="s">
        <v>3301</v>
      </c>
      <c r="G858" t="s">
        <v>24</v>
      </c>
      <c r="H858" t="s">
        <v>3302</v>
      </c>
      <c r="I858" t="s">
        <v>73</v>
      </c>
      <c r="N858" t="s">
        <v>702</v>
      </c>
      <c r="S858" t="s">
        <v>75</v>
      </c>
      <c r="V858" t="s">
        <v>5592</v>
      </c>
      <c r="W858" t="s">
        <v>97</v>
      </c>
      <c r="X858" s="2">
        <f>IFERROR(VLOOKUP(I858,'Rate Sheet'!$D:$F,3,FALSE),0)</f>
        <v>8.6983333333333324</v>
      </c>
      <c r="Y858" s="2">
        <f>IFERROR(VLOOKUP(J858,'Rate Sheet'!$D:$F,3,FALSE),0)</f>
        <v>0</v>
      </c>
      <c r="Z858" s="2">
        <f>IFERROR(VLOOKUP(K858,'Rate Sheet'!$D:$F,3,FALSE),0)</f>
        <v>0</v>
      </c>
      <c r="AA858" s="2">
        <f t="shared" si="13"/>
        <v>8.6983333333333324</v>
      </c>
      <c r="AB858">
        <v>1</v>
      </c>
    </row>
    <row r="859" spans="1:28" x14ac:dyDescent="0.25">
      <c r="A859" t="s">
        <v>33</v>
      </c>
      <c r="B859" t="s">
        <v>3303</v>
      </c>
      <c r="C859" t="s">
        <v>29</v>
      </c>
      <c r="D859" t="s">
        <v>3303</v>
      </c>
      <c r="E859" t="s">
        <v>699</v>
      </c>
      <c r="F859" t="s">
        <v>3304</v>
      </c>
      <c r="G859" t="s">
        <v>24</v>
      </c>
      <c r="H859" t="s">
        <v>3305</v>
      </c>
      <c r="I859" t="s">
        <v>46</v>
      </c>
      <c r="N859" t="s">
        <v>190</v>
      </c>
      <c r="S859" t="s">
        <v>48</v>
      </c>
      <c r="V859" t="s">
        <v>5612</v>
      </c>
      <c r="W859" t="s">
        <v>5613</v>
      </c>
      <c r="X859" s="2">
        <f>IFERROR(VLOOKUP(I859,'Rate Sheet'!$D:$F,3,FALSE),0)</f>
        <v>14.333333333333334</v>
      </c>
      <c r="Y859" s="2">
        <f>IFERROR(VLOOKUP(J859,'Rate Sheet'!$D:$F,3,FALSE),0)</f>
        <v>0</v>
      </c>
      <c r="Z859" s="2">
        <f>IFERROR(VLOOKUP(K859,'Rate Sheet'!$D:$F,3,FALSE),0)</f>
        <v>0</v>
      </c>
      <c r="AA859" s="2">
        <f t="shared" si="13"/>
        <v>14.333333333333334</v>
      </c>
      <c r="AB859">
        <v>1</v>
      </c>
    </row>
    <row r="860" spans="1:28" x14ac:dyDescent="0.25">
      <c r="A860" t="s">
        <v>33</v>
      </c>
      <c r="B860" t="s">
        <v>3306</v>
      </c>
      <c r="C860" t="s">
        <v>21</v>
      </c>
      <c r="D860" t="s">
        <v>3306</v>
      </c>
      <c r="E860" t="s">
        <v>363</v>
      </c>
      <c r="F860" t="s">
        <v>3307</v>
      </c>
      <c r="G860" t="s">
        <v>24</v>
      </c>
      <c r="H860" t="s">
        <v>3308</v>
      </c>
      <c r="I860" t="s">
        <v>73</v>
      </c>
      <c r="N860" t="s">
        <v>2507</v>
      </c>
      <c r="S860" t="s">
        <v>75</v>
      </c>
      <c r="V860" t="s">
        <v>5702</v>
      </c>
      <c r="W860" t="s">
        <v>2507</v>
      </c>
      <c r="X860" s="2">
        <f>IFERROR(VLOOKUP(I860,'Rate Sheet'!$D:$F,3,FALSE),0)</f>
        <v>8.6983333333333324</v>
      </c>
      <c r="Y860" s="2">
        <f>IFERROR(VLOOKUP(J860,'Rate Sheet'!$D:$F,3,FALSE),0)</f>
        <v>0</v>
      </c>
      <c r="Z860" s="2">
        <f>IFERROR(VLOOKUP(K860,'Rate Sheet'!$D:$F,3,FALSE),0)</f>
        <v>0</v>
      </c>
      <c r="AA860" s="2">
        <f t="shared" si="13"/>
        <v>8.6983333333333324</v>
      </c>
      <c r="AB860">
        <v>1</v>
      </c>
    </row>
    <row r="861" spans="1:28" x14ac:dyDescent="0.25">
      <c r="A861" t="s">
        <v>33</v>
      </c>
      <c r="B861" t="s">
        <v>3309</v>
      </c>
      <c r="C861" t="s">
        <v>21</v>
      </c>
      <c r="D861" t="s">
        <v>3309</v>
      </c>
      <c r="E861" t="s">
        <v>126</v>
      </c>
      <c r="F861" t="s">
        <v>3310</v>
      </c>
      <c r="G861" t="s">
        <v>24</v>
      </c>
      <c r="H861" t="s">
        <v>3311</v>
      </c>
      <c r="I861" t="s">
        <v>73</v>
      </c>
      <c r="N861" t="s">
        <v>2507</v>
      </c>
      <c r="S861" t="s">
        <v>75</v>
      </c>
      <c r="V861" t="s">
        <v>5702</v>
      </c>
      <c r="W861" t="s">
        <v>2507</v>
      </c>
      <c r="X861" s="2">
        <f>IFERROR(VLOOKUP(I861,'Rate Sheet'!$D:$F,3,FALSE),0)</f>
        <v>8.6983333333333324</v>
      </c>
      <c r="Y861" s="2">
        <f>IFERROR(VLOOKUP(J861,'Rate Sheet'!$D:$F,3,FALSE),0)</f>
        <v>0</v>
      </c>
      <c r="Z861" s="2">
        <f>IFERROR(VLOOKUP(K861,'Rate Sheet'!$D:$F,3,FALSE),0)</f>
        <v>0</v>
      </c>
      <c r="AA861" s="2">
        <f t="shared" si="13"/>
        <v>8.6983333333333324</v>
      </c>
      <c r="AB861">
        <v>1</v>
      </c>
    </row>
    <row r="862" spans="1:28" x14ac:dyDescent="0.25">
      <c r="A862" t="s">
        <v>33</v>
      </c>
      <c r="B862" t="s">
        <v>3312</v>
      </c>
      <c r="C862" t="s">
        <v>21</v>
      </c>
      <c r="D862" t="s">
        <v>3312</v>
      </c>
      <c r="E862" t="s">
        <v>3313</v>
      </c>
      <c r="F862" t="s">
        <v>3314</v>
      </c>
      <c r="G862" t="s">
        <v>24</v>
      </c>
      <c r="H862" t="s">
        <v>3315</v>
      </c>
      <c r="I862" t="s">
        <v>73</v>
      </c>
      <c r="N862" t="s">
        <v>2507</v>
      </c>
      <c r="S862" t="s">
        <v>75</v>
      </c>
      <c r="V862" t="s">
        <v>5702</v>
      </c>
      <c r="W862" t="s">
        <v>2507</v>
      </c>
      <c r="X862" s="2">
        <f>IFERROR(VLOOKUP(I862,'Rate Sheet'!$D:$F,3,FALSE),0)</f>
        <v>8.6983333333333324</v>
      </c>
      <c r="Y862" s="2">
        <f>IFERROR(VLOOKUP(J862,'Rate Sheet'!$D:$F,3,FALSE),0)</f>
        <v>0</v>
      </c>
      <c r="Z862" s="2">
        <f>IFERROR(VLOOKUP(K862,'Rate Sheet'!$D:$F,3,FALSE),0)</f>
        <v>0</v>
      </c>
      <c r="AA862" s="2">
        <f t="shared" si="13"/>
        <v>8.6983333333333324</v>
      </c>
      <c r="AB862">
        <v>1</v>
      </c>
    </row>
    <row r="863" spans="1:28" x14ac:dyDescent="0.25">
      <c r="A863" t="s">
        <v>33</v>
      </c>
      <c r="B863" t="s">
        <v>3316</v>
      </c>
      <c r="C863" t="s">
        <v>29</v>
      </c>
      <c r="D863" t="s">
        <v>3316</v>
      </c>
      <c r="E863" t="s">
        <v>3317</v>
      </c>
      <c r="F863" t="s">
        <v>1758</v>
      </c>
      <c r="G863" t="s">
        <v>24</v>
      </c>
      <c r="H863" t="s">
        <v>3318</v>
      </c>
      <c r="N863" t="s">
        <v>2851</v>
      </c>
      <c r="X863" s="2">
        <f>IFERROR(VLOOKUP(I863,'Rate Sheet'!$D:$F,3,FALSE),0)</f>
        <v>0</v>
      </c>
      <c r="Y863" s="2">
        <f>IFERROR(VLOOKUP(J863,'Rate Sheet'!$D:$F,3,FALSE),0)</f>
        <v>0</v>
      </c>
      <c r="Z863" s="2">
        <f>IFERROR(VLOOKUP(K863,'Rate Sheet'!$D:$F,3,FALSE),0)</f>
        <v>0</v>
      </c>
      <c r="AA863" s="2">
        <f t="shared" si="13"/>
        <v>0</v>
      </c>
    </row>
    <row r="864" spans="1:28" x14ac:dyDescent="0.25">
      <c r="A864" t="s">
        <v>33</v>
      </c>
      <c r="B864" t="s">
        <v>3319</v>
      </c>
      <c r="C864" t="s">
        <v>21</v>
      </c>
      <c r="D864" t="s">
        <v>3319</v>
      </c>
      <c r="E864" t="s">
        <v>2277</v>
      </c>
      <c r="F864" t="s">
        <v>3320</v>
      </c>
      <c r="G864" t="s">
        <v>24</v>
      </c>
      <c r="H864" t="s">
        <v>3321</v>
      </c>
      <c r="I864" t="s">
        <v>46</v>
      </c>
      <c r="N864" t="s">
        <v>1115</v>
      </c>
      <c r="S864" t="s">
        <v>48</v>
      </c>
      <c r="V864" t="s">
        <v>5685</v>
      </c>
      <c r="W864" t="s">
        <v>1115</v>
      </c>
      <c r="X864" s="2">
        <f>IFERROR(VLOOKUP(I864,'Rate Sheet'!$D:$F,3,FALSE),0)</f>
        <v>14.333333333333334</v>
      </c>
      <c r="Y864" s="2">
        <f>IFERROR(VLOOKUP(J864,'Rate Sheet'!$D:$F,3,FALSE),0)</f>
        <v>0</v>
      </c>
      <c r="Z864" s="2">
        <f>IFERROR(VLOOKUP(K864,'Rate Sheet'!$D:$F,3,FALSE),0)</f>
        <v>0</v>
      </c>
      <c r="AA864" s="2">
        <f t="shared" si="13"/>
        <v>14.333333333333334</v>
      </c>
      <c r="AB864">
        <v>1</v>
      </c>
    </row>
    <row r="865" spans="1:28" x14ac:dyDescent="0.25">
      <c r="A865" t="s">
        <v>33</v>
      </c>
      <c r="B865" t="s">
        <v>3322</v>
      </c>
      <c r="C865" t="s">
        <v>21</v>
      </c>
      <c r="D865" t="s">
        <v>3322</v>
      </c>
      <c r="E865" t="s">
        <v>3323</v>
      </c>
      <c r="F865" t="s">
        <v>3324</v>
      </c>
      <c r="G865" t="s">
        <v>24</v>
      </c>
      <c r="H865" t="s">
        <v>3325</v>
      </c>
      <c r="I865" t="s">
        <v>46</v>
      </c>
      <c r="N865" t="s">
        <v>317</v>
      </c>
      <c r="S865" t="s">
        <v>48</v>
      </c>
      <c r="V865" t="s">
        <v>5625</v>
      </c>
      <c r="W865" t="s">
        <v>317</v>
      </c>
      <c r="X865" s="2">
        <f>IFERROR(VLOOKUP(I865,'Rate Sheet'!$D:$F,3,FALSE),0)</f>
        <v>14.333333333333334</v>
      </c>
      <c r="Y865" s="2">
        <f>IFERROR(VLOOKUP(J865,'Rate Sheet'!$D:$F,3,FALSE),0)</f>
        <v>0</v>
      </c>
      <c r="Z865" s="2">
        <f>IFERROR(VLOOKUP(K865,'Rate Sheet'!$D:$F,3,FALSE),0)</f>
        <v>0</v>
      </c>
      <c r="AA865" s="2">
        <f t="shared" si="13"/>
        <v>14.333333333333334</v>
      </c>
      <c r="AB865">
        <v>1</v>
      </c>
    </row>
    <row r="866" spans="1:28" x14ac:dyDescent="0.25">
      <c r="A866" t="s">
        <v>33</v>
      </c>
      <c r="B866" t="s">
        <v>3326</v>
      </c>
      <c r="C866" t="s">
        <v>21</v>
      </c>
      <c r="D866" t="s">
        <v>3326</v>
      </c>
      <c r="E866" t="s">
        <v>3327</v>
      </c>
      <c r="F866" t="s">
        <v>3328</v>
      </c>
      <c r="G866" t="s">
        <v>24</v>
      </c>
      <c r="H866" t="s">
        <v>3329</v>
      </c>
      <c r="I866" t="s">
        <v>46</v>
      </c>
      <c r="N866" t="s">
        <v>1252</v>
      </c>
      <c r="S866" t="s">
        <v>48</v>
      </c>
      <c r="V866" t="s">
        <v>5690</v>
      </c>
      <c r="W866" t="s">
        <v>5691</v>
      </c>
      <c r="X866" s="2">
        <f>IFERROR(VLOOKUP(I866,'Rate Sheet'!$D:$F,3,FALSE),0)</f>
        <v>14.333333333333334</v>
      </c>
      <c r="Y866" s="2">
        <f>IFERROR(VLOOKUP(J866,'Rate Sheet'!$D:$F,3,FALSE),0)</f>
        <v>0</v>
      </c>
      <c r="Z866" s="2">
        <f>IFERROR(VLOOKUP(K866,'Rate Sheet'!$D:$F,3,FALSE),0)</f>
        <v>0</v>
      </c>
      <c r="AA866" s="2">
        <f t="shared" si="13"/>
        <v>14.333333333333334</v>
      </c>
      <c r="AB866">
        <v>1</v>
      </c>
    </row>
    <row r="867" spans="1:28" x14ac:dyDescent="0.25">
      <c r="A867" t="s">
        <v>33</v>
      </c>
      <c r="B867" t="s">
        <v>3330</v>
      </c>
      <c r="C867" t="s">
        <v>29</v>
      </c>
      <c r="D867" t="s">
        <v>3330</v>
      </c>
      <c r="E867" t="s">
        <v>200</v>
      </c>
      <c r="F867" t="s">
        <v>3331</v>
      </c>
      <c r="G867" t="s">
        <v>24</v>
      </c>
      <c r="H867" t="s">
        <v>3332</v>
      </c>
      <c r="I867" t="s">
        <v>46</v>
      </c>
      <c r="N867" t="s">
        <v>246</v>
      </c>
      <c r="S867" t="s">
        <v>48</v>
      </c>
      <c r="V867" t="s">
        <v>5661</v>
      </c>
      <c r="W867" t="s">
        <v>246</v>
      </c>
      <c r="X867" s="2">
        <f>IFERROR(VLOOKUP(I867,'Rate Sheet'!$D:$F,3,FALSE),0)</f>
        <v>14.333333333333334</v>
      </c>
      <c r="Y867" s="2">
        <f>IFERROR(VLOOKUP(J867,'Rate Sheet'!$D:$F,3,FALSE),0)</f>
        <v>0</v>
      </c>
      <c r="Z867" s="2">
        <f>IFERROR(VLOOKUP(K867,'Rate Sheet'!$D:$F,3,FALSE),0)</f>
        <v>0</v>
      </c>
      <c r="AA867" s="2">
        <f t="shared" si="13"/>
        <v>14.333333333333334</v>
      </c>
      <c r="AB867">
        <v>1</v>
      </c>
    </row>
    <row r="868" spans="1:28" x14ac:dyDescent="0.25">
      <c r="A868" t="s">
        <v>33</v>
      </c>
      <c r="B868" t="s">
        <v>3333</v>
      </c>
      <c r="C868" t="s">
        <v>29</v>
      </c>
      <c r="D868" t="s">
        <v>3333</v>
      </c>
      <c r="E868" t="s">
        <v>1961</v>
      </c>
      <c r="F868" t="s">
        <v>3334</v>
      </c>
      <c r="G868" t="s">
        <v>24</v>
      </c>
      <c r="H868" t="s">
        <v>3335</v>
      </c>
      <c r="I868" t="s">
        <v>46</v>
      </c>
      <c r="N868" t="s">
        <v>176</v>
      </c>
      <c r="S868" t="s">
        <v>48</v>
      </c>
      <c r="V868" t="s">
        <v>5607</v>
      </c>
      <c r="W868" t="s">
        <v>5608</v>
      </c>
      <c r="X868" s="2">
        <f>IFERROR(VLOOKUP(I868,'Rate Sheet'!$D:$F,3,FALSE),0)</f>
        <v>14.333333333333334</v>
      </c>
      <c r="Y868" s="2">
        <f>IFERROR(VLOOKUP(J868,'Rate Sheet'!$D:$F,3,FALSE),0)</f>
        <v>0</v>
      </c>
      <c r="Z868" s="2">
        <f>IFERROR(VLOOKUP(K868,'Rate Sheet'!$D:$F,3,FALSE),0)</f>
        <v>0</v>
      </c>
      <c r="AA868" s="2">
        <f t="shared" si="13"/>
        <v>14.333333333333334</v>
      </c>
      <c r="AB868">
        <v>1</v>
      </c>
    </row>
    <row r="869" spans="1:28" x14ac:dyDescent="0.25">
      <c r="A869" t="s">
        <v>33</v>
      </c>
      <c r="B869" t="s">
        <v>3336</v>
      </c>
      <c r="C869" t="s">
        <v>21</v>
      </c>
      <c r="D869" t="s">
        <v>3336</v>
      </c>
      <c r="E869" t="s">
        <v>898</v>
      </c>
      <c r="F869" t="s">
        <v>465</v>
      </c>
      <c r="G869" t="s">
        <v>24</v>
      </c>
      <c r="H869" t="s">
        <v>3337</v>
      </c>
      <c r="I869" t="s">
        <v>46</v>
      </c>
      <c r="N869" t="s">
        <v>629</v>
      </c>
      <c r="S869" t="s">
        <v>48</v>
      </c>
      <c r="V869" s="10" t="s">
        <v>5783</v>
      </c>
      <c r="W869" s="10" t="s">
        <v>5784</v>
      </c>
      <c r="X869" s="2">
        <f>IFERROR(VLOOKUP(I869,'Rate Sheet'!$D:$F,3,FALSE),0)</f>
        <v>14.333333333333334</v>
      </c>
      <c r="Y869" s="2">
        <f>IFERROR(VLOOKUP(J869,'Rate Sheet'!$D:$F,3,FALSE),0)</f>
        <v>0</v>
      </c>
      <c r="Z869" s="2">
        <f>IFERROR(VLOOKUP(K869,'Rate Sheet'!$D:$F,3,FALSE),0)</f>
        <v>0</v>
      </c>
      <c r="AA869" s="2">
        <f t="shared" si="13"/>
        <v>14.333333333333334</v>
      </c>
      <c r="AB869">
        <v>1</v>
      </c>
    </row>
    <row r="870" spans="1:28" x14ac:dyDescent="0.25">
      <c r="A870" t="s">
        <v>33</v>
      </c>
      <c r="B870" t="s">
        <v>3338</v>
      </c>
      <c r="C870" t="s">
        <v>21</v>
      </c>
      <c r="D870" t="s">
        <v>3338</v>
      </c>
      <c r="E870" t="s">
        <v>1003</v>
      </c>
      <c r="F870" t="s">
        <v>3339</v>
      </c>
      <c r="G870" t="s">
        <v>24</v>
      </c>
      <c r="H870" t="s">
        <v>3340</v>
      </c>
      <c r="N870" t="s">
        <v>74</v>
      </c>
      <c r="X870" s="2">
        <f>IFERROR(VLOOKUP(I870,'Rate Sheet'!$D:$F,3,FALSE),0)</f>
        <v>0</v>
      </c>
      <c r="Y870" s="2">
        <f>IFERROR(VLOOKUP(J870,'Rate Sheet'!$D:$F,3,FALSE),0)</f>
        <v>0</v>
      </c>
      <c r="Z870" s="2">
        <f>IFERROR(VLOOKUP(K870,'Rate Sheet'!$D:$F,3,FALSE),0)</f>
        <v>0</v>
      </c>
      <c r="AA870" s="2">
        <f t="shared" si="13"/>
        <v>0</v>
      </c>
    </row>
    <row r="871" spans="1:28" x14ac:dyDescent="0.25">
      <c r="A871" t="s">
        <v>33</v>
      </c>
      <c r="B871" t="s">
        <v>3341</v>
      </c>
      <c r="C871" t="s">
        <v>21</v>
      </c>
      <c r="D871" t="s">
        <v>3341</v>
      </c>
      <c r="E871" t="s">
        <v>204</v>
      </c>
      <c r="F871" t="s">
        <v>3342</v>
      </c>
      <c r="G871" t="s">
        <v>24</v>
      </c>
      <c r="H871" t="s">
        <v>3343</v>
      </c>
      <c r="I871" t="s">
        <v>46</v>
      </c>
      <c r="N871" t="s">
        <v>2014</v>
      </c>
      <c r="S871" t="s">
        <v>48</v>
      </c>
      <c r="V871" t="s">
        <v>5707</v>
      </c>
      <c r="W871" t="s">
        <v>2014</v>
      </c>
      <c r="X871" s="2">
        <f>IFERROR(VLOOKUP(I871,'Rate Sheet'!$D:$F,3,FALSE),0)</f>
        <v>14.333333333333334</v>
      </c>
      <c r="Y871" s="2">
        <f>IFERROR(VLOOKUP(J871,'Rate Sheet'!$D:$F,3,FALSE),0)</f>
        <v>0</v>
      </c>
      <c r="Z871" s="2">
        <f>IFERROR(VLOOKUP(K871,'Rate Sheet'!$D:$F,3,FALSE),0)</f>
        <v>0</v>
      </c>
      <c r="AA871" s="2">
        <f t="shared" si="13"/>
        <v>14.333333333333334</v>
      </c>
      <c r="AB871">
        <v>1</v>
      </c>
    </row>
    <row r="872" spans="1:28" x14ac:dyDescent="0.25">
      <c r="A872" t="s">
        <v>33</v>
      </c>
      <c r="B872" t="s">
        <v>3344</v>
      </c>
      <c r="C872" t="s">
        <v>21</v>
      </c>
      <c r="D872" t="s">
        <v>3344</v>
      </c>
      <c r="E872" t="s">
        <v>3345</v>
      </c>
      <c r="F872" t="s">
        <v>3346</v>
      </c>
      <c r="G872" t="s">
        <v>24</v>
      </c>
      <c r="H872" t="s">
        <v>3347</v>
      </c>
      <c r="I872" t="s">
        <v>73</v>
      </c>
      <c r="N872" t="s">
        <v>2329</v>
      </c>
      <c r="S872" t="s">
        <v>75</v>
      </c>
      <c r="V872" t="s">
        <v>5672</v>
      </c>
      <c r="W872" t="s">
        <v>2329</v>
      </c>
      <c r="X872" s="2">
        <f>IFERROR(VLOOKUP(I872,'Rate Sheet'!$D:$F,3,FALSE),0)</f>
        <v>8.6983333333333324</v>
      </c>
      <c r="Y872" s="2">
        <f>IFERROR(VLOOKUP(J872,'Rate Sheet'!$D:$F,3,FALSE),0)</f>
        <v>0</v>
      </c>
      <c r="Z872" s="2">
        <f>IFERROR(VLOOKUP(K872,'Rate Sheet'!$D:$F,3,FALSE),0)</f>
        <v>0</v>
      </c>
      <c r="AA872" s="2">
        <f t="shared" si="13"/>
        <v>8.6983333333333324</v>
      </c>
      <c r="AB872">
        <v>1</v>
      </c>
    </row>
    <row r="873" spans="1:28" x14ac:dyDescent="0.25">
      <c r="A873" t="s">
        <v>33</v>
      </c>
      <c r="B873" t="s">
        <v>3348</v>
      </c>
      <c r="C873" t="s">
        <v>21</v>
      </c>
      <c r="D873" t="s">
        <v>3349</v>
      </c>
      <c r="E873" t="s">
        <v>3350</v>
      </c>
      <c r="F873" t="s">
        <v>3351</v>
      </c>
      <c r="G873" t="s">
        <v>24</v>
      </c>
      <c r="H873" t="s">
        <v>3352</v>
      </c>
      <c r="I873" t="s">
        <v>46</v>
      </c>
      <c r="N873" t="s">
        <v>332</v>
      </c>
      <c r="S873" t="s">
        <v>48</v>
      </c>
      <c r="V873" t="s">
        <v>5598</v>
      </c>
      <c r="W873" t="s">
        <v>119</v>
      </c>
      <c r="X873" s="2">
        <f>IFERROR(VLOOKUP(I873,'Rate Sheet'!$D:$F,3,FALSE),0)</f>
        <v>14.333333333333334</v>
      </c>
      <c r="Y873" s="2">
        <f>IFERROR(VLOOKUP(J873,'Rate Sheet'!$D:$F,3,FALSE),0)</f>
        <v>0</v>
      </c>
      <c r="Z873" s="2">
        <f>IFERROR(VLOOKUP(K873,'Rate Sheet'!$D:$F,3,FALSE),0)</f>
        <v>0</v>
      </c>
      <c r="AA873" s="2">
        <f t="shared" si="13"/>
        <v>14.333333333333334</v>
      </c>
      <c r="AB873">
        <v>1</v>
      </c>
    </row>
    <row r="874" spans="1:28" x14ac:dyDescent="0.25">
      <c r="A874" t="s">
        <v>33</v>
      </c>
      <c r="B874" t="s">
        <v>3353</v>
      </c>
      <c r="C874" t="s">
        <v>21</v>
      </c>
      <c r="D874" t="s">
        <v>3353</v>
      </c>
      <c r="E874" t="s">
        <v>966</v>
      </c>
      <c r="F874" t="s">
        <v>3354</v>
      </c>
      <c r="G874" t="s">
        <v>24</v>
      </c>
      <c r="H874" t="s">
        <v>3355</v>
      </c>
      <c r="I874" t="s">
        <v>46</v>
      </c>
      <c r="N874" t="s">
        <v>185</v>
      </c>
      <c r="S874" t="s">
        <v>48</v>
      </c>
      <c r="V874" t="s">
        <v>5610</v>
      </c>
      <c r="W874" t="s">
        <v>5611</v>
      </c>
      <c r="X874" s="2">
        <f>IFERROR(VLOOKUP(I874,'Rate Sheet'!$D:$F,3,FALSE),0)</f>
        <v>14.333333333333334</v>
      </c>
      <c r="Y874" s="2">
        <f>IFERROR(VLOOKUP(J874,'Rate Sheet'!$D:$F,3,FALSE),0)</f>
        <v>0</v>
      </c>
      <c r="Z874" s="2">
        <f>IFERROR(VLOOKUP(K874,'Rate Sheet'!$D:$F,3,FALSE),0)</f>
        <v>0</v>
      </c>
      <c r="AA874" s="2">
        <f t="shared" si="13"/>
        <v>14.333333333333334</v>
      </c>
      <c r="AB874">
        <v>1</v>
      </c>
    </row>
    <row r="875" spans="1:28" x14ac:dyDescent="0.25">
      <c r="A875" t="s">
        <v>33</v>
      </c>
      <c r="B875" t="s">
        <v>3356</v>
      </c>
      <c r="C875" t="s">
        <v>21</v>
      </c>
      <c r="D875" t="s">
        <v>3356</v>
      </c>
      <c r="E875" t="s">
        <v>204</v>
      </c>
      <c r="F875" t="s">
        <v>3357</v>
      </c>
      <c r="G875" t="s">
        <v>24</v>
      </c>
      <c r="H875" t="s">
        <v>3358</v>
      </c>
      <c r="I875" t="s">
        <v>73</v>
      </c>
      <c r="N875" t="s">
        <v>824</v>
      </c>
      <c r="S875" t="s">
        <v>75</v>
      </c>
      <c r="V875" t="s">
        <v>5670</v>
      </c>
      <c r="W875" t="s">
        <v>5671</v>
      </c>
      <c r="X875" s="2">
        <f>IFERROR(VLOOKUP(I875,'Rate Sheet'!$D:$F,3,FALSE),0)</f>
        <v>8.6983333333333324</v>
      </c>
      <c r="Y875" s="2">
        <f>IFERROR(VLOOKUP(J875,'Rate Sheet'!$D:$F,3,FALSE),0)</f>
        <v>0</v>
      </c>
      <c r="Z875" s="2">
        <f>IFERROR(VLOOKUP(K875,'Rate Sheet'!$D:$F,3,FALSE),0)</f>
        <v>0</v>
      </c>
      <c r="AA875" s="2">
        <f t="shared" si="13"/>
        <v>8.6983333333333324</v>
      </c>
      <c r="AB875">
        <v>1</v>
      </c>
    </row>
    <row r="876" spans="1:28" x14ac:dyDescent="0.25">
      <c r="A876" t="s">
        <v>33</v>
      </c>
      <c r="B876" t="s">
        <v>3359</v>
      </c>
      <c r="C876" t="s">
        <v>21</v>
      </c>
      <c r="D876" t="s">
        <v>3359</v>
      </c>
      <c r="E876" t="s">
        <v>2066</v>
      </c>
      <c r="F876" t="s">
        <v>3360</v>
      </c>
      <c r="G876" t="s">
        <v>24</v>
      </c>
      <c r="H876" t="s">
        <v>3361</v>
      </c>
      <c r="I876" t="s">
        <v>73</v>
      </c>
      <c r="J876" t="s">
        <v>3206</v>
      </c>
      <c r="N876" t="s">
        <v>349</v>
      </c>
      <c r="S876" t="s">
        <v>3363</v>
      </c>
      <c r="V876" t="s">
        <v>5630</v>
      </c>
      <c r="W876" t="s">
        <v>5631</v>
      </c>
      <c r="X876" s="2">
        <f>IFERROR(VLOOKUP(I876,'Rate Sheet'!$D:$F,3,FALSE),0)</f>
        <v>8.6983333333333324</v>
      </c>
      <c r="Y876" s="2">
        <f>IFERROR(VLOOKUP(J876,'Rate Sheet'!$D:$F,3,FALSE),0)</f>
        <v>36.357500000000002</v>
      </c>
      <c r="Z876" s="2">
        <f>IFERROR(VLOOKUP(K876,'Rate Sheet'!$D:$F,3,FALSE),0)</f>
        <v>0</v>
      </c>
      <c r="AA876" s="2">
        <f t="shared" si="13"/>
        <v>45.055833333333332</v>
      </c>
      <c r="AB876">
        <v>1</v>
      </c>
    </row>
    <row r="877" spans="1:28" x14ac:dyDescent="0.25">
      <c r="A877" t="s">
        <v>33</v>
      </c>
      <c r="B877" t="s">
        <v>3364</v>
      </c>
      <c r="C877" t="s">
        <v>21</v>
      </c>
      <c r="D877" t="s">
        <v>3364</v>
      </c>
      <c r="E877" t="s">
        <v>610</v>
      </c>
      <c r="F877" t="s">
        <v>1371</v>
      </c>
      <c r="G877" t="s">
        <v>24</v>
      </c>
      <c r="H877" t="s">
        <v>3365</v>
      </c>
      <c r="I877" t="s">
        <v>46</v>
      </c>
      <c r="N877" t="s">
        <v>692</v>
      </c>
      <c r="S877" t="s">
        <v>48</v>
      </c>
      <c r="V877" t="s">
        <v>5628</v>
      </c>
      <c r="W877" t="s">
        <v>5629</v>
      </c>
      <c r="X877" s="2">
        <f>IFERROR(VLOOKUP(I877,'Rate Sheet'!$D:$F,3,FALSE),0)</f>
        <v>14.333333333333334</v>
      </c>
      <c r="Y877" s="2">
        <f>IFERROR(VLOOKUP(J877,'Rate Sheet'!$D:$F,3,FALSE),0)</f>
        <v>0</v>
      </c>
      <c r="Z877" s="2">
        <f>IFERROR(VLOOKUP(K877,'Rate Sheet'!$D:$F,3,FALSE),0)</f>
        <v>0</v>
      </c>
      <c r="AA877" s="2">
        <f t="shared" si="13"/>
        <v>14.333333333333334</v>
      </c>
      <c r="AB877">
        <v>1</v>
      </c>
    </row>
    <row r="878" spans="1:28" x14ac:dyDescent="0.25">
      <c r="A878" t="s">
        <v>33</v>
      </c>
      <c r="B878" t="s">
        <v>3366</v>
      </c>
      <c r="C878" t="s">
        <v>21</v>
      </c>
      <c r="D878" t="s">
        <v>3366</v>
      </c>
      <c r="E878" t="s">
        <v>988</v>
      </c>
      <c r="F878" t="s">
        <v>3367</v>
      </c>
      <c r="G878" t="s">
        <v>24</v>
      </c>
      <c r="H878" t="s">
        <v>3368</v>
      </c>
      <c r="N878" t="s">
        <v>38</v>
      </c>
      <c r="X878" s="2">
        <f>IFERROR(VLOOKUP(I878,'Rate Sheet'!$D:$F,3,FALSE),0)</f>
        <v>0</v>
      </c>
      <c r="Y878" s="2">
        <f>IFERROR(VLOOKUP(J878,'Rate Sheet'!$D:$F,3,FALSE),0)</f>
        <v>0</v>
      </c>
      <c r="Z878" s="2">
        <f>IFERROR(VLOOKUP(K878,'Rate Sheet'!$D:$F,3,FALSE),0)</f>
        <v>0</v>
      </c>
      <c r="AA878" s="2">
        <f t="shared" si="13"/>
        <v>0</v>
      </c>
    </row>
    <row r="879" spans="1:28" x14ac:dyDescent="0.25">
      <c r="A879" t="s">
        <v>33</v>
      </c>
      <c r="B879" t="s">
        <v>3369</v>
      </c>
      <c r="C879" t="s">
        <v>21</v>
      </c>
      <c r="D879" t="s">
        <v>3369</v>
      </c>
      <c r="E879" t="s">
        <v>3031</v>
      </c>
      <c r="F879" t="s">
        <v>3370</v>
      </c>
      <c r="G879" t="s">
        <v>24</v>
      </c>
      <c r="H879" t="s">
        <v>3371</v>
      </c>
      <c r="I879" t="s">
        <v>46</v>
      </c>
      <c r="J879" t="s">
        <v>96</v>
      </c>
      <c r="N879" t="s">
        <v>53</v>
      </c>
      <c r="S879" t="s">
        <v>2399</v>
      </c>
      <c r="V879" t="s">
        <v>5580</v>
      </c>
      <c r="W879" t="s">
        <v>5581</v>
      </c>
      <c r="X879" s="2">
        <f>IFERROR(VLOOKUP(I879,'Rate Sheet'!$D:$F,3,FALSE),0)</f>
        <v>14.333333333333334</v>
      </c>
      <c r="Y879" s="2">
        <f>IFERROR(VLOOKUP(J879,'Rate Sheet'!$D:$F,3,FALSE),0)</f>
        <v>82.24</v>
      </c>
      <c r="Z879" s="2">
        <f>IFERROR(VLOOKUP(K879,'Rate Sheet'!$D:$F,3,FALSE),0)</f>
        <v>0</v>
      </c>
      <c r="AA879" s="2">
        <f t="shared" si="13"/>
        <v>96.573333333333323</v>
      </c>
      <c r="AB879">
        <v>1</v>
      </c>
    </row>
    <row r="880" spans="1:28" x14ac:dyDescent="0.25">
      <c r="A880" t="s">
        <v>33</v>
      </c>
      <c r="B880" t="s">
        <v>3372</v>
      </c>
      <c r="C880" t="s">
        <v>21</v>
      </c>
      <c r="D880" t="s">
        <v>3372</v>
      </c>
      <c r="E880" t="s">
        <v>284</v>
      </c>
      <c r="F880" t="s">
        <v>3367</v>
      </c>
      <c r="G880" t="s">
        <v>24</v>
      </c>
      <c r="H880" t="s">
        <v>3373</v>
      </c>
      <c r="I880" t="s">
        <v>96</v>
      </c>
      <c r="N880" t="s">
        <v>38</v>
      </c>
      <c r="S880" t="s">
        <v>98</v>
      </c>
      <c r="V880" t="s">
        <v>5578</v>
      </c>
      <c r="W880" t="s">
        <v>5579</v>
      </c>
      <c r="X880" s="2">
        <f>IFERROR(VLOOKUP(I880,'Rate Sheet'!$D:$F,3,FALSE),0)</f>
        <v>82.24</v>
      </c>
      <c r="Y880" s="2">
        <f>IFERROR(VLOOKUP(J880,'Rate Sheet'!$D:$F,3,FALSE),0)</f>
        <v>0</v>
      </c>
      <c r="Z880" s="2">
        <f>IFERROR(VLOOKUP(K880,'Rate Sheet'!$D:$F,3,FALSE),0)</f>
        <v>0</v>
      </c>
      <c r="AA880" s="2">
        <f t="shared" si="13"/>
        <v>82.24</v>
      </c>
      <c r="AB880">
        <v>1</v>
      </c>
    </row>
    <row r="881" spans="1:28" x14ac:dyDescent="0.25">
      <c r="A881" t="s">
        <v>33</v>
      </c>
      <c r="B881" t="s">
        <v>3374</v>
      </c>
      <c r="C881" t="s">
        <v>21</v>
      </c>
      <c r="D881" t="s">
        <v>3374</v>
      </c>
      <c r="E881" t="s">
        <v>284</v>
      </c>
      <c r="F881" t="s">
        <v>3375</v>
      </c>
      <c r="G881" t="s">
        <v>24</v>
      </c>
      <c r="H881" t="s">
        <v>3376</v>
      </c>
      <c r="L881" t="s">
        <v>26</v>
      </c>
      <c r="N881" t="s">
        <v>27</v>
      </c>
      <c r="X881" s="2">
        <f>IFERROR(VLOOKUP(I881,'Rate Sheet'!$D:$F,3,FALSE),0)</f>
        <v>0</v>
      </c>
      <c r="Y881" s="2">
        <f>IFERROR(VLOOKUP(J881,'Rate Sheet'!$D:$F,3,FALSE),0)</f>
        <v>0</v>
      </c>
      <c r="Z881" s="2">
        <f>IFERROR(VLOOKUP(K881,'Rate Sheet'!$D:$F,3,FALSE),0)</f>
        <v>0</v>
      </c>
      <c r="AA881" s="2">
        <f t="shared" si="13"/>
        <v>0</v>
      </c>
    </row>
    <row r="882" spans="1:28" x14ac:dyDescent="0.25">
      <c r="A882" t="s">
        <v>33</v>
      </c>
      <c r="B882" t="s">
        <v>3377</v>
      </c>
      <c r="C882" t="s">
        <v>21</v>
      </c>
      <c r="D882" t="s">
        <v>3377</v>
      </c>
      <c r="E882" t="s">
        <v>284</v>
      </c>
      <c r="F882" t="s">
        <v>3375</v>
      </c>
      <c r="G882" t="s">
        <v>24</v>
      </c>
      <c r="H882" t="s">
        <v>3378</v>
      </c>
      <c r="L882" t="s">
        <v>26</v>
      </c>
      <c r="N882" t="s">
        <v>27</v>
      </c>
      <c r="X882" s="2">
        <f>IFERROR(VLOOKUP(I882,'Rate Sheet'!$D:$F,3,FALSE),0)</f>
        <v>0</v>
      </c>
      <c r="Y882" s="2">
        <f>IFERROR(VLOOKUP(J882,'Rate Sheet'!$D:$F,3,FALSE),0)</f>
        <v>0</v>
      </c>
      <c r="Z882" s="2">
        <f>IFERROR(VLOOKUP(K882,'Rate Sheet'!$D:$F,3,FALSE),0)</f>
        <v>0</v>
      </c>
      <c r="AA882" s="2">
        <f t="shared" si="13"/>
        <v>0</v>
      </c>
    </row>
    <row r="883" spans="1:28" x14ac:dyDescent="0.25">
      <c r="A883" t="s">
        <v>33</v>
      </c>
      <c r="B883" t="s">
        <v>3379</v>
      </c>
      <c r="C883" t="s">
        <v>21</v>
      </c>
      <c r="D883" t="s">
        <v>3379</v>
      </c>
      <c r="E883" t="s">
        <v>204</v>
      </c>
      <c r="F883" t="s">
        <v>3380</v>
      </c>
      <c r="G883" t="s">
        <v>24</v>
      </c>
      <c r="H883" t="s">
        <v>3381</v>
      </c>
      <c r="I883" t="s">
        <v>46</v>
      </c>
      <c r="N883" t="s">
        <v>309</v>
      </c>
      <c r="S883" t="s">
        <v>48</v>
      </c>
      <c r="V883" t="s">
        <v>5600</v>
      </c>
      <c r="W883" t="s">
        <v>5601</v>
      </c>
      <c r="X883" s="2">
        <f>IFERROR(VLOOKUP(I883,'Rate Sheet'!$D:$F,3,FALSE),0)</f>
        <v>14.333333333333334</v>
      </c>
      <c r="Y883" s="2">
        <f>IFERROR(VLOOKUP(J883,'Rate Sheet'!$D:$F,3,FALSE),0)</f>
        <v>0</v>
      </c>
      <c r="Z883" s="2">
        <f>IFERROR(VLOOKUP(K883,'Rate Sheet'!$D:$F,3,FALSE),0)</f>
        <v>0</v>
      </c>
      <c r="AA883" s="2">
        <f t="shared" si="13"/>
        <v>14.333333333333334</v>
      </c>
      <c r="AB883">
        <v>1</v>
      </c>
    </row>
    <row r="884" spans="1:28" x14ac:dyDescent="0.25">
      <c r="A884" t="s">
        <v>33</v>
      </c>
      <c r="B884" t="s">
        <v>3382</v>
      </c>
      <c r="C884" t="s">
        <v>21</v>
      </c>
      <c r="D884" t="s">
        <v>3382</v>
      </c>
      <c r="E884" t="s">
        <v>2258</v>
      </c>
      <c r="F884" t="s">
        <v>3383</v>
      </c>
      <c r="G884" t="s">
        <v>24</v>
      </c>
      <c r="H884" t="s">
        <v>3384</v>
      </c>
      <c r="I884" t="s">
        <v>46</v>
      </c>
      <c r="N884" t="s">
        <v>108</v>
      </c>
      <c r="S884" t="s">
        <v>48</v>
      </c>
      <c r="V884" t="s">
        <v>5595</v>
      </c>
      <c r="W884" t="s">
        <v>108</v>
      </c>
      <c r="X884" s="2">
        <f>IFERROR(VLOOKUP(I884,'Rate Sheet'!$D:$F,3,FALSE),0)</f>
        <v>14.333333333333334</v>
      </c>
      <c r="Y884" s="2">
        <f>IFERROR(VLOOKUP(J884,'Rate Sheet'!$D:$F,3,FALSE),0)</f>
        <v>0</v>
      </c>
      <c r="Z884" s="2">
        <f>IFERROR(VLOOKUP(K884,'Rate Sheet'!$D:$F,3,FALSE),0)</f>
        <v>0</v>
      </c>
      <c r="AA884" s="2">
        <f t="shared" si="13"/>
        <v>14.333333333333334</v>
      </c>
      <c r="AB884">
        <v>1</v>
      </c>
    </row>
    <row r="885" spans="1:28" x14ac:dyDescent="0.25">
      <c r="A885" t="s">
        <v>33</v>
      </c>
      <c r="B885" t="s">
        <v>3385</v>
      </c>
      <c r="C885" t="s">
        <v>21</v>
      </c>
      <c r="D885" t="s">
        <v>3386</v>
      </c>
      <c r="E885" t="s">
        <v>3387</v>
      </c>
      <c r="F885" t="s">
        <v>3388</v>
      </c>
      <c r="G885" t="s">
        <v>24</v>
      </c>
      <c r="H885" t="s">
        <v>3389</v>
      </c>
      <c r="N885" t="s">
        <v>287</v>
      </c>
      <c r="X885" s="2">
        <f>IFERROR(VLOOKUP(I885,'Rate Sheet'!$D:$F,3,FALSE),0)</f>
        <v>0</v>
      </c>
      <c r="Y885" s="2">
        <f>IFERROR(VLOOKUP(J885,'Rate Sheet'!$D:$F,3,FALSE),0)</f>
        <v>0</v>
      </c>
      <c r="Z885" s="2">
        <f>IFERROR(VLOOKUP(K885,'Rate Sheet'!$D:$F,3,FALSE),0)</f>
        <v>0</v>
      </c>
      <c r="AA885" s="2">
        <f t="shared" ref="AA885:AA948" si="14">SUM(X885:Z885)</f>
        <v>0</v>
      </c>
    </row>
    <row r="886" spans="1:28" x14ac:dyDescent="0.25">
      <c r="A886" t="s">
        <v>33</v>
      </c>
      <c r="B886" t="s">
        <v>3390</v>
      </c>
      <c r="C886" t="s">
        <v>21</v>
      </c>
      <c r="D886" t="s">
        <v>3390</v>
      </c>
      <c r="E886" t="s">
        <v>3162</v>
      </c>
      <c r="F886" t="s">
        <v>3391</v>
      </c>
      <c r="G886" t="s">
        <v>24</v>
      </c>
      <c r="H886" t="s">
        <v>3392</v>
      </c>
      <c r="I886" t="s">
        <v>46</v>
      </c>
      <c r="N886" t="s">
        <v>2758</v>
      </c>
      <c r="S886" t="s">
        <v>48</v>
      </c>
      <c r="V886" t="s">
        <v>5578</v>
      </c>
      <c r="W886" t="s">
        <v>5579</v>
      </c>
      <c r="X886" s="2">
        <f>IFERROR(VLOOKUP(I886,'Rate Sheet'!$D:$F,3,FALSE),0)</f>
        <v>14.333333333333334</v>
      </c>
      <c r="Y886" s="2">
        <f>IFERROR(VLOOKUP(J886,'Rate Sheet'!$D:$F,3,FALSE),0)</f>
        <v>0</v>
      </c>
      <c r="Z886" s="2">
        <f>IFERROR(VLOOKUP(K886,'Rate Sheet'!$D:$F,3,FALSE),0)</f>
        <v>0</v>
      </c>
      <c r="AA886" s="2">
        <f t="shared" si="14"/>
        <v>14.333333333333334</v>
      </c>
      <c r="AB886">
        <v>1</v>
      </c>
    </row>
    <row r="887" spans="1:28" x14ac:dyDescent="0.25">
      <c r="A887" t="s">
        <v>33</v>
      </c>
      <c r="B887" t="s">
        <v>3393</v>
      </c>
      <c r="C887" t="s">
        <v>21</v>
      </c>
      <c r="D887" t="s">
        <v>3393</v>
      </c>
      <c r="E887" t="s">
        <v>3394</v>
      </c>
      <c r="F887" t="s">
        <v>3395</v>
      </c>
      <c r="G887" t="s">
        <v>24</v>
      </c>
      <c r="H887" t="s">
        <v>3396</v>
      </c>
      <c r="I887" t="s">
        <v>46</v>
      </c>
      <c r="N887" t="s">
        <v>38</v>
      </c>
      <c r="S887" t="s">
        <v>48</v>
      </c>
      <c r="V887" t="s">
        <v>5578</v>
      </c>
      <c r="W887" t="s">
        <v>5579</v>
      </c>
      <c r="X887" s="2">
        <f>IFERROR(VLOOKUP(I887,'Rate Sheet'!$D:$F,3,FALSE),0)</f>
        <v>14.333333333333334</v>
      </c>
      <c r="Y887" s="2">
        <f>IFERROR(VLOOKUP(J887,'Rate Sheet'!$D:$F,3,FALSE),0)</f>
        <v>0</v>
      </c>
      <c r="Z887" s="2">
        <f>IFERROR(VLOOKUP(K887,'Rate Sheet'!$D:$F,3,FALSE),0)</f>
        <v>0</v>
      </c>
      <c r="AA887" s="2">
        <f t="shared" si="14"/>
        <v>14.333333333333334</v>
      </c>
      <c r="AB887">
        <v>1</v>
      </c>
    </row>
    <row r="888" spans="1:28" x14ac:dyDescent="0.25">
      <c r="A888" t="s">
        <v>33</v>
      </c>
      <c r="B888" t="s">
        <v>3397</v>
      </c>
      <c r="C888" t="s">
        <v>92</v>
      </c>
      <c r="D888" t="s">
        <v>3398</v>
      </c>
      <c r="E888" t="s">
        <v>3323</v>
      </c>
      <c r="F888" t="s">
        <v>741</v>
      </c>
      <c r="G888" t="s">
        <v>24</v>
      </c>
      <c r="H888" t="s">
        <v>3399</v>
      </c>
      <c r="I888" t="s">
        <v>46</v>
      </c>
      <c r="N888" t="s">
        <v>1577</v>
      </c>
      <c r="S888" t="s">
        <v>48</v>
      </c>
      <c r="V888" t="s">
        <v>5705</v>
      </c>
      <c r="W888" t="s">
        <v>1577</v>
      </c>
      <c r="X888" s="2">
        <f>IFERROR(VLOOKUP(I888,'Rate Sheet'!$D:$F,3,FALSE),0)</f>
        <v>14.333333333333334</v>
      </c>
      <c r="Y888" s="2">
        <f>IFERROR(VLOOKUP(J888,'Rate Sheet'!$D:$F,3,FALSE),0)</f>
        <v>0</v>
      </c>
      <c r="Z888" s="2">
        <f>IFERROR(VLOOKUP(K888,'Rate Sheet'!$D:$F,3,FALSE),0)</f>
        <v>0</v>
      </c>
      <c r="AA888" s="2">
        <f t="shared" si="14"/>
        <v>14.333333333333334</v>
      </c>
      <c r="AB888">
        <v>1</v>
      </c>
    </row>
    <row r="889" spans="1:28" x14ac:dyDescent="0.25">
      <c r="A889" t="s">
        <v>33</v>
      </c>
      <c r="B889" t="s">
        <v>3400</v>
      </c>
      <c r="C889" t="s">
        <v>21</v>
      </c>
      <c r="D889" t="s">
        <v>3400</v>
      </c>
      <c r="E889" t="s">
        <v>3401</v>
      </c>
      <c r="F889" t="s">
        <v>3402</v>
      </c>
      <c r="G889" t="s">
        <v>24</v>
      </c>
      <c r="H889" t="s">
        <v>3403</v>
      </c>
      <c r="I889" t="s">
        <v>46</v>
      </c>
      <c r="N889" t="s">
        <v>246</v>
      </c>
      <c r="S889" t="s">
        <v>48</v>
      </c>
      <c r="V889" t="s">
        <v>5661</v>
      </c>
      <c r="W889" t="s">
        <v>246</v>
      </c>
      <c r="X889" s="2">
        <f>IFERROR(VLOOKUP(I889,'Rate Sheet'!$D:$F,3,FALSE),0)</f>
        <v>14.333333333333334</v>
      </c>
      <c r="Y889" s="2">
        <f>IFERROR(VLOOKUP(J889,'Rate Sheet'!$D:$F,3,FALSE),0)</f>
        <v>0</v>
      </c>
      <c r="Z889" s="2">
        <f>IFERROR(VLOOKUP(K889,'Rate Sheet'!$D:$F,3,FALSE),0)</f>
        <v>0</v>
      </c>
      <c r="AA889" s="2">
        <f t="shared" si="14"/>
        <v>14.333333333333334</v>
      </c>
      <c r="AB889">
        <v>1</v>
      </c>
    </row>
    <row r="890" spans="1:28" x14ac:dyDescent="0.25">
      <c r="A890" t="s">
        <v>33</v>
      </c>
      <c r="B890" t="s">
        <v>3404</v>
      </c>
      <c r="C890" t="s">
        <v>21</v>
      </c>
      <c r="D890" t="s">
        <v>3404</v>
      </c>
      <c r="E890" t="s">
        <v>3405</v>
      </c>
      <c r="F890" t="s">
        <v>3406</v>
      </c>
      <c r="G890" t="s">
        <v>24</v>
      </c>
      <c r="H890" t="s">
        <v>3407</v>
      </c>
      <c r="I890" t="s">
        <v>73</v>
      </c>
      <c r="N890" t="s">
        <v>207</v>
      </c>
      <c r="S890" t="s">
        <v>75</v>
      </c>
      <c r="V890" t="s">
        <v>5634</v>
      </c>
      <c r="W890" t="s">
        <v>207</v>
      </c>
      <c r="X890" s="2">
        <f>IFERROR(VLOOKUP(I890,'Rate Sheet'!$D:$F,3,FALSE),0)</f>
        <v>8.6983333333333324</v>
      </c>
      <c r="Y890" s="2">
        <f>IFERROR(VLOOKUP(J890,'Rate Sheet'!$D:$F,3,FALSE),0)</f>
        <v>0</v>
      </c>
      <c r="Z890" s="2">
        <f>IFERROR(VLOOKUP(K890,'Rate Sheet'!$D:$F,3,FALSE),0)</f>
        <v>0</v>
      </c>
      <c r="AA890" s="2">
        <f t="shared" si="14"/>
        <v>8.6983333333333324</v>
      </c>
      <c r="AB890">
        <v>1</v>
      </c>
    </row>
    <row r="891" spans="1:28" x14ac:dyDescent="0.25">
      <c r="A891" t="s">
        <v>33</v>
      </c>
      <c r="B891" t="s">
        <v>3408</v>
      </c>
      <c r="C891" t="s">
        <v>21</v>
      </c>
      <c r="D891" t="s">
        <v>3409</v>
      </c>
      <c r="E891" t="s">
        <v>3410</v>
      </c>
      <c r="F891" t="s">
        <v>3411</v>
      </c>
      <c r="G891" t="s">
        <v>24</v>
      </c>
      <c r="H891" t="s">
        <v>3412</v>
      </c>
      <c r="I891" t="s">
        <v>46</v>
      </c>
      <c r="N891" t="s">
        <v>2925</v>
      </c>
      <c r="S891" t="s">
        <v>48</v>
      </c>
      <c r="V891" t="s">
        <v>5737</v>
      </c>
      <c r="W891" t="s">
        <v>5738</v>
      </c>
      <c r="X891" s="2">
        <f>IFERROR(VLOOKUP(I891,'Rate Sheet'!$D:$F,3,FALSE),0)</f>
        <v>14.333333333333334</v>
      </c>
      <c r="Y891" s="2">
        <f>IFERROR(VLOOKUP(J891,'Rate Sheet'!$D:$F,3,FALSE),0)</f>
        <v>0</v>
      </c>
      <c r="Z891" s="2">
        <f>IFERROR(VLOOKUP(K891,'Rate Sheet'!$D:$F,3,FALSE),0)</f>
        <v>0</v>
      </c>
      <c r="AA891" s="2">
        <f t="shared" si="14"/>
        <v>14.333333333333334</v>
      </c>
      <c r="AB891">
        <v>1</v>
      </c>
    </row>
    <row r="892" spans="1:28" x14ac:dyDescent="0.25">
      <c r="A892" t="s">
        <v>33</v>
      </c>
      <c r="B892" t="s">
        <v>3413</v>
      </c>
      <c r="C892" t="s">
        <v>29</v>
      </c>
      <c r="D892" t="s">
        <v>3413</v>
      </c>
      <c r="E892" t="s">
        <v>2295</v>
      </c>
      <c r="F892" t="s">
        <v>3414</v>
      </c>
      <c r="G892" t="s">
        <v>24</v>
      </c>
      <c r="H892" t="s">
        <v>3415</v>
      </c>
      <c r="I892" t="s">
        <v>46</v>
      </c>
      <c r="N892" t="s">
        <v>246</v>
      </c>
      <c r="S892" t="s">
        <v>48</v>
      </c>
      <c r="V892" t="s">
        <v>5661</v>
      </c>
      <c r="W892" t="s">
        <v>246</v>
      </c>
      <c r="X892" s="2">
        <f>IFERROR(VLOOKUP(I892,'Rate Sheet'!$D:$F,3,FALSE),0)</f>
        <v>14.333333333333334</v>
      </c>
      <c r="Y892" s="2">
        <f>IFERROR(VLOOKUP(J892,'Rate Sheet'!$D:$F,3,FALSE),0)</f>
        <v>0</v>
      </c>
      <c r="Z892" s="2">
        <f>IFERROR(VLOOKUP(K892,'Rate Sheet'!$D:$F,3,FALSE),0)</f>
        <v>0</v>
      </c>
      <c r="AA892" s="2">
        <f t="shared" si="14"/>
        <v>14.333333333333334</v>
      </c>
      <c r="AB892">
        <v>1</v>
      </c>
    </row>
    <row r="893" spans="1:28" x14ac:dyDescent="0.25">
      <c r="A893" t="s">
        <v>33</v>
      </c>
      <c r="B893" t="s">
        <v>3416</v>
      </c>
      <c r="C893" t="s">
        <v>21</v>
      </c>
      <c r="D893" t="s">
        <v>3416</v>
      </c>
      <c r="E893" t="s">
        <v>3417</v>
      </c>
      <c r="F893" t="s">
        <v>3418</v>
      </c>
      <c r="G893" t="s">
        <v>24</v>
      </c>
      <c r="H893" t="s">
        <v>3419</v>
      </c>
      <c r="N893" t="s">
        <v>1013</v>
      </c>
      <c r="X893" s="2">
        <f>IFERROR(VLOOKUP(I893,'Rate Sheet'!$D:$F,3,FALSE),0)</f>
        <v>0</v>
      </c>
      <c r="Y893" s="2">
        <f>IFERROR(VLOOKUP(J893,'Rate Sheet'!$D:$F,3,FALSE),0)</f>
        <v>0</v>
      </c>
      <c r="Z893" s="2">
        <f>IFERROR(VLOOKUP(K893,'Rate Sheet'!$D:$F,3,FALSE),0)</f>
        <v>0</v>
      </c>
      <c r="AA893" s="2">
        <f t="shared" si="14"/>
        <v>0</v>
      </c>
    </row>
    <row r="894" spans="1:28" x14ac:dyDescent="0.25">
      <c r="A894" t="s">
        <v>33</v>
      </c>
      <c r="B894" t="s">
        <v>3420</v>
      </c>
      <c r="C894" t="s">
        <v>21</v>
      </c>
      <c r="D894" t="s">
        <v>3421</v>
      </c>
      <c r="E894" t="s">
        <v>3422</v>
      </c>
      <c r="F894" t="s">
        <v>3423</v>
      </c>
      <c r="G894" t="s">
        <v>24</v>
      </c>
      <c r="H894" t="s">
        <v>3424</v>
      </c>
      <c r="N894" t="s">
        <v>878</v>
      </c>
      <c r="X894" s="2">
        <f>IFERROR(VLOOKUP(I894,'Rate Sheet'!$D:$F,3,FALSE),0)</f>
        <v>0</v>
      </c>
      <c r="Y894" s="2">
        <f>IFERROR(VLOOKUP(J894,'Rate Sheet'!$D:$F,3,FALSE),0)</f>
        <v>0</v>
      </c>
      <c r="Z894" s="2">
        <f>IFERROR(VLOOKUP(K894,'Rate Sheet'!$D:$F,3,FALSE),0)</f>
        <v>0</v>
      </c>
      <c r="AA894" s="2">
        <f t="shared" si="14"/>
        <v>0</v>
      </c>
    </row>
    <row r="895" spans="1:28" x14ac:dyDescent="0.25">
      <c r="A895" t="s">
        <v>33</v>
      </c>
      <c r="B895" t="s">
        <v>3425</v>
      </c>
      <c r="C895" t="s">
        <v>29</v>
      </c>
      <c r="D895" t="s">
        <v>3425</v>
      </c>
      <c r="E895" t="s">
        <v>380</v>
      </c>
      <c r="F895" t="s">
        <v>3426</v>
      </c>
      <c r="G895" t="s">
        <v>24</v>
      </c>
      <c r="H895" t="s">
        <v>3427</v>
      </c>
      <c r="I895" t="s">
        <v>46</v>
      </c>
      <c r="N895" t="s">
        <v>861</v>
      </c>
      <c r="S895" t="s">
        <v>48</v>
      </c>
      <c r="V895" t="s">
        <v>5728</v>
      </c>
      <c r="W895" t="s">
        <v>861</v>
      </c>
      <c r="X895" s="2">
        <f>IFERROR(VLOOKUP(I895,'Rate Sheet'!$D:$F,3,FALSE),0)</f>
        <v>14.333333333333334</v>
      </c>
      <c r="Y895" s="2">
        <f>IFERROR(VLOOKUP(J895,'Rate Sheet'!$D:$F,3,FALSE),0)</f>
        <v>0</v>
      </c>
      <c r="Z895" s="2">
        <f>IFERROR(VLOOKUP(K895,'Rate Sheet'!$D:$F,3,FALSE),0)</f>
        <v>0</v>
      </c>
      <c r="AA895" s="2">
        <f t="shared" si="14"/>
        <v>14.333333333333334</v>
      </c>
      <c r="AB895">
        <v>1</v>
      </c>
    </row>
    <row r="896" spans="1:28" x14ac:dyDescent="0.25">
      <c r="A896" t="s">
        <v>33</v>
      </c>
      <c r="B896" t="s">
        <v>3428</v>
      </c>
      <c r="C896" t="s">
        <v>29</v>
      </c>
      <c r="D896" t="s">
        <v>3428</v>
      </c>
      <c r="E896" t="s">
        <v>3429</v>
      </c>
      <c r="F896" t="s">
        <v>3430</v>
      </c>
      <c r="G896" t="s">
        <v>24</v>
      </c>
      <c r="H896" t="s">
        <v>3431</v>
      </c>
      <c r="I896" t="s">
        <v>46</v>
      </c>
      <c r="N896" t="s">
        <v>861</v>
      </c>
      <c r="S896" t="s">
        <v>48</v>
      </c>
      <c r="V896" t="s">
        <v>5728</v>
      </c>
      <c r="W896" t="s">
        <v>861</v>
      </c>
      <c r="X896" s="2">
        <f>IFERROR(VLOOKUP(I896,'Rate Sheet'!$D:$F,3,FALSE),0)</f>
        <v>14.333333333333334</v>
      </c>
      <c r="Y896" s="2">
        <f>IFERROR(VLOOKUP(J896,'Rate Sheet'!$D:$F,3,FALSE),0)</f>
        <v>0</v>
      </c>
      <c r="Z896" s="2">
        <f>IFERROR(VLOOKUP(K896,'Rate Sheet'!$D:$F,3,FALSE),0)</f>
        <v>0</v>
      </c>
      <c r="AA896" s="2">
        <f t="shared" si="14"/>
        <v>14.333333333333334</v>
      </c>
      <c r="AB896">
        <v>1</v>
      </c>
    </row>
    <row r="897" spans="1:28" x14ac:dyDescent="0.25">
      <c r="A897" t="s">
        <v>33</v>
      </c>
      <c r="B897" t="s">
        <v>3432</v>
      </c>
      <c r="C897" t="s">
        <v>21</v>
      </c>
      <c r="D897" t="s">
        <v>3432</v>
      </c>
      <c r="E897" t="s">
        <v>424</v>
      </c>
      <c r="F897" t="s">
        <v>3079</v>
      </c>
      <c r="G897" t="s">
        <v>24</v>
      </c>
      <c r="H897" t="s">
        <v>3433</v>
      </c>
      <c r="N897" t="s">
        <v>397</v>
      </c>
      <c r="X897" s="2">
        <f>IFERROR(VLOOKUP(I897,'Rate Sheet'!$D:$F,3,FALSE),0)</f>
        <v>0</v>
      </c>
      <c r="Y897" s="2">
        <f>IFERROR(VLOOKUP(J897,'Rate Sheet'!$D:$F,3,FALSE),0)</f>
        <v>0</v>
      </c>
      <c r="Z897" s="2">
        <f>IFERROR(VLOOKUP(K897,'Rate Sheet'!$D:$F,3,FALSE),0)</f>
        <v>0</v>
      </c>
      <c r="AA897" s="2">
        <f t="shared" si="14"/>
        <v>0</v>
      </c>
    </row>
    <row r="898" spans="1:28" x14ac:dyDescent="0.25">
      <c r="A898" t="s">
        <v>33</v>
      </c>
      <c r="B898" t="s">
        <v>3434</v>
      </c>
      <c r="C898" t="s">
        <v>29</v>
      </c>
      <c r="D898" t="s">
        <v>3434</v>
      </c>
      <c r="E898" t="s">
        <v>3435</v>
      </c>
      <c r="F898" t="s">
        <v>3436</v>
      </c>
      <c r="G898" t="s">
        <v>24</v>
      </c>
      <c r="H898" t="s">
        <v>3437</v>
      </c>
      <c r="N898" t="s">
        <v>861</v>
      </c>
      <c r="X898" s="2">
        <f>IFERROR(VLOOKUP(I898,'Rate Sheet'!$D:$F,3,FALSE),0)</f>
        <v>0</v>
      </c>
      <c r="Y898" s="2">
        <f>IFERROR(VLOOKUP(J898,'Rate Sheet'!$D:$F,3,FALSE),0)</f>
        <v>0</v>
      </c>
      <c r="Z898" s="2">
        <f>IFERROR(VLOOKUP(K898,'Rate Sheet'!$D:$F,3,FALSE),0)</f>
        <v>0</v>
      </c>
      <c r="AA898" s="2">
        <f t="shared" si="14"/>
        <v>0</v>
      </c>
    </row>
    <row r="899" spans="1:28" x14ac:dyDescent="0.25">
      <c r="A899" t="s">
        <v>33</v>
      </c>
      <c r="B899" t="s">
        <v>3438</v>
      </c>
      <c r="C899" t="s">
        <v>21</v>
      </c>
      <c r="D899" t="s">
        <v>3438</v>
      </c>
      <c r="E899" t="s">
        <v>22</v>
      </c>
      <c r="F899" t="s">
        <v>3439</v>
      </c>
      <c r="G899" t="s">
        <v>24</v>
      </c>
      <c r="H899" t="s">
        <v>3440</v>
      </c>
      <c r="I899" t="s">
        <v>46</v>
      </c>
      <c r="N899" t="s">
        <v>692</v>
      </c>
      <c r="S899" t="s">
        <v>48</v>
      </c>
      <c r="V899" t="s">
        <v>5628</v>
      </c>
      <c r="W899" t="s">
        <v>5629</v>
      </c>
      <c r="X899" s="2">
        <f>IFERROR(VLOOKUP(I899,'Rate Sheet'!$D:$F,3,FALSE),0)</f>
        <v>14.333333333333334</v>
      </c>
      <c r="Y899" s="2">
        <f>IFERROR(VLOOKUP(J899,'Rate Sheet'!$D:$F,3,FALSE),0)</f>
        <v>0</v>
      </c>
      <c r="Z899" s="2">
        <f>IFERROR(VLOOKUP(K899,'Rate Sheet'!$D:$F,3,FALSE),0)</f>
        <v>0</v>
      </c>
      <c r="AA899" s="2">
        <f t="shared" si="14"/>
        <v>14.333333333333334</v>
      </c>
      <c r="AB899">
        <v>1</v>
      </c>
    </row>
    <row r="900" spans="1:28" x14ac:dyDescent="0.25">
      <c r="A900" t="s">
        <v>33</v>
      </c>
      <c r="B900" t="s">
        <v>3441</v>
      </c>
      <c r="C900" t="s">
        <v>21</v>
      </c>
      <c r="D900" t="s">
        <v>3442</v>
      </c>
      <c r="E900" t="s">
        <v>3443</v>
      </c>
      <c r="F900" t="s">
        <v>3444</v>
      </c>
      <c r="G900" t="s">
        <v>24</v>
      </c>
      <c r="H900" t="s">
        <v>3445</v>
      </c>
      <c r="I900" t="s">
        <v>46</v>
      </c>
      <c r="N900" t="s">
        <v>181</v>
      </c>
      <c r="S900" t="s">
        <v>48</v>
      </c>
      <c r="V900" t="s">
        <v>5609</v>
      </c>
      <c r="W900" t="s">
        <v>181</v>
      </c>
      <c r="X900" s="2">
        <f>IFERROR(VLOOKUP(I900,'Rate Sheet'!$D:$F,3,FALSE),0)</f>
        <v>14.333333333333334</v>
      </c>
      <c r="Y900" s="2">
        <f>IFERROR(VLOOKUP(J900,'Rate Sheet'!$D:$F,3,FALSE),0)</f>
        <v>0</v>
      </c>
      <c r="Z900" s="2">
        <f>IFERROR(VLOOKUP(K900,'Rate Sheet'!$D:$F,3,FALSE),0)</f>
        <v>0</v>
      </c>
      <c r="AA900" s="2">
        <f t="shared" si="14"/>
        <v>14.333333333333334</v>
      </c>
      <c r="AB900">
        <v>1</v>
      </c>
    </row>
    <row r="901" spans="1:28" x14ac:dyDescent="0.25">
      <c r="A901" t="s">
        <v>33</v>
      </c>
      <c r="B901" t="s">
        <v>3446</v>
      </c>
      <c r="C901" t="s">
        <v>21</v>
      </c>
      <c r="D901" t="s">
        <v>3446</v>
      </c>
      <c r="E901" t="s">
        <v>1520</v>
      </c>
      <c r="F901" t="s">
        <v>3447</v>
      </c>
      <c r="G901" t="s">
        <v>24</v>
      </c>
      <c r="H901" t="s">
        <v>3448</v>
      </c>
      <c r="N901" t="s">
        <v>2925</v>
      </c>
      <c r="X901" s="2">
        <f>IFERROR(VLOOKUP(I901,'Rate Sheet'!$D:$F,3,FALSE),0)</f>
        <v>0</v>
      </c>
      <c r="Y901" s="2">
        <f>IFERROR(VLOOKUP(J901,'Rate Sheet'!$D:$F,3,FALSE),0)</f>
        <v>0</v>
      </c>
      <c r="Z901" s="2">
        <f>IFERROR(VLOOKUP(K901,'Rate Sheet'!$D:$F,3,FALSE),0)</f>
        <v>0</v>
      </c>
      <c r="AA901" s="2">
        <f t="shared" si="14"/>
        <v>0</v>
      </c>
    </row>
    <row r="902" spans="1:28" x14ac:dyDescent="0.25">
      <c r="A902" t="s">
        <v>33</v>
      </c>
      <c r="B902" t="s">
        <v>3449</v>
      </c>
      <c r="C902" t="s">
        <v>29</v>
      </c>
      <c r="D902" t="s">
        <v>3449</v>
      </c>
      <c r="E902" t="s">
        <v>3450</v>
      </c>
      <c r="F902" t="s">
        <v>694</v>
      </c>
      <c r="G902" t="s">
        <v>24</v>
      </c>
      <c r="H902" t="s">
        <v>3451</v>
      </c>
      <c r="N902" t="s">
        <v>861</v>
      </c>
      <c r="X902" s="2">
        <f>IFERROR(VLOOKUP(I902,'Rate Sheet'!$D:$F,3,FALSE),0)</f>
        <v>0</v>
      </c>
      <c r="Y902" s="2">
        <f>IFERROR(VLOOKUP(J902,'Rate Sheet'!$D:$F,3,FALSE),0)</f>
        <v>0</v>
      </c>
      <c r="Z902" s="2">
        <f>IFERROR(VLOOKUP(K902,'Rate Sheet'!$D:$F,3,FALSE),0)</f>
        <v>0</v>
      </c>
      <c r="AA902" s="2">
        <f t="shared" si="14"/>
        <v>0</v>
      </c>
    </row>
    <row r="903" spans="1:28" x14ac:dyDescent="0.25">
      <c r="A903" t="s">
        <v>33</v>
      </c>
      <c r="B903" t="s">
        <v>3452</v>
      </c>
      <c r="C903" t="s">
        <v>29</v>
      </c>
      <c r="D903" t="s">
        <v>3452</v>
      </c>
      <c r="E903" t="s">
        <v>226</v>
      </c>
      <c r="F903" t="s">
        <v>3453</v>
      </c>
      <c r="G903" t="s">
        <v>24</v>
      </c>
      <c r="H903" t="s">
        <v>3454</v>
      </c>
      <c r="N903" t="s">
        <v>246</v>
      </c>
      <c r="X903" s="2">
        <f>IFERROR(VLOOKUP(I903,'Rate Sheet'!$D:$F,3,FALSE),0)</f>
        <v>0</v>
      </c>
      <c r="Y903" s="2">
        <f>IFERROR(VLOOKUP(J903,'Rate Sheet'!$D:$F,3,FALSE),0)</f>
        <v>0</v>
      </c>
      <c r="Z903" s="2">
        <f>IFERROR(VLOOKUP(K903,'Rate Sheet'!$D:$F,3,FALSE),0)</f>
        <v>0</v>
      </c>
      <c r="AA903" s="2">
        <f t="shared" si="14"/>
        <v>0</v>
      </c>
    </row>
    <row r="904" spans="1:28" x14ac:dyDescent="0.25">
      <c r="A904" t="s">
        <v>33</v>
      </c>
      <c r="B904" t="s">
        <v>3455</v>
      </c>
      <c r="C904" t="s">
        <v>21</v>
      </c>
      <c r="D904" t="s">
        <v>3455</v>
      </c>
      <c r="E904" t="s">
        <v>3456</v>
      </c>
      <c r="F904" t="s">
        <v>3457</v>
      </c>
      <c r="G904" t="s">
        <v>24</v>
      </c>
      <c r="H904" t="s">
        <v>3458</v>
      </c>
      <c r="I904" t="s">
        <v>46</v>
      </c>
      <c r="N904" t="s">
        <v>74</v>
      </c>
      <c r="S904" t="s">
        <v>48</v>
      </c>
      <c r="V904" t="s">
        <v>5586</v>
      </c>
      <c r="W904" t="s">
        <v>5587</v>
      </c>
      <c r="X904" s="2">
        <f>IFERROR(VLOOKUP(I904,'Rate Sheet'!$D:$F,3,FALSE),0)</f>
        <v>14.333333333333334</v>
      </c>
      <c r="Y904" s="2">
        <f>IFERROR(VLOOKUP(J904,'Rate Sheet'!$D:$F,3,FALSE),0)</f>
        <v>0</v>
      </c>
      <c r="Z904" s="2">
        <f>IFERROR(VLOOKUP(K904,'Rate Sheet'!$D:$F,3,FALSE),0)</f>
        <v>0</v>
      </c>
      <c r="AA904" s="2">
        <f t="shared" si="14"/>
        <v>14.333333333333334</v>
      </c>
      <c r="AB904">
        <v>1</v>
      </c>
    </row>
    <row r="905" spans="1:28" x14ac:dyDescent="0.25">
      <c r="A905" t="s">
        <v>33</v>
      </c>
      <c r="B905" t="s">
        <v>3459</v>
      </c>
      <c r="C905" t="s">
        <v>21</v>
      </c>
      <c r="D905" t="s">
        <v>3459</v>
      </c>
      <c r="E905" t="s">
        <v>2910</v>
      </c>
      <c r="F905" t="s">
        <v>1069</v>
      </c>
      <c r="G905" t="s">
        <v>24</v>
      </c>
      <c r="H905" t="s">
        <v>3460</v>
      </c>
      <c r="I905" t="s">
        <v>46</v>
      </c>
      <c r="N905" t="s">
        <v>389</v>
      </c>
      <c r="S905" t="s">
        <v>48</v>
      </c>
      <c r="V905" t="s">
        <v>5657</v>
      </c>
      <c r="W905" t="s">
        <v>5658</v>
      </c>
      <c r="X905" s="2">
        <f>IFERROR(VLOOKUP(I905,'Rate Sheet'!$D:$F,3,FALSE),0)</f>
        <v>14.333333333333334</v>
      </c>
      <c r="Y905" s="2">
        <f>IFERROR(VLOOKUP(J905,'Rate Sheet'!$D:$F,3,FALSE),0)</f>
        <v>0</v>
      </c>
      <c r="Z905" s="2">
        <f>IFERROR(VLOOKUP(K905,'Rate Sheet'!$D:$F,3,FALSE),0)</f>
        <v>0</v>
      </c>
      <c r="AA905" s="2">
        <f t="shared" si="14"/>
        <v>14.333333333333334</v>
      </c>
      <c r="AB905">
        <v>1</v>
      </c>
    </row>
    <row r="906" spans="1:28" x14ac:dyDescent="0.25">
      <c r="A906" t="s">
        <v>33</v>
      </c>
      <c r="B906" t="s">
        <v>3461</v>
      </c>
      <c r="C906" t="s">
        <v>29</v>
      </c>
      <c r="D906" t="s">
        <v>3461</v>
      </c>
      <c r="E906" t="s">
        <v>3462</v>
      </c>
      <c r="F906" t="s">
        <v>3463</v>
      </c>
      <c r="G906" t="s">
        <v>24</v>
      </c>
      <c r="H906" t="s">
        <v>3464</v>
      </c>
      <c r="I906" t="s">
        <v>46</v>
      </c>
      <c r="N906" t="s">
        <v>861</v>
      </c>
      <c r="S906" t="s">
        <v>48</v>
      </c>
      <c r="V906" t="s">
        <v>5728</v>
      </c>
      <c r="W906" t="s">
        <v>861</v>
      </c>
      <c r="X906" s="2">
        <f>IFERROR(VLOOKUP(I906,'Rate Sheet'!$D:$F,3,FALSE),0)</f>
        <v>14.333333333333334</v>
      </c>
      <c r="Y906" s="2">
        <f>IFERROR(VLOOKUP(J906,'Rate Sheet'!$D:$F,3,FALSE),0)</f>
        <v>0</v>
      </c>
      <c r="Z906" s="2">
        <f>IFERROR(VLOOKUP(K906,'Rate Sheet'!$D:$F,3,FALSE),0)</f>
        <v>0</v>
      </c>
      <c r="AA906" s="2">
        <f t="shared" si="14"/>
        <v>14.333333333333334</v>
      </c>
      <c r="AB906">
        <v>1</v>
      </c>
    </row>
    <row r="907" spans="1:28" x14ac:dyDescent="0.25">
      <c r="A907" t="s">
        <v>33</v>
      </c>
      <c r="B907" t="s">
        <v>3465</v>
      </c>
      <c r="C907" t="s">
        <v>21</v>
      </c>
      <c r="D907" t="s">
        <v>3465</v>
      </c>
      <c r="E907" t="s">
        <v>3466</v>
      </c>
      <c r="F907" t="s">
        <v>3467</v>
      </c>
      <c r="G907" t="s">
        <v>24</v>
      </c>
      <c r="H907" t="s">
        <v>3468</v>
      </c>
      <c r="I907" t="s">
        <v>73</v>
      </c>
      <c r="N907" t="s">
        <v>38</v>
      </c>
      <c r="S907" t="s">
        <v>75</v>
      </c>
      <c r="V907" t="s">
        <v>5582</v>
      </c>
      <c r="W907" t="s">
        <v>5583</v>
      </c>
      <c r="X907" s="2">
        <f>IFERROR(VLOOKUP(I907,'Rate Sheet'!$D:$F,3,FALSE),0)</f>
        <v>8.6983333333333324</v>
      </c>
      <c r="Y907" s="2">
        <f>IFERROR(VLOOKUP(J907,'Rate Sheet'!$D:$F,3,FALSE),0)</f>
        <v>0</v>
      </c>
      <c r="Z907" s="2">
        <f>IFERROR(VLOOKUP(K907,'Rate Sheet'!$D:$F,3,FALSE),0)</f>
        <v>0</v>
      </c>
      <c r="AA907" s="2">
        <f t="shared" si="14"/>
        <v>8.6983333333333324</v>
      </c>
      <c r="AB907">
        <v>1</v>
      </c>
    </row>
    <row r="908" spans="1:28" x14ac:dyDescent="0.25">
      <c r="A908" t="s">
        <v>33</v>
      </c>
      <c r="B908" t="s">
        <v>3469</v>
      </c>
      <c r="C908" t="s">
        <v>21</v>
      </c>
      <c r="D908" t="s">
        <v>3470</v>
      </c>
      <c r="E908" t="s">
        <v>727</v>
      </c>
      <c r="F908" t="s">
        <v>3471</v>
      </c>
      <c r="G908" t="s">
        <v>24</v>
      </c>
      <c r="H908" t="s">
        <v>3472</v>
      </c>
      <c r="N908" t="s">
        <v>2806</v>
      </c>
      <c r="X908" s="2">
        <f>IFERROR(VLOOKUP(I908,'Rate Sheet'!$D:$F,3,FALSE),0)</f>
        <v>0</v>
      </c>
      <c r="Y908" s="2">
        <f>IFERROR(VLOOKUP(J908,'Rate Sheet'!$D:$F,3,FALSE),0)</f>
        <v>0</v>
      </c>
      <c r="Z908" s="2">
        <f>IFERROR(VLOOKUP(K908,'Rate Sheet'!$D:$F,3,FALSE),0)</f>
        <v>0</v>
      </c>
      <c r="AA908" s="2">
        <f t="shared" si="14"/>
        <v>0</v>
      </c>
    </row>
    <row r="909" spans="1:28" x14ac:dyDescent="0.25">
      <c r="A909" t="s">
        <v>33</v>
      </c>
      <c r="B909" t="s">
        <v>3473</v>
      </c>
      <c r="C909" t="s">
        <v>29</v>
      </c>
      <c r="D909" t="s">
        <v>3473</v>
      </c>
      <c r="E909" t="s">
        <v>449</v>
      </c>
      <c r="F909" t="s">
        <v>515</v>
      </c>
      <c r="G909" t="s">
        <v>24</v>
      </c>
      <c r="H909" t="s">
        <v>3474</v>
      </c>
      <c r="I909" t="s">
        <v>46</v>
      </c>
      <c r="N909" t="s">
        <v>861</v>
      </c>
      <c r="S909" t="s">
        <v>48</v>
      </c>
      <c r="V909" t="s">
        <v>5728</v>
      </c>
      <c r="W909" t="s">
        <v>861</v>
      </c>
      <c r="X909" s="2">
        <f>IFERROR(VLOOKUP(I909,'Rate Sheet'!$D:$F,3,FALSE),0)</f>
        <v>14.333333333333334</v>
      </c>
      <c r="Y909" s="2">
        <f>IFERROR(VLOOKUP(J909,'Rate Sheet'!$D:$F,3,FALSE),0)</f>
        <v>0</v>
      </c>
      <c r="Z909" s="2">
        <f>IFERROR(VLOOKUP(K909,'Rate Sheet'!$D:$F,3,FALSE),0)</f>
        <v>0</v>
      </c>
      <c r="AA909" s="2">
        <f t="shared" si="14"/>
        <v>14.333333333333334</v>
      </c>
      <c r="AB909">
        <v>1</v>
      </c>
    </row>
    <row r="910" spans="1:28" x14ac:dyDescent="0.25">
      <c r="A910" t="s">
        <v>33</v>
      </c>
      <c r="B910" t="s">
        <v>3475</v>
      </c>
      <c r="C910" t="s">
        <v>92</v>
      </c>
      <c r="D910" t="s">
        <v>3475</v>
      </c>
      <c r="E910" t="s">
        <v>3476</v>
      </c>
      <c r="F910" t="s">
        <v>3477</v>
      </c>
      <c r="G910" t="s">
        <v>24</v>
      </c>
      <c r="H910" t="s">
        <v>3478</v>
      </c>
      <c r="N910" t="s">
        <v>1577</v>
      </c>
      <c r="X910" s="2">
        <f>IFERROR(VLOOKUP(I910,'Rate Sheet'!$D:$F,3,FALSE),0)</f>
        <v>0</v>
      </c>
      <c r="Y910" s="2">
        <f>IFERROR(VLOOKUP(J910,'Rate Sheet'!$D:$F,3,FALSE),0)</f>
        <v>0</v>
      </c>
      <c r="Z910" s="2">
        <f>IFERROR(VLOOKUP(K910,'Rate Sheet'!$D:$F,3,FALSE),0)</f>
        <v>0</v>
      </c>
      <c r="AA910" s="2">
        <f t="shared" si="14"/>
        <v>0</v>
      </c>
    </row>
    <row r="911" spans="1:28" x14ac:dyDescent="0.25">
      <c r="A911" t="s">
        <v>33</v>
      </c>
      <c r="B911" t="s">
        <v>3479</v>
      </c>
      <c r="C911" t="s">
        <v>21</v>
      </c>
      <c r="D911" t="s">
        <v>3479</v>
      </c>
      <c r="E911" t="s">
        <v>979</v>
      </c>
      <c r="F911" t="s">
        <v>3480</v>
      </c>
      <c r="G911" t="s">
        <v>24</v>
      </c>
      <c r="H911" t="s">
        <v>3481</v>
      </c>
      <c r="I911" t="s">
        <v>46</v>
      </c>
      <c r="N911" t="s">
        <v>878</v>
      </c>
      <c r="S911" t="s">
        <v>48</v>
      </c>
      <c r="V911" s="10" t="s">
        <v>5749</v>
      </c>
      <c r="W911" s="10" t="s">
        <v>5750</v>
      </c>
      <c r="X911" s="2">
        <f>IFERROR(VLOOKUP(I911,'Rate Sheet'!$D:$F,3,FALSE),0)</f>
        <v>14.333333333333334</v>
      </c>
      <c r="Y911" s="2">
        <f>IFERROR(VLOOKUP(J911,'Rate Sheet'!$D:$F,3,FALSE),0)</f>
        <v>0</v>
      </c>
      <c r="Z911" s="2">
        <f>IFERROR(VLOOKUP(K911,'Rate Sheet'!$D:$F,3,FALSE),0)</f>
        <v>0</v>
      </c>
      <c r="AA911" s="2">
        <f t="shared" si="14"/>
        <v>14.333333333333334</v>
      </c>
      <c r="AB911">
        <v>1</v>
      </c>
    </row>
    <row r="912" spans="1:28" x14ac:dyDescent="0.25">
      <c r="A912" t="s">
        <v>33</v>
      </c>
      <c r="B912" t="s">
        <v>3482</v>
      </c>
      <c r="C912" t="s">
        <v>21</v>
      </c>
      <c r="D912" t="s">
        <v>3482</v>
      </c>
      <c r="E912" t="s">
        <v>3483</v>
      </c>
      <c r="F912" t="s">
        <v>3484</v>
      </c>
      <c r="G912" t="s">
        <v>24</v>
      </c>
      <c r="H912" t="s">
        <v>3485</v>
      </c>
      <c r="N912" t="s">
        <v>2925</v>
      </c>
      <c r="X912" s="2">
        <f>IFERROR(VLOOKUP(I912,'Rate Sheet'!$D:$F,3,FALSE),0)</f>
        <v>0</v>
      </c>
      <c r="Y912" s="2">
        <f>IFERROR(VLOOKUP(J912,'Rate Sheet'!$D:$F,3,FALSE),0)</f>
        <v>0</v>
      </c>
      <c r="Z912" s="2">
        <f>IFERROR(VLOOKUP(K912,'Rate Sheet'!$D:$F,3,FALSE),0)</f>
        <v>0</v>
      </c>
      <c r="AA912" s="2">
        <f t="shared" si="14"/>
        <v>0</v>
      </c>
    </row>
    <row r="913" spans="1:28" x14ac:dyDescent="0.25">
      <c r="A913" t="s">
        <v>33</v>
      </c>
      <c r="B913" t="s">
        <v>3486</v>
      </c>
      <c r="C913" t="s">
        <v>21</v>
      </c>
      <c r="D913" t="s">
        <v>3486</v>
      </c>
      <c r="E913" t="s">
        <v>835</v>
      </c>
      <c r="F913" t="s">
        <v>3487</v>
      </c>
      <c r="G913" t="s">
        <v>24</v>
      </c>
      <c r="H913" t="s">
        <v>3488</v>
      </c>
      <c r="I913" t="s">
        <v>46</v>
      </c>
      <c r="N913" t="s">
        <v>565</v>
      </c>
      <c r="S913" t="s">
        <v>48</v>
      </c>
      <c r="V913" t="s">
        <v>5652</v>
      </c>
      <c r="W913" t="s">
        <v>565</v>
      </c>
      <c r="X913" s="2">
        <f>IFERROR(VLOOKUP(I913,'Rate Sheet'!$D:$F,3,FALSE),0)</f>
        <v>14.333333333333334</v>
      </c>
      <c r="Y913" s="2">
        <f>IFERROR(VLOOKUP(J913,'Rate Sheet'!$D:$F,3,FALSE),0)</f>
        <v>0</v>
      </c>
      <c r="Z913" s="2">
        <f>IFERROR(VLOOKUP(K913,'Rate Sheet'!$D:$F,3,FALSE),0)</f>
        <v>0</v>
      </c>
      <c r="AA913" s="2">
        <f t="shared" si="14"/>
        <v>14.333333333333334</v>
      </c>
      <c r="AB913">
        <v>1</v>
      </c>
    </row>
    <row r="914" spans="1:28" x14ac:dyDescent="0.25">
      <c r="A914" t="s">
        <v>33</v>
      </c>
      <c r="B914" t="s">
        <v>3489</v>
      </c>
      <c r="C914" t="s">
        <v>29</v>
      </c>
      <c r="D914" t="s">
        <v>3489</v>
      </c>
      <c r="E914" t="s">
        <v>3490</v>
      </c>
      <c r="F914" t="s">
        <v>3491</v>
      </c>
      <c r="G914" t="s">
        <v>24</v>
      </c>
      <c r="H914" t="s">
        <v>3492</v>
      </c>
      <c r="I914" t="s">
        <v>46</v>
      </c>
      <c r="N914" t="s">
        <v>861</v>
      </c>
      <c r="S914" t="s">
        <v>48</v>
      </c>
      <c r="V914" t="s">
        <v>5728</v>
      </c>
      <c r="W914" t="s">
        <v>861</v>
      </c>
      <c r="X914" s="2">
        <f>IFERROR(VLOOKUP(I914,'Rate Sheet'!$D:$F,3,FALSE),0)</f>
        <v>14.333333333333334</v>
      </c>
      <c r="Y914" s="2">
        <f>IFERROR(VLOOKUP(J914,'Rate Sheet'!$D:$F,3,FALSE),0)</f>
        <v>0</v>
      </c>
      <c r="Z914" s="2">
        <f>IFERROR(VLOOKUP(K914,'Rate Sheet'!$D:$F,3,FALSE),0)</f>
        <v>0</v>
      </c>
      <c r="AA914" s="2">
        <f t="shared" si="14"/>
        <v>14.333333333333334</v>
      </c>
      <c r="AB914">
        <v>1</v>
      </c>
    </row>
    <row r="915" spans="1:28" x14ac:dyDescent="0.25">
      <c r="A915" t="s">
        <v>33</v>
      </c>
      <c r="B915" t="s">
        <v>3493</v>
      </c>
      <c r="C915" t="s">
        <v>21</v>
      </c>
      <c r="D915" t="s">
        <v>3494</v>
      </c>
      <c r="E915" t="s">
        <v>3495</v>
      </c>
      <c r="F915" t="s">
        <v>3496</v>
      </c>
      <c r="G915" t="s">
        <v>24</v>
      </c>
      <c r="H915" t="s">
        <v>3497</v>
      </c>
      <c r="N915" t="s">
        <v>565</v>
      </c>
      <c r="X915" s="2">
        <f>IFERROR(VLOOKUP(I915,'Rate Sheet'!$D:$F,3,FALSE),0)</f>
        <v>0</v>
      </c>
      <c r="Y915" s="2">
        <f>IFERROR(VLOOKUP(J915,'Rate Sheet'!$D:$F,3,FALSE),0)</f>
        <v>0</v>
      </c>
      <c r="Z915" s="2">
        <f>IFERROR(VLOOKUP(K915,'Rate Sheet'!$D:$F,3,FALSE),0)</f>
        <v>0</v>
      </c>
      <c r="AA915" s="2">
        <f t="shared" si="14"/>
        <v>0</v>
      </c>
    </row>
    <row r="916" spans="1:28" x14ac:dyDescent="0.25">
      <c r="A916" t="s">
        <v>33</v>
      </c>
      <c r="B916" t="s">
        <v>3498</v>
      </c>
      <c r="C916" t="s">
        <v>21</v>
      </c>
      <c r="D916" t="s">
        <v>3498</v>
      </c>
      <c r="E916" t="s">
        <v>476</v>
      </c>
      <c r="F916" t="s">
        <v>606</v>
      </c>
      <c r="G916" t="s">
        <v>24</v>
      </c>
      <c r="H916" t="s">
        <v>3499</v>
      </c>
      <c r="N916" t="s">
        <v>47</v>
      </c>
      <c r="X916" s="2">
        <f>IFERROR(VLOOKUP(I916,'Rate Sheet'!$D:$F,3,FALSE),0)</f>
        <v>0</v>
      </c>
      <c r="Y916" s="2">
        <f>IFERROR(VLOOKUP(J916,'Rate Sheet'!$D:$F,3,FALSE),0)</f>
        <v>0</v>
      </c>
      <c r="Z916" s="2">
        <f>IFERROR(VLOOKUP(K916,'Rate Sheet'!$D:$F,3,FALSE),0)</f>
        <v>0</v>
      </c>
      <c r="AA916" s="2">
        <f t="shared" si="14"/>
        <v>0</v>
      </c>
    </row>
    <row r="917" spans="1:28" x14ac:dyDescent="0.25">
      <c r="A917" t="s">
        <v>33</v>
      </c>
      <c r="B917" t="s">
        <v>3500</v>
      </c>
      <c r="C917" t="s">
        <v>21</v>
      </c>
      <c r="D917" t="s">
        <v>3500</v>
      </c>
      <c r="E917" t="s">
        <v>3283</v>
      </c>
      <c r="F917" t="s">
        <v>3501</v>
      </c>
      <c r="G917" t="s">
        <v>24</v>
      </c>
      <c r="H917" t="s">
        <v>3502</v>
      </c>
      <c r="N917" t="s">
        <v>2925</v>
      </c>
      <c r="X917" s="2">
        <f>IFERROR(VLOOKUP(I917,'Rate Sheet'!$D:$F,3,FALSE),0)</f>
        <v>0</v>
      </c>
      <c r="Y917" s="2">
        <f>IFERROR(VLOOKUP(J917,'Rate Sheet'!$D:$F,3,FALSE),0)</f>
        <v>0</v>
      </c>
      <c r="Z917" s="2">
        <f>IFERROR(VLOOKUP(K917,'Rate Sheet'!$D:$F,3,FALSE),0)</f>
        <v>0</v>
      </c>
      <c r="AA917" s="2">
        <f t="shared" si="14"/>
        <v>0</v>
      </c>
    </row>
    <row r="918" spans="1:28" x14ac:dyDescent="0.25">
      <c r="A918" t="s">
        <v>33</v>
      </c>
      <c r="B918" t="s">
        <v>3503</v>
      </c>
      <c r="C918" t="s">
        <v>21</v>
      </c>
      <c r="D918" t="s">
        <v>3503</v>
      </c>
      <c r="E918" t="s">
        <v>835</v>
      </c>
      <c r="F918" t="s">
        <v>3504</v>
      </c>
      <c r="G918" t="s">
        <v>24</v>
      </c>
      <c r="H918" t="s">
        <v>3505</v>
      </c>
      <c r="I918" t="s">
        <v>73</v>
      </c>
      <c r="N918" t="s">
        <v>292</v>
      </c>
      <c r="S918" t="s">
        <v>75</v>
      </c>
      <c r="V918" t="s">
        <v>5624</v>
      </c>
      <c r="W918" t="s">
        <v>292</v>
      </c>
      <c r="X918" s="2">
        <f>IFERROR(VLOOKUP(I918,'Rate Sheet'!$D:$F,3,FALSE),0)</f>
        <v>8.6983333333333324</v>
      </c>
      <c r="Y918" s="2">
        <f>IFERROR(VLOOKUP(J918,'Rate Sheet'!$D:$F,3,FALSE),0)</f>
        <v>0</v>
      </c>
      <c r="Z918" s="2">
        <f>IFERROR(VLOOKUP(K918,'Rate Sheet'!$D:$F,3,FALSE),0)</f>
        <v>0</v>
      </c>
      <c r="AA918" s="2">
        <f t="shared" si="14"/>
        <v>8.6983333333333324</v>
      </c>
      <c r="AB918">
        <v>1</v>
      </c>
    </row>
    <row r="919" spans="1:28" x14ac:dyDescent="0.25">
      <c r="A919" t="s">
        <v>33</v>
      </c>
      <c r="B919" t="s">
        <v>3506</v>
      </c>
      <c r="C919" t="s">
        <v>21</v>
      </c>
      <c r="D919" t="s">
        <v>3506</v>
      </c>
      <c r="E919" t="s">
        <v>1961</v>
      </c>
      <c r="F919" t="s">
        <v>3507</v>
      </c>
      <c r="G919" t="s">
        <v>24</v>
      </c>
      <c r="H919" t="s">
        <v>3508</v>
      </c>
      <c r="I919" t="s">
        <v>46</v>
      </c>
      <c r="N919" t="s">
        <v>2925</v>
      </c>
      <c r="S919" t="s">
        <v>48</v>
      </c>
      <c r="V919" s="10" t="s">
        <v>5737</v>
      </c>
      <c r="W919" s="10" t="s">
        <v>5738</v>
      </c>
      <c r="X919" s="2">
        <f>IFERROR(VLOOKUP(I919,'Rate Sheet'!$D:$F,3,FALSE),0)</f>
        <v>14.333333333333334</v>
      </c>
      <c r="Y919" s="2">
        <f>IFERROR(VLOOKUP(J919,'Rate Sheet'!$D:$F,3,FALSE),0)</f>
        <v>0</v>
      </c>
      <c r="Z919" s="2">
        <f>IFERROR(VLOOKUP(K919,'Rate Sheet'!$D:$F,3,FALSE),0)</f>
        <v>0</v>
      </c>
      <c r="AA919" s="2">
        <f t="shared" si="14"/>
        <v>14.333333333333334</v>
      </c>
      <c r="AB919">
        <v>1</v>
      </c>
    </row>
    <row r="920" spans="1:28" x14ac:dyDescent="0.25">
      <c r="A920" t="s">
        <v>33</v>
      </c>
      <c r="B920" t="s">
        <v>3509</v>
      </c>
      <c r="C920" t="s">
        <v>21</v>
      </c>
      <c r="D920" t="s">
        <v>3509</v>
      </c>
      <c r="E920" t="s">
        <v>284</v>
      </c>
      <c r="F920" t="s">
        <v>3510</v>
      </c>
      <c r="G920" t="s">
        <v>24</v>
      </c>
      <c r="H920" t="s">
        <v>3511</v>
      </c>
      <c r="I920" t="s">
        <v>46</v>
      </c>
      <c r="N920" t="s">
        <v>53</v>
      </c>
      <c r="S920" t="s">
        <v>48</v>
      </c>
      <c r="V920" t="s">
        <v>5580</v>
      </c>
      <c r="W920" t="s">
        <v>5581</v>
      </c>
      <c r="X920" s="2">
        <f>IFERROR(VLOOKUP(I920,'Rate Sheet'!$D:$F,3,FALSE),0)</f>
        <v>14.333333333333334</v>
      </c>
      <c r="Y920" s="2">
        <f>IFERROR(VLOOKUP(J920,'Rate Sheet'!$D:$F,3,FALSE),0)</f>
        <v>0</v>
      </c>
      <c r="Z920" s="2">
        <f>IFERROR(VLOOKUP(K920,'Rate Sheet'!$D:$F,3,FALSE),0)</f>
        <v>0</v>
      </c>
      <c r="AA920" s="2">
        <f t="shared" si="14"/>
        <v>14.333333333333334</v>
      </c>
      <c r="AB920">
        <v>1</v>
      </c>
    </row>
    <row r="921" spans="1:28" x14ac:dyDescent="0.25">
      <c r="A921" t="s">
        <v>33</v>
      </c>
      <c r="B921" t="s">
        <v>3512</v>
      </c>
      <c r="C921" t="s">
        <v>21</v>
      </c>
      <c r="D921" t="s">
        <v>3512</v>
      </c>
      <c r="E921" t="s">
        <v>1488</v>
      </c>
      <c r="F921" t="s">
        <v>3513</v>
      </c>
      <c r="G921" t="s">
        <v>24</v>
      </c>
      <c r="H921" t="s">
        <v>3514</v>
      </c>
      <c r="I921" t="s">
        <v>73</v>
      </c>
      <c r="N921" t="s">
        <v>171</v>
      </c>
      <c r="S921" t="s">
        <v>75</v>
      </c>
      <c r="V921" t="s">
        <v>5708</v>
      </c>
      <c r="W921" t="s">
        <v>5709</v>
      </c>
      <c r="X921" s="2">
        <f>IFERROR(VLOOKUP(I921,'Rate Sheet'!$D:$F,3,FALSE),0)</f>
        <v>8.6983333333333324</v>
      </c>
      <c r="Y921" s="2">
        <f>IFERROR(VLOOKUP(J921,'Rate Sheet'!$D:$F,3,FALSE),0)</f>
        <v>0</v>
      </c>
      <c r="Z921" s="2">
        <f>IFERROR(VLOOKUP(K921,'Rate Sheet'!$D:$F,3,FALSE),0)</f>
        <v>0</v>
      </c>
      <c r="AA921" s="2">
        <f t="shared" si="14"/>
        <v>8.6983333333333324</v>
      </c>
      <c r="AB921">
        <v>1</v>
      </c>
    </row>
    <row r="922" spans="1:28" x14ac:dyDescent="0.25">
      <c r="A922" t="s">
        <v>33</v>
      </c>
      <c r="B922" t="s">
        <v>3515</v>
      </c>
      <c r="C922" t="s">
        <v>21</v>
      </c>
      <c r="D922" t="s">
        <v>3515</v>
      </c>
      <c r="E922" t="s">
        <v>3516</v>
      </c>
      <c r="F922" t="s">
        <v>3517</v>
      </c>
      <c r="G922" t="s">
        <v>24</v>
      </c>
      <c r="H922" t="s">
        <v>3518</v>
      </c>
      <c r="I922" t="s">
        <v>46</v>
      </c>
      <c r="N922" t="s">
        <v>90</v>
      </c>
      <c r="S922" t="s">
        <v>48</v>
      </c>
      <c r="V922" t="s">
        <v>5591</v>
      </c>
      <c r="W922" t="s">
        <v>90</v>
      </c>
      <c r="X922" s="2">
        <f>IFERROR(VLOOKUP(I922,'Rate Sheet'!$D:$F,3,FALSE),0)</f>
        <v>14.333333333333334</v>
      </c>
      <c r="Y922" s="2">
        <f>IFERROR(VLOOKUP(J922,'Rate Sheet'!$D:$F,3,FALSE),0)</f>
        <v>0</v>
      </c>
      <c r="Z922" s="2">
        <f>IFERROR(VLOOKUP(K922,'Rate Sheet'!$D:$F,3,FALSE),0)</f>
        <v>0</v>
      </c>
      <c r="AA922" s="2">
        <f t="shared" si="14"/>
        <v>14.333333333333334</v>
      </c>
      <c r="AB922">
        <v>1</v>
      </c>
    </row>
    <row r="923" spans="1:28" x14ac:dyDescent="0.25">
      <c r="A923" t="s">
        <v>33</v>
      </c>
      <c r="B923" t="s">
        <v>3519</v>
      </c>
      <c r="C923" t="s">
        <v>21</v>
      </c>
      <c r="D923" t="s">
        <v>3520</v>
      </c>
      <c r="E923" t="s">
        <v>778</v>
      </c>
      <c r="F923" t="s">
        <v>3521</v>
      </c>
      <c r="G923" t="s">
        <v>24</v>
      </c>
      <c r="H923" t="s">
        <v>3522</v>
      </c>
      <c r="I923" t="s">
        <v>46</v>
      </c>
      <c r="N923" t="s">
        <v>317</v>
      </c>
      <c r="S923" t="s">
        <v>48</v>
      </c>
      <c r="V923" s="10" t="s">
        <v>5625</v>
      </c>
      <c r="W923" s="10" t="s">
        <v>317</v>
      </c>
      <c r="X923" s="2">
        <f>IFERROR(VLOOKUP(I923,'Rate Sheet'!$D:$F,3,FALSE),0)</f>
        <v>14.333333333333334</v>
      </c>
      <c r="Y923" s="2">
        <f>IFERROR(VLOOKUP(J923,'Rate Sheet'!$D:$F,3,FALSE),0)</f>
        <v>0</v>
      </c>
      <c r="Z923" s="2">
        <f>IFERROR(VLOOKUP(K923,'Rate Sheet'!$D:$F,3,FALSE),0)</f>
        <v>0</v>
      </c>
      <c r="AA923" s="2">
        <f t="shared" si="14"/>
        <v>14.333333333333334</v>
      </c>
      <c r="AB923">
        <v>1</v>
      </c>
    </row>
    <row r="924" spans="1:28" x14ac:dyDescent="0.25">
      <c r="A924" t="s">
        <v>33</v>
      </c>
      <c r="B924" t="s">
        <v>3523</v>
      </c>
      <c r="C924" t="s">
        <v>21</v>
      </c>
      <c r="D924" t="s">
        <v>3523</v>
      </c>
      <c r="E924" t="s">
        <v>894</v>
      </c>
      <c r="F924" t="s">
        <v>3524</v>
      </c>
      <c r="G924" t="s">
        <v>24</v>
      </c>
      <c r="H924" t="s">
        <v>3525</v>
      </c>
      <c r="I924" t="s">
        <v>46</v>
      </c>
      <c r="N924" t="s">
        <v>389</v>
      </c>
      <c r="S924" t="s">
        <v>48</v>
      </c>
      <c r="V924" t="s">
        <v>5640</v>
      </c>
      <c r="W924" t="s">
        <v>5641</v>
      </c>
      <c r="X924" s="2">
        <f>IFERROR(VLOOKUP(I924,'Rate Sheet'!$D:$F,3,FALSE),0)</f>
        <v>14.333333333333334</v>
      </c>
      <c r="Y924" s="2">
        <f>IFERROR(VLOOKUP(J924,'Rate Sheet'!$D:$F,3,FALSE),0)</f>
        <v>0</v>
      </c>
      <c r="Z924" s="2">
        <f>IFERROR(VLOOKUP(K924,'Rate Sheet'!$D:$F,3,FALSE),0)</f>
        <v>0</v>
      </c>
      <c r="AA924" s="2">
        <f t="shared" si="14"/>
        <v>14.333333333333334</v>
      </c>
      <c r="AB924">
        <v>1</v>
      </c>
    </row>
    <row r="925" spans="1:28" x14ac:dyDescent="0.25">
      <c r="A925" t="s">
        <v>33</v>
      </c>
      <c r="B925" t="s">
        <v>3526</v>
      </c>
      <c r="C925" t="s">
        <v>21</v>
      </c>
      <c r="D925" t="s">
        <v>3526</v>
      </c>
      <c r="E925" t="s">
        <v>3527</v>
      </c>
      <c r="F925" t="s">
        <v>3528</v>
      </c>
      <c r="G925" t="s">
        <v>24</v>
      </c>
      <c r="H925" t="s">
        <v>3529</v>
      </c>
      <c r="N925" t="s">
        <v>38</v>
      </c>
      <c r="X925" s="2">
        <f>IFERROR(VLOOKUP(I925,'Rate Sheet'!$D:$F,3,FALSE),0)</f>
        <v>0</v>
      </c>
      <c r="Y925" s="2">
        <f>IFERROR(VLOOKUP(J925,'Rate Sheet'!$D:$F,3,FALSE),0)</f>
        <v>0</v>
      </c>
      <c r="Z925" s="2">
        <f>IFERROR(VLOOKUP(K925,'Rate Sheet'!$D:$F,3,FALSE),0)</f>
        <v>0</v>
      </c>
      <c r="AA925" s="2">
        <f t="shared" si="14"/>
        <v>0</v>
      </c>
    </row>
    <row r="926" spans="1:28" x14ac:dyDescent="0.25">
      <c r="A926" t="s">
        <v>33</v>
      </c>
      <c r="B926" t="s">
        <v>3530</v>
      </c>
      <c r="C926" t="s">
        <v>29</v>
      </c>
      <c r="D926" t="s">
        <v>3530</v>
      </c>
      <c r="E926" t="s">
        <v>778</v>
      </c>
      <c r="F926" t="s">
        <v>3531</v>
      </c>
      <c r="G926" t="s">
        <v>24</v>
      </c>
      <c r="H926" t="s">
        <v>3532</v>
      </c>
      <c r="I926" t="s">
        <v>46</v>
      </c>
      <c r="N926" t="s">
        <v>1389</v>
      </c>
      <c r="S926" t="s">
        <v>48</v>
      </c>
      <c r="V926" t="s">
        <v>5698</v>
      </c>
      <c r="W926" t="s">
        <v>1389</v>
      </c>
      <c r="X926" s="2">
        <f>IFERROR(VLOOKUP(I926,'Rate Sheet'!$D:$F,3,FALSE),0)</f>
        <v>14.333333333333334</v>
      </c>
      <c r="Y926" s="2">
        <f>IFERROR(VLOOKUP(J926,'Rate Sheet'!$D:$F,3,FALSE),0)</f>
        <v>0</v>
      </c>
      <c r="Z926" s="2">
        <f>IFERROR(VLOOKUP(K926,'Rate Sheet'!$D:$F,3,FALSE),0)</f>
        <v>0</v>
      </c>
      <c r="AA926" s="2">
        <f t="shared" si="14"/>
        <v>14.333333333333334</v>
      </c>
      <c r="AB926">
        <v>1</v>
      </c>
    </row>
    <row r="927" spans="1:28" x14ac:dyDescent="0.25">
      <c r="A927" t="s">
        <v>33</v>
      </c>
      <c r="B927" t="s">
        <v>3533</v>
      </c>
      <c r="C927" t="s">
        <v>92</v>
      </c>
      <c r="D927" t="s">
        <v>3533</v>
      </c>
      <c r="E927" t="s">
        <v>3534</v>
      </c>
      <c r="F927" t="s">
        <v>2712</v>
      </c>
      <c r="G927" t="s">
        <v>24</v>
      </c>
      <c r="H927" t="s">
        <v>3535</v>
      </c>
      <c r="N927" t="s">
        <v>1402</v>
      </c>
      <c r="X927" s="2">
        <f>IFERROR(VLOOKUP(I927,'Rate Sheet'!$D:$F,3,FALSE),0)</f>
        <v>0</v>
      </c>
      <c r="Y927" s="2">
        <f>IFERROR(VLOOKUP(J927,'Rate Sheet'!$D:$F,3,FALSE),0)</f>
        <v>0</v>
      </c>
      <c r="Z927" s="2">
        <f>IFERROR(VLOOKUP(K927,'Rate Sheet'!$D:$F,3,FALSE),0)</f>
        <v>0</v>
      </c>
      <c r="AA927" s="2">
        <f t="shared" si="14"/>
        <v>0</v>
      </c>
    </row>
    <row r="928" spans="1:28" x14ac:dyDescent="0.25">
      <c r="A928" t="s">
        <v>33</v>
      </c>
      <c r="B928" t="s">
        <v>3536</v>
      </c>
      <c r="C928" t="s">
        <v>21</v>
      </c>
      <c r="D928" t="s">
        <v>3536</v>
      </c>
      <c r="E928" t="s">
        <v>3537</v>
      </c>
      <c r="F928" t="s">
        <v>429</v>
      </c>
      <c r="G928" t="s">
        <v>24</v>
      </c>
      <c r="H928" t="s">
        <v>3538</v>
      </c>
      <c r="I928" t="s">
        <v>46</v>
      </c>
      <c r="N928" t="s">
        <v>38</v>
      </c>
      <c r="S928" t="s">
        <v>48</v>
      </c>
      <c r="V928" t="s">
        <v>5582</v>
      </c>
      <c r="W928" t="s">
        <v>5583</v>
      </c>
      <c r="X928" s="2">
        <f>IFERROR(VLOOKUP(I928,'Rate Sheet'!$D:$F,3,FALSE),0)</f>
        <v>14.333333333333334</v>
      </c>
      <c r="Y928" s="2">
        <f>IFERROR(VLOOKUP(J928,'Rate Sheet'!$D:$F,3,FALSE),0)</f>
        <v>0</v>
      </c>
      <c r="Z928" s="2">
        <f>IFERROR(VLOOKUP(K928,'Rate Sheet'!$D:$F,3,FALSE),0)</f>
        <v>0</v>
      </c>
      <c r="AA928" s="2">
        <f t="shared" si="14"/>
        <v>14.333333333333334</v>
      </c>
      <c r="AB928">
        <v>1</v>
      </c>
    </row>
    <row r="929" spans="1:28" x14ac:dyDescent="0.25">
      <c r="A929" t="s">
        <v>33</v>
      </c>
      <c r="B929" t="s">
        <v>3539</v>
      </c>
      <c r="C929" t="s">
        <v>21</v>
      </c>
      <c r="D929" t="s">
        <v>3539</v>
      </c>
      <c r="E929" t="s">
        <v>3540</v>
      </c>
      <c r="F929" t="s">
        <v>829</v>
      </c>
      <c r="G929" t="s">
        <v>24</v>
      </c>
      <c r="H929" t="s">
        <v>3541</v>
      </c>
      <c r="I929" t="s">
        <v>73</v>
      </c>
      <c r="N929" t="s">
        <v>3542</v>
      </c>
      <c r="S929" t="s">
        <v>75</v>
      </c>
      <c r="V929" t="s">
        <v>5751</v>
      </c>
      <c r="W929" t="s">
        <v>3542</v>
      </c>
      <c r="X929" s="2">
        <f>IFERROR(VLOOKUP(I929,'Rate Sheet'!$D:$F,3,FALSE),0)</f>
        <v>8.6983333333333324</v>
      </c>
      <c r="Y929" s="2">
        <f>IFERROR(VLOOKUP(J929,'Rate Sheet'!$D:$F,3,FALSE),0)</f>
        <v>0</v>
      </c>
      <c r="Z929" s="2">
        <f>IFERROR(VLOOKUP(K929,'Rate Sheet'!$D:$F,3,FALSE),0)</f>
        <v>0</v>
      </c>
      <c r="AA929" s="2">
        <f t="shared" si="14"/>
        <v>8.6983333333333324</v>
      </c>
      <c r="AB929">
        <v>1</v>
      </c>
    </row>
    <row r="930" spans="1:28" x14ac:dyDescent="0.25">
      <c r="A930" t="s">
        <v>33</v>
      </c>
      <c r="B930" t="s">
        <v>3543</v>
      </c>
      <c r="C930" t="s">
        <v>21</v>
      </c>
      <c r="D930" t="s">
        <v>3544</v>
      </c>
      <c r="E930" t="s">
        <v>3545</v>
      </c>
      <c r="F930" t="s">
        <v>3546</v>
      </c>
      <c r="G930" t="s">
        <v>24</v>
      </c>
      <c r="H930" t="s">
        <v>3547</v>
      </c>
      <c r="I930" t="s">
        <v>46</v>
      </c>
      <c r="N930" t="s">
        <v>914</v>
      </c>
      <c r="S930" t="s">
        <v>48</v>
      </c>
      <c r="V930" t="s">
        <v>5686</v>
      </c>
      <c r="W930" t="s">
        <v>5687</v>
      </c>
      <c r="X930" s="2">
        <f>IFERROR(VLOOKUP(I930,'Rate Sheet'!$D:$F,3,FALSE),0)</f>
        <v>14.333333333333334</v>
      </c>
      <c r="Y930" s="2">
        <f>IFERROR(VLOOKUP(J930,'Rate Sheet'!$D:$F,3,FALSE),0)</f>
        <v>0</v>
      </c>
      <c r="Z930" s="2">
        <f>IFERROR(VLOOKUP(K930,'Rate Sheet'!$D:$F,3,FALSE),0)</f>
        <v>0</v>
      </c>
      <c r="AA930" s="2">
        <f t="shared" si="14"/>
        <v>14.333333333333334</v>
      </c>
      <c r="AB930">
        <v>1</v>
      </c>
    </row>
    <row r="931" spans="1:28" x14ac:dyDescent="0.25">
      <c r="A931" t="s">
        <v>33</v>
      </c>
      <c r="B931" t="s">
        <v>3548</v>
      </c>
      <c r="C931" t="s">
        <v>21</v>
      </c>
      <c r="D931" t="s">
        <v>3548</v>
      </c>
      <c r="E931" t="s">
        <v>3549</v>
      </c>
      <c r="F931" t="s">
        <v>3550</v>
      </c>
      <c r="G931" t="s">
        <v>24</v>
      </c>
      <c r="H931" t="s">
        <v>3551</v>
      </c>
      <c r="I931" t="s">
        <v>46</v>
      </c>
      <c r="S931" t="s">
        <v>48</v>
      </c>
      <c r="V931" t="s">
        <v>5749</v>
      </c>
      <c r="W931" t="s">
        <v>5750</v>
      </c>
      <c r="X931" s="2">
        <f>IFERROR(VLOOKUP(I931,'Rate Sheet'!$D:$F,3,FALSE),0)</f>
        <v>14.333333333333334</v>
      </c>
      <c r="Y931" s="2">
        <f>IFERROR(VLOOKUP(J931,'Rate Sheet'!$D:$F,3,FALSE),0)</f>
        <v>0</v>
      </c>
      <c r="Z931" s="2">
        <f>IFERROR(VLOOKUP(K931,'Rate Sheet'!$D:$F,3,FALSE),0)</f>
        <v>0</v>
      </c>
      <c r="AA931" s="2">
        <f t="shared" si="14"/>
        <v>14.333333333333334</v>
      </c>
      <c r="AB931">
        <v>1</v>
      </c>
    </row>
    <row r="932" spans="1:28" x14ac:dyDescent="0.25">
      <c r="A932" t="s">
        <v>33</v>
      </c>
      <c r="B932" t="s">
        <v>3552</v>
      </c>
      <c r="C932" t="s">
        <v>21</v>
      </c>
      <c r="D932" t="s">
        <v>3552</v>
      </c>
      <c r="E932" t="s">
        <v>3553</v>
      </c>
      <c r="F932" t="s">
        <v>3554</v>
      </c>
      <c r="G932" t="s">
        <v>24</v>
      </c>
      <c r="H932" t="s">
        <v>3555</v>
      </c>
      <c r="I932" t="s">
        <v>46</v>
      </c>
      <c r="N932" t="s">
        <v>38</v>
      </c>
      <c r="S932" t="s">
        <v>48</v>
      </c>
      <c r="V932" t="s">
        <v>5582</v>
      </c>
      <c r="W932" t="s">
        <v>5583</v>
      </c>
      <c r="X932" s="2">
        <f>IFERROR(VLOOKUP(I932,'Rate Sheet'!$D:$F,3,FALSE),0)</f>
        <v>14.333333333333334</v>
      </c>
      <c r="Y932" s="2">
        <f>IFERROR(VLOOKUP(J932,'Rate Sheet'!$D:$F,3,FALSE),0)</f>
        <v>0</v>
      </c>
      <c r="Z932" s="2">
        <f>IFERROR(VLOOKUP(K932,'Rate Sheet'!$D:$F,3,FALSE),0)</f>
        <v>0</v>
      </c>
      <c r="AA932" s="2">
        <f t="shared" si="14"/>
        <v>14.333333333333334</v>
      </c>
      <c r="AB932">
        <v>1</v>
      </c>
    </row>
    <row r="933" spans="1:28" x14ac:dyDescent="0.25">
      <c r="A933" t="s">
        <v>33</v>
      </c>
      <c r="B933" t="s">
        <v>3556</v>
      </c>
      <c r="C933" t="s">
        <v>21</v>
      </c>
      <c r="D933" t="s">
        <v>3556</v>
      </c>
      <c r="E933" t="s">
        <v>626</v>
      </c>
      <c r="F933" t="s">
        <v>2875</v>
      </c>
      <c r="G933" t="s">
        <v>24</v>
      </c>
      <c r="H933" t="s">
        <v>3557</v>
      </c>
      <c r="I933" t="s">
        <v>46</v>
      </c>
      <c r="N933" t="s">
        <v>1013</v>
      </c>
      <c r="S933" t="s">
        <v>48</v>
      </c>
      <c r="V933" s="10" t="s">
        <v>5701</v>
      </c>
      <c r="W933" s="10" t="s">
        <v>1013</v>
      </c>
      <c r="X933" s="2">
        <f>IFERROR(VLOOKUP(I933,'Rate Sheet'!$D:$F,3,FALSE),0)</f>
        <v>14.333333333333334</v>
      </c>
      <c r="Y933" s="2">
        <f>IFERROR(VLOOKUP(J933,'Rate Sheet'!$D:$F,3,FALSE),0)</f>
        <v>0</v>
      </c>
      <c r="Z933" s="2">
        <f>IFERROR(VLOOKUP(K933,'Rate Sheet'!$D:$F,3,FALSE),0)</f>
        <v>0</v>
      </c>
      <c r="AA933" s="2">
        <f t="shared" si="14"/>
        <v>14.333333333333334</v>
      </c>
      <c r="AB933">
        <v>1</v>
      </c>
    </row>
    <row r="934" spans="1:28" x14ac:dyDescent="0.25">
      <c r="A934" t="s">
        <v>33</v>
      </c>
      <c r="B934" t="s">
        <v>3558</v>
      </c>
      <c r="C934" t="s">
        <v>21</v>
      </c>
      <c r="D934" t="s">
        <v>3559</v>
      </c>
      <c r="E934" t="s">
        <v>306</v>
      </c>
      <c r="F934" t="s">
        <v>3560</v>
      </c>
      <c r="G934" t="s">
        <v>24</v>
      </c>
      <c r="H934" t="s">
        <v>3561</v>
      </c>
      <c r="I934" t="s">
        <v>46</v>
      </c>
      <c r="N934" t="s">
        <v>349</v>
      </c>
      <c r="S934" t="s">
        <v>48</v>
      </c>
      <c r="V934" t="s">
        <v>5630</v>
      </c>
      <c r="W934" t="s">
        <v>5631</v>
      </c>
      <c r="X934" s="2">
        <f>IFERROR(VLOOKUP(I934,'Rate Sheet'!$D:$F,3,FALSE),0)</f>
        <v>14.333333333333334</v>
      </c>
      <c r="Y934" s="2">
        <f>IFERROR(VLOOKUP(J934,'Rate Sheet'!$D:$F,3,FALSE),0)</f>
        <v>0</v>
      </c>
      <c r="Z934" s="2">
        <f>IFERROR(VLOOKUP(K934,'Rate Sheet'!$D:$F,3,FALSE),0)</f>
        <v>0</v>
      </c>
      <c r="AA934" s="2">
        <f t="shared" si="14"/>
        <v>14.333333333333334</v>
      </c>
      <c r="AB934">
        <v>1</v>
      </c>
    </row>
    <row r="935" spans="1:28" x14ac:dyDescent="0.25">
      <c r="A935" t="s">
        <v>33</v>
      </c>
      <c r="B935" t="s">
        <v>3562</v>
      </c>
      <c r="C935" t="s">
        <v>21</v>
      </c>
      <c r="D935" t="s">
        <v>3562</v>
      </c>
      <c r="E935" t="s">
        <v>2172</v>
      </c>
      <c r="F935" t="s">
        <v>3563</v>
      </c>
      <c r="G935" t="s">
        <v>24</v>
      </c>
      <c r="H935" t="s">
        <v>3564</v>
      </c>
      <c r="I935" t="s">
        <v>3565</v>
      </c>
      <c r="N935" t="s">
        <v>38</v>
      </c>
      <c r="S935" t="s">
        <v>3566</v>
      </c>
      <c r="X935" s="2">
        <f>IFERROR(VLOOKUP(I935,'Rate Sheet'!$D:$F,3,FALSE),0)</f>
        <v>0</v>
      </c>
      <c r="Y935" s="2">
        <f>IFERROR(VLOOKUP(J935,'Rate Sheet'!$D:$F,3,FALSE),0)</f>
        <v>0</v>
      </c>
      <c r="Z935" s="2">
        <f>IFERROR(VLOOKUP(K935,'Rate Sheet'!$D:$F,3,FALSE),0)</f>
        <v>0</v>
      </c>
      <c r="AA935" s="2">
        <f t="shared" si="14"/>
        <v>0</v>
      </c>
    </row>
    <row r="936" spans="1:28" x14ac:dyDescent="0.25">
      <c r="A936" t="s">
        <v>33</v>
      </c>
      <c r="B936" t="s">
        <v>3567</v>
      </c>
      <c r="C936" t="s">
        <v>21</v>
      </c>
      <c r="D936" t="s">
        <v>3567</v>
      </c>
      <c r="E936" t="s">
        <v>1933</v>
      </c>
      <c r="F936" t="s">
        <v>3568</v>
      </c>
      <c r="G936" t="s">
        <v>24</v>
      </c>
      <c r="H936" t="s">
        <v>3569</v>
      </c>
      <c r="I936" t="s">
        <v>46</v>
      </c>
      <c r="N936" t="s">
        <v>601</v>
      </c>
      <c r="S936" t="s">
        <v>48</v>
      </c>
      <c r="V936" t="s">
        <v>5695</v>
      </c>
      <c r="W936" t="s">
        <v>601</v>
      </c>
      <c r="X936" s="2">
        <f>IFERROR(VLOOKUP(I936,'Rate Sheet'!$D:$F,3,FALSE),0)</f>
        <v>14.333333333333334</v>
      </c>
      <c r="Y936" s="2">
        <f>IFERROR(VLOOKUP(J936,'Rate Sheet'!$D:$F,3,FALSE),0)</f>
        <v>0</v>
      </c>
      <c r="Z936" s="2">
        <f>IFERROR(VLOOKUP(K936,'Rate Sheet'!$D:$F,3,FALSE),0)</f>
        <v>0</v>
      </c>
      <c r="AA936" s="2">
        <f t="shared" si="14"/>
        <v>14.333333333333334</v>
      </c>
      <c r="AB936">
        <v>1</v>
      </c>
    </row>
    <row r="937" spans="1:28" x14ac:dyDescent="0.25">
      <c r="A937" t="s">
        <v>33</v>
      </c>
      <c r="B937" t="s">
        <v>3570</v>
      </c>
      <c r="C937" t="s">
        <v>21</v>
      </c>
      <c r="D937" t="s">
        <v>3571</v>
      </c>
      <c r="E937" t="s">
        <v>3572</v>
      </c>
      <c r="F937" t="s">
        <v>3573</v>
      </c>
      <c r="G937" t="s">
        <v>24</v>
      </c>
      <c r="H937" t="s">
        <v>3574</v>
      </c>
      <c r="N937" t="s">
        <v>273</v>
      </c>
      <c r="X937" s="2">
        <f>IFERROR(VLOOKUP(I937,'Rate Sheet'!$D:$F,3,FALSE),0)</f>
        <v>0</v>
      </c>
      <c r="Y937" s="2">
        <f>IFERROR(VLOOKUP(J937,'Rate Sheet'!$D:$F,3,FALSE),0)</f>
        <v>0</v>
      </c>
      <c r="Z937" s="2">
        <f>IFERROR(VLOOKUP(K937,'Rate Sheet'!$D:$F,3,FALSE),0)</f>
        <v>0</v>
      </c>
      <c r="AA937" s="2">
        <f t="shared" si="14"/>
        <v>0</v>
      </c>
    </row>
    <row r="938" spans="1:28" x14ac:dyDescent="0.25">
      <c r="A938" t="s">
        <v>33</v>
      </c>
      <c r="B938" t="s">
        <v>3575</v>
      </c>
      <c r="C938" t="s">
        <v>21</v>
      </c>
      <c r="D938" t="s">
        <v>3575</v>
      </c>
      <c r="E938" t="s">
        <v>1484</v>
      </c>
      <c r="F938" t="s">
        <v>3576</v>
      </c>
      <c r="G938" t="s">
        <v>24</v>
      </c>
      <c r="H938" t="s">
        <v>3577</v>
      </c>
      <c r="I938" t="s">
        <v>46</v>
      </c>
      <c r="N938" t="s">
        <v>273</v>
      </c>
      <c r="S938" t="s">
        <v>48</v>
      </c>
      <c r="V938" t="s">
        <v>5621</v>
      </c>
      <c r="W938" t="s">
        <v>5622</v>
      </c>
      <c r="X938" s="2">
        <f>IFERROR(VLOOKUP(I938,'Rate Sheet'!$D:$F,3,FALSE),0)</f>
        <v>14.333333333333334</v>
      </c>
      <c r="Y938" s="2">
        <f>IFERROR(VLOOKUP(J938,'Rate Sheet'!$D:$F,3,FALSE),0)</f>
        <v>0</v>
      </c>
      <c r="Z938" s="2">
        <f>IFERROR(VLOOKUP(K938,'Rate Sheet'!$D:$F,3,FALSE),0)</f>
        <v>0</v>
      </c>
      <c r="AA938" s="2">
        <f t="shared" si="14"/>
        <v>14.333333333333334</v>
      </c>
      <c r="AB938">
        <v>1</v>
      </c>
    </row>
    <row r="939" spans="1:28" x14ac:dyDescent="0.25">
      <c r="A939" t="s">
        <v>33</v>
      </c>
      <c r="B939" t="s">
        <v>3578</v>
      </c>
      <c r="C939" t="s">
        <v>21</v>
      </c>
      <c r="D939" t="s">
        <v>3578</v>
      </c>
      <c r="E939" t="s">
        <v>178</v>
      </c>
      <c r="F939" t="s">
        <v>3579</v>
      </c>
      <c r="G939" t="s">
        <v>24</v>
      </c>
      <c r="H939" t="s">
        <v>3580</v>
      </c>
      <c r="I939" t="s">
        <v>3565</v>
      </c>
      <c r="N939" t="s">
        <v>138</v>
      </c>
      <c r="S939" t="s">
        <v>3566</v>
      </c>
      <c r="X939" s="2">
        <f>IFERROR(VLOOKUP(I939,'Rate Sheet'!$D:$F,3,FALSE),0)</f>
        <v>0</v>
      </c>
      <c r="Y939" s="2">
        <f>IFERROR(VLOOKUP(J939,'Rate Sheet'!$D:$F,3,FALSE),0)</f>
        <v>0</v>
      </c>
      <c r="Z939" s="2">
        <f>IFERROR(VLOOKUP(K939,'Rate Sheet'!$D:$F,3,FALSE),0)</f>
        <v>0</v>
      </c>
      <c r="AA939" s="2">
        <f t="shared" si="14"/>
        <v>0</v>
      </c>
    </row>
    <row r="940" spans="1:28" x14ac:dyDescent="0.25">
      <c r="A940" t="s">
        <v>33</v>
      </c>
      <c r="B940" t="s">
        <v>3581</v>
      </c>
      <c r="C940" t="s">
        <v>21</v>
      </c>
      <c r="D940" t="s">
        <v>3582</v>
      </c>
      <c r="E940" t="s">
        <v>2708</v>
      </c>
      <c r="F940" t="s">
        <v>1019</v>
      </c>
      <c r="G940" t="s">
        <v>24</v>
      </c>
      <c r="H940" t="s">
        <v>3583</v>
      </c>
      <c r="I940" t="s">
        <v>46</v>
      </c>
      <c r="N940" t="s">
        <v>148</v>
      </c>
      <c r="S940" t="s">
        <v>48</v>
      </c>
      <c r="V940" t="s">
        <v>5689</v>
      </c>
      <c r="W940" t="s">
        <v>148</v>
      </c>
      <c r="X940" s="2">
        <f>IFERROR(VLOOKUP(I940,'Rate Sheet'!$D:$F,3,FALSE),0)</f>
        <v>14.333333333333334</v>
      </c>
      <c r="Y940" s="2">
        <f>IFERROR(VLOOKUP(J940,'Rate Sheet'!$D:$F,3,FALSE),0)</f>
        <v>0</v>
      </c>
      <c r="Z940" s="2">
        <f>IFERROR(VLOOKUP(K940,'Rate Sheet'!$D:$F,3,FALSE),0)</f>
        <v>0</v>
      </c>
      <c r="AA940" s="2">
        <f t="shared" si="14"/>
        <v>14.333333333333334</v>
      </c>
      <c r="AB940">
        <v>1</v>
      </c>
    </row>
    <row r="941" spans="1:28" x14ac:dyDescent="0.25">
      <c r="A941" t="s">
        <v>33</v>
      </c>
      <c r="B941" t="s">
        <v>3584</v>
      </c>
      <c r="C941" t="s">
        <v>21</v>
      </c>
      <c r="D941" t="s">
        <v>3584</v>
      </c>
      <c r="E941" t="s">
        <v>435</v>
      </c>
      <c r="F941" t="s">
        <v>3585</v>
      </c>
      <c r="G941" t="s">
        <v>24</v>
      </c>
      <c r="H941" t="s">
        <v>3586</v>
      </c>
      <c r="I941" t="s">
        <v>46</v>
      </c>
      <c r="N941" t="s">
        <v>808</v>
      </c>
      <c r="S941" t="s">
        <v>48</v>
      </c>
      <c r="V941" t="s">
        <v>5667</v>
      </c>
      <c r="W941" t="s">
        <v>808</v>
      </c>
      <c r="X941" s="2">
        <f>IFERROR(VLOOKUP(I941,'Rate Sheet'!$D:$F,3,FALSE),0)</f>
        <v>14.333333333333334</v>
      </c>
      <c r="Y941" s="2">
        <f>IFERROR(VLOOKUP(J941,'Rate Sheet'!$D:$F,3,FALSE),0)</f>
        <v>0</v>
      </c>
      <c r="Z941" s="2">
        <f>IFERROR(VLOOKUP(K941,'Rate Sheet'!$D:$F,3,FALSE),0)</f>
        <v>0</v>
      </c>
      <c r="AA941" s="2">
        <f t="shared" si="14"/>
        <v>14.333333333333334</v>
      </c>
      <c r="AB941">
        <v>1</v>
      </c>
    </row>
    <row r="942" spans="1:28" x14ac:dyDescent="0.25">
      <c r="A942" t="s">
        <v>33</v>
      </c>
      <c r="B942" t="s">
        <v>3587</v>
      </c>
      <c r="C942" t="s">
        <v>21</v>
      </c>
      <c r="D942" t="s">
        <v>3587</v>
      </c>
      <c r="E942" t="s">
        <v>568</v>
      </c>
      <c r="F942" t="s">
        <v>3560</v>
      </c>
      <c r="G942" t="s">
        <v>24</v>
      </c>
      <c r="H942" t="s">
        <v>3588</v>
      </c>
      <c r="I942" t="s">
        <v>46</v>
      </c>
      <c r="N942" t="s">
        <v>166</v>
      </c>
      <c r="S942" t="s">
        <v>48</v>
      </c>
      <c r="V942" t="s">
        <v>5606</v>
      </c>
      <c r="W942" t="s">
        <v>166</v>
      </c>
      <c r="X942" s="2">
        <f>IFERROR(VLOOKUP(I942,'Rate Sheet'!$D:$F,3,FALSE),0)</f>
        <v>14.333333333333334</v>
      </c>
      <c r="Y942" s="2">
        <f>IFERROR(VLOOKUP(J942,'Rate Sheet'!$D:$F,3,FALSE),0)</f>
        <v>0</v>
      </c>
      <c r="Z942" s="2">
        <f>IFERROR(VLOOKUP(K942,'Rate Sheet'!$D:$F,3,FALSE),0)</f>
        <v>0</v>
      </c>
      <c r="AA942" s="2">
        <f t="shared" si="14"/>
        <v>14.333333333333334</v>
      </c>
      <c r="AB942">
        <v>1</v>
      </c>
    </row>
    <row r="943" spans="1:28" x14ac:dyDescent="0.25">
      <c r="A943" t="s">
        <v>33</v>
      </c>
      <c r="B943" t="s">
        <v>3589</v>
      </c>
      <c r="C943" t="s">
        <v>21</v>
      </c>
      <c r="D943" t="s">
        <v>3589</v>
      </c>
      <c r="E943" t="s">
        <v>3590</v>
      </c>
      <c r="F943" t="s">
        <v>3591</v>
      </c>
      <c r="G943" t="s">
        <v>24</v>
      </c>
      <c r="H943" t="s">
        <v>3592</v>
      </c>
      <c r="N943" t="s">
        <v>994</v>
      </c>
      <c r="X943" s="2">
        <f>IFERROR(VLOOKUP(I943,'Rate Sheet'!$D:$F,3,FALSE),0)</f>
        <v>0</v>
      </c>
      <c r="Y943" s="2">
        <f>IFERROR(VLOOKUP(J943,'Rate Sheet'!$D:$F,3,FALSE),0)</f>
        <v>0</v>
      </c>
      <c r="Z943" s="2">
        <f>IFERROR(VLOOKUP(K943,'Rate Sheet'!$D:$F,3,FALSE),0)</f>
        <v>0</v>
      </c>
      <c r="AA943" s="2">
        <f t="shared" si="14"/>
        <v>0</v>
      </c>
    </row>
    <row r="944" spans="1:28" x14ac:dyDescent="0.25">
      <c r="A944" t="s">
        <v>33</v>
      </c>
      <c r="B944" t="s">
        <v>3593</v>
      </c>
      <c r="C944" t="s">
        <v>21</v>
      </c>
      <c r="D944" t="s">
        <v>3593</v>
      </c>
      <c r="E944" t="s">
        <v>1424</v>
      </c>
      <c r="F944" t="s">
        <v>3594</v>
      </c>
      <c r="G944" t="s">
        <v>24</v>
      </c>
      <c r="H944" t="s">
        <v>3595</v>
      </c>
      <c r="I944" t="s">
        <v>46</v>
      </c>
      <c r="N944" t="s">
        <v>697</v>
      </c>
      <c r="S944" t="s">
        <v>48</v>
      </c>
      <c r="V944" t="s">
        <v>5692</v>
      </c>
      <c r="W944" t="s">
        <v>5693</v>
      </c>
      <c r="X944" s="2">
        <f>IFERROR(VLOOKUP(I944,'Rate Sheet'!$D:$F,3,FALSE),0)</f>
        <v>14.333333333333334</v>
      </c>
      <c r="Y944" s="2">
        <f>IFERROR(VLOOKUP(J944,'Rate Sheet'!$D:$F,3,FALSE),0)</f>
        <v>0</v>
      </c>
      <c r="Z944" s="2">
        <f>IFERROR(VLOOKUP(K944,'Rate Sheet'!$D:$F,3,FALSE),0)</f>
        <v>0</v>
      </c>
      <c r="AA944" s="2">
        <f t="shared" si="14"/>
        <v>14.333333333333334</v>
      </c>
      <c r="AB944">
        <v>1</v>
      </c>
    </row>
    <row r="945" spans="1:28" x14ac:dyDescent="0.25">
      <c r="A945" t="s">
        <v>33</v>
      </c>
      <c r="B945" t="s">
        <v>3596</v>
      </c>
      <c r="C945" t="s">
        <v>21</v>
      </c>
      <c r="D945" t="s">
        <v>3596</v>
      </c>
      <c r="E945" t="s">
        <v>3597</v>
      </c>
      <c r="F945" t="s">
        <v>3598</v>
      </c>
      <c r="G945" t="s">
        <v>24</v>
      </c>
      <c r="H945" t="s">
        <v>3599</v>
      </c>
      <c r="I945" t="s">
        <v>46</v>
      </c>
      <c r="J945" t="s">
        <v>5565</v>
      </c>
      <c r="N945" t="s">
        <v>2925</v>
      </c>
      <c r="S945" t="s">
        <v>3601</v>
      </c>
      <c r="V945" t="s">
        <v>5737</v>
      </c>
      <c r="W945" t="s">
        <v>5738</v>
      </c>
      <c r="X945" s="2">
        <f>IFERROR(VLOOKUP(I945,'Rate Sheet'!$D:$F,3,FALSE),0)</f>
        <v>14.333333333333334</v>
      </c>
      <c r="Y945" s="2">
        <f>IFERROR(VLOOKUP(J945,'Rate Sheet'!$D:$F,3,FALSE),0)</f>
        <v>0</v>
      </c>
      <c r="Z945" s="2">
        <f>IFERROR(VLOOKUP(K945,'Rate Sheet'!$D:$F,3,FALSE),0)</f>
        <v>0</v>
      </c>
      <c r="AA945" s="2">
        <f t="shared" si="14"/>
        <v>14.333333333333334</v>
      </c>
      <c r="AB945">
        <v>1</v>
      </c>
    </row>
    <row r="946" spans="1:28" x14ac:dyDescent="0.25">
      <c r="A946" t="s">
        <v>33</v>
      </c>
      <c r="B946" t="s">
        <v>3602</v>
      </c>
      <c r="C946" t="s">
        <v>21</v>
      </c>
      <c r="D946" t="s">
        <v>3602</v>
      </c>
      <c r="E946" t="s">
        <v>3603</v>
      </c>
      <c r="F946" t="s">
        <v>3604</v>
      </c>
      <c r="G946" t="s">
        <v>24</v>
      </c>
      <c r="H946" t="s">
        <v>3605</v>
      </c>
      <c r="I946" t="s">
        <v>46</v>
      </c>
      <c r="N946" t="s">
        <v>224</v>
      </c>
      <c r="S946" t="s">
        <v>48</v>
      </c>
      <c r="V946" s="10" t="s">
        <v>5615</v>
      </c>
      <c r="W946" s="10" t="s">
        <v>5616</v>
      </c>
      <c r="X946" s="2">
        <f>IFERROR(VLOOKUP(I946,'Rate Sheet'!$D:$F,3,FALSE),0)</f>
        <v>14.333333333333334</v>
      </c>
      <c r="Y946" s="2">
        <f>IFERROR(VLOOKUP(J946,'Rate Sheet'!$D:$F,3,FALSE),0)</f>
        <v>0</v>
      </c>
      <c r="Z946" s="2">
        <f>IFERROR(VLOOKUP(K946,'Rate Sheet'!$D:$F,3,FALSE),0)</f>
        <v>0</v>
      </c>
      <c r="AA946" s="2">
        <f t="shared" si="14"/>
        <v>14.333333333333334</v>
      </c>
      <c r="AB946">
        <v>1</v>
      </c>
    </row>
    <row r="947" spans="1:28" x14ac:dyDescent="0.25">
      <c r="A947" t="s">
        <v>33</v>
      </c>
      <c r="B947" t="s">
        <v>3606</v>
      </c>
      <c r="C947" t="s">
        <v>29</v>
      </c>
      <c r="D947" t="s">
        <v>3606</v>
      </c>
      <c r="E947" t="s">
        <v>1738</v>
      </c>
      <c r="F947" t="s">
        <v>432</v>
      </c>
      <c r="G947" t="s">
        <v>24</v>
      </c>
      <c r="H947" t="s">
        <v>3607</v>
      </c>
      <c r="I947" t="s">
        <v>46</v>
      </c>
      <c r="N947" t="s">
        <v>246</v>
      </c>
      <c r="S947" t="s">
        <v>48</v>
      </c>
      <c r="V947" t="s">
        <v>5661</v>
      </c>
      <c r="W947" t="s">
        <v>246</v>
      </c>
      <c r="X947" s="2">
        <f>IFERROR(VLOOKUP(I947,'Rate Sheet'!$D:$F,3,FALSE),0)</f>
        <v>14.333333333333334</v>
      </c>
      <c r="Y947" s="2">
        <f>IFERROR(VLOOKUP(J947,'Rate Sheet'!$D:$F,3,FALSE),0)</f>
        <v>0</v>
      </c>
      <c r="Z947" s="2">
        <f>IFERROR(VLOOKUP(K947,'Rate Sheet'!$D:$F,3,FALSE),0)</f>
        <v>0</v>
      </c>
      <c r="AA947" s="2">
        <f t="shared" si="14"/>
        <v>14.333333333333334</v>
      </c>
      <c r="AB947">
        <v>1</v>
      </c>
    </row>
    <row r="948" spans="1:28" x14ac:dyDescent="0.25">
      <c r="A948" t="s">
        <v>33</v>
      </c>
      <c r="B948" t="s">
        <v>3608</v>
      </c>
      <c r="C948" t="s">
        <v>21</v>
      </c>
      <c r="D948" t="s">
        <v>3608</v>
      </c>
      <c r="E948" t="s">
        <v>3609</v>
      </c>
      <c r="F948" t="s">
        <v>3610</v>
      </c>
      <c r="G948" t="s">
        <v>24</v>
      </c>
      <c r="H948" t="s">
        <v>3611</v>
      </c>
      <c r="I948" t="s">
        <v>46</v>
      </c>
      <c r="N948" t="s">
        <v>171</v>
      </c>
      <c r="S948" t="s">
        <v>48</v>
      </c>
      <c r="V948" t="s">
        <v>5708</v>
      </c>
      <c r="W948" t="s">
        <v>5709</v>
      </c>
      <c r="X948" s="2">
        <f>IFERROR(VLOOKUP(I948,'Rate Sheet'!$D:$F,3,FALSE),0)</f>
        <v>14.333333333333334</v>
      </c>
      <c r="Y948" s="2">
        <f>IFERROR(VLOOKUP(J948,'Rate Sheet'!$D:$F,3,FALSE),0)</f>
        <v>0</v>
      </c>
      <c r="Z948" s="2">
        <f>IFERROR(VLOOKUP(K948,'Rate Sheet'!$D:$F,3,FALSE),0)</f>
        <v>0</v>
      </c>
      <c r="AA948" s="2">
        <f t="shared" si="14"/>
        <v>14.333333333333334</v>
      </c>
      <c r="AB948">
        <v>1</v>
      </c>
    </row>
    <row r="949" spans="1:28" x14ac:dyDescent="0.25">
      <c r="A949" t="s">
        <v>33</v>
      </c>
      <c r="B949" t="s">
        <v>3612</v>
      </c>
      <c r="C949" t="s">
        <v>21</v>
      </c>
      <c r="D949" t="s">
        <v>3612</v>
      </c>
      <c r="E949" t="s">
        <v>338</v>
      </c>
      <c r="F949" t="s">
        <v>3613</v>
      </c>
      <c r="G949" t="s">
        <v>24</v>
      </c>
      <c r="H949" t="s">
        <v>3614</v>
      </c>
      <c r="I949" t="s">
        <v>46</v>
      </c>
      <c r="N949" t="s">
        <v>171</v>
      </c>
      <c r="S949" t="s">
        <v>48</v>
      </c>
      <c r="V949" t="s">
        <v>5708</v>
      </c>
      <c r="W949" t="s">
        <v>5709</v>
      </c>
      <c r="X949" s="2">
        <f>IFERROR(VLOOKUP(I949,'Rate Sheet'!$D:$F,3,FALSE),0)</f>
        <v>14.333333333333334</v>
      </c>
      <c r="Y949" s="2">
        <f>IFERROR(VLOOKUP(J949,'Rate Sheet'!$D:$F,3,FALSE),0)</f>
        <v>0</v>
      </c>
      <c r="Z949" s="2">
        <f>IFERROR(VLOOKUP(K949,'Rate Sheet'!$D:$F,3,FALSE),0)</f>
        <v>0</v>
      </c>
      <c r="AA949" s="2">
        <f t="shared" ref="AA949:AA1010" si="15">SUM(X949:Z949)</f>
        <v>14.333333333333334</v>
      </c>
      <c r="AB949">
        <v>1</v>
      </c>
    </row>
    <row r="950" spans="1:28" x14ac:dyDescent="0.25">
      <c r="A950" t="s">
        <v>33</v>
      </c>
      <c r="B950" t="s">
        <v>3615</v>
      </c>
      <c r="C950" t="s">
        <v>21</v>
      </c>
      <c r="D950" t="s">
        <v>3615</v>
      </c>
      <c r="E950" t="s">
        <v>3616</v>
      </c>
      <c r="F950" t="s">
        <v>2774</v>
      </c>
      <c r="G950" t="s">
        <v>24</v>
      </c>
      <c r="H950" t="s">
        <v>3617</v>
      </c>
      <c r="N950" t="s">
        <v>171</v>
      </c>
      <c r="X950" s="2">
        <f>IFERROR(VLOOKUP(I950,'Rate Sheet'!$D:$F,3,FALSE),0)</f>
        <v>0</v>
      </c>
      <c r="Y950" s="2">
        <f>IFERROR(VLOOKUP(J950,'Rate Sheet'!$D:$F,3,FALSE),0)</f>
        <v>0</v>
      </c>
      <c r="Z950" s="2">
        <f>IFERROR(VLOOKUP(K950,'Rate Sheet'!$D:$F,3,FALSE),0)</f>
        <v>0</v>
      </c>
      <c r="AA950" s="2">
        <f t="shared" si="15"/>
        <v>0</v>
      </c>
    </row>
    <row r="951" spans="1:28" x14ac:dyDescent="0.25">
      <c r="A951" t="s">
        <v>33</v>
      </c>
      <c r="B951" t="s">
        <v>3618</v>
      </c>
      <c r="C951" t="s">
        <v>21</v>
      </c>
      <c r="D951" t="s">
        <v>3618</v>
      </c>
      <c r="E951" t="s">
        <v>568</v>
      </c>
      <c r="F951" t="s">
        <v>3619</v>
      </c>
      <c r="G951" t="s">
        <v>24</v>
      </c>
      <c r="H951" t="s">
        <v>3620</v>
      </c>
      <c r="I951" t="s">
        <v>46</v>
      </c>
      <c r="N951" t="s">
        <v>171</v>
      </c>
      <c r="S951" t="s">
        <v>48</v>
      </c>
      <c r="V951" t="s">
        <v>5708</v>
      </c>
      <c r="W951" t="s">
        <v>5709</v>
      </c>
      <c r="X951" s="2">
        <f>IFERROR(VLOOKUP(I951,'Rate Sheet'!$D:$F,3,FALSE),0)</f>
        <v>14.333333333333334</v>
      </c>
      <c r="Y951" s="2">
        <f>IFERROR(VLOOKUP(J951,'Rate Sheet'!$D:$F,3,FALSE),0)</f>
        <v>0</v>
      </c>
      <c r="Z951" s="2">
        <f>IFERROR(VLOOKUP(K951,'Rate Sheet'!$D:$F,3,FALSE),0)</f>
        <v>0</v>
      </c>
      <c r="AA951" s="2">
        <f t="shared" si="15"/>
        <v>14.333333333333334</v>
      </c>
      <c r="AB951">
        <v>1</v>
      </c>
    </row>
    <row r="952" spans="1:28" x14ac:dyDescent="0.25">
      <c r="A952" t="s">
        <v>33</v>
      </c>
      <c r="B952" t="s">
        <v>3621</v>
      </c>
      <c r="C952" t="s">
        <v>21</v>
      </c>
      <c r="D952" t="s">
        <v>3621</v>
      </c>
      <c r="E952" t="s">
        <v>192</v>
      </c>
      <c r="F952" t="s">
        <v>3622</v>
      </c>
      <c r="G952" t="s">
        <v>24</v>
      </c>
      <c r="H952" t="s">
        <v>3623</v>
      </c>
      <c r="I952" t="s">
        <v>46</v>
      </c>
      <c r="N952" t="s">
        <v>171</v>
      </c>
      <c r="S952" t="s">
        <v>48</v>
      </c>
      <c r="V952" t="s">
        <v>5708</v>
      </c>
      <c r="W952" t="s">
        <v>5709</v>
      </c>
      <c r="X952" s="2">
        <f>IFERROR(VLOOKUP(I952,'Rate Sheet'!$D:$F,3,FALSE),0)</f>
        <v>14.333333333333334</v>
      </c>
      <c r="Y952" s="2">
        <f>IFERROR(VLOOKUP(J952,'Rate Sheet'!$D:$F,3,FALSE),0)</f>
        <v>0</v>
      </c>
      <c r="Z952" s="2">
        <f>IFERROR(VLOOKUP(K952,'Rate Sheet'!$D:$F,3,FALSE),0)</f>
        <v>0</v>
      </c>
      <c r="AA952" s="2">
        <f t="shared" si="15"/>
        <v>14.333333333333334</v>
      </c>
      <c r="AB952">
        <v>1</v>
      </c>
    </row>
    <row r="953" spans="1:28" x14ac:dyDescent="0.25">
      <c r="A953" t="s">
        <v>33</v>
      </c>
      <c r="B953" t="s">
        <v>3624</v>
      </c>
      <c r="C953" t="s">
        <v>21</v>
      </c>
      <c r="D953" t="s">
        <v>3624</v>
      </c>
      <c r="E953" t="s">
        <v>1858</v>
      </c>
      <c r="F953" t="s">
        <v>2053</v>
      </c>
      <c r="G953" t="s">
        <v>24</v>
      </c>
      <c r="H953" t="s">
        <v>3625</v>
      </c>
      <c r="I953" t="s">
        <v>46</v>
      </c>
      <c r="N953" t="s">
        <v>166</v>
      </c>
      <c r="S953" t="s">
        <v>48</v>
      </c>
      <c r="V953" t="s">
        <v>5606</v>
      </c>
      <c r="W953" t="s">
        <v>166</v>
      </c>
      <c r="X953" s="2">
        <f>IFERROR(VLOOKUP(I953,'Rate Sheet'!$D:$F,3,FALSE),0)</f>
        <v>14.333333333333334</v>
      </c>
      <c r="Y953" s="2">
        <f>IFERROR(VLOOKUP(J953,'Rate Sheet'!$D:$F,3,FALSE),0)</f>
        <v>0</v>
      </c>
      <c r="Z953" s="2">
        <f>IFERROR(VLOOKUP(K953,'Rate Sheet'!$D:$F,3,FALSE),0)</f>
        <v>0</v>
      </c>
      <c r="AA953" s="2">
        <f t="shared" si="15"/>
        <v>14.333333333333334</v>
      </c>
      <c r="AB953">
        <v>1</v>
      </c>
    </row>
    <row r="954" spans="1:28" x14ac:dyDescent="0.25">
      <c r="A954" t="s">
        <v>33</v>
      </c>
      <c r="B954" t="s">
        <v>3631</v>
      </c>
      <c r="C954" t="s">
        <v>21</v>
      </c>
      <c r="D954" t="s">
        <v>3631</v>
      </c>
      <c r="E954" t="s">
        <v>3632</v>
      </c>
      <c r="F954" t="s">
        <v>3633</v>
      </c>
      <c r="G954" t="s">
        <v>24</v>
      </c>
      <c r="H954" t="s">
        <v>3634</v>
      </c>
      <c r="I954" t="s">
        <v>73</v>
      </c>
      <c r="N954" t="s">
        <v>1042</v>
      </c>
      <c r="S954" t="s">
        <v>75</v>
      </c>
      <c r="V954" t="s">
        <v>5683</v>
      </c>
      <c r="W954" t="s">
        <v>5684</v>
      </c>
      <c r="X954" s="2">
        <f>IFERROR(VLOOKUP(I954,'Rate Sheet'!$D:$F,3,FALSE),0)</f>
        <v>8.6983333333333324</v>
      </c>
      <c r="Y954" s="2">
        <f>IFERROR(VLOOKUP(J954,'Rate Sheet'!$D:$F,3,FALSE),0)</f>
        <v>0</v>
      </c>
      <c r="Z954" s="2">
        <f>IFERROR(VLOOKUP(K954,'Rate Sheet'!$D:$F,3,FALSE),0)</f>
        <v>0</v>
      </c>
      <c r="AA954" s="2">
        <f t="shared" si="15"/>
        <v>8.6983333333333324</v>
      </c>
      <c r="AB954">
        <v>1</v>
      </c>
    </row>
    <row r="955" spans="1:28" x14ac:dyDescent="0.25">
      <c r="A955" t="s">
        <v>33</v>
      </c>
      <c r="B955" t="s">
        <v>3635</v>
      </c>
      <c r="C955" t="s">
        <v>21</v>
      </c>
      <c r="D955" t="s">
        <v>3635</v>
      </c>
      <c r="E955" t="s">
        <v>187</v>
      </c>
      <c r="F955" t="s">
        <v>3636</v>
      </c>
      <c r="G955" t="s">
        <v>24</v>
      </c>
      <c r="H955" s="1" t="s">
        <v>3637</v>
      </c>
      <c r="I955" t="s">
        <v>46</v>
      </c>
      <c r="N955" t="s">
        <v>309</v>
      </c>
      <c r="S955" t="s">
        <v>48</v>
      </c>
      <c r="V955" t="s">
        <v>5628</v>
      </c>
      <c r="W955" t="s">
        <v>5629</v>
      </c>
      <c r="X955" s="2">
        <f>IFERROR(VLOOKUP(I955,'Rate Sheet'!$D:$F,3,FALSE),0)</f>
        <v>14.333333333333334</v>
      </c>
      <c r="Y955" s="2">
        <f>IFERROR(VLOOKUP(J955,'Rate Sheet'!$D:$F,3,FALSE),0)</f>
        <v>0</v>
      </c>
      <c r="Z955" s="2">
        <f>IFERROR(VLOOKUP(K955,'Rate Sheet'!$D:$F,3,FALSE),0)</f>
        <v>0</v>
      </c>
      <c r="AA955" s="2">
        <f t="shared" si="15"/>
        <v>14.333333333333334</v>
      </c>
      <c r="AB955">
        <v>1</v>
      </c>
    </row>
    <row r="956" spans="1:28" x14ac:dyDescent="0.25">
      <c r="A956" t="s">
        <v>33</v>
      </c>
      <c r="B956" t="s">
        <v>3638</v>
      </c>
      <c r="C956" t="s">
        <v>21</v>
      </c>
      <c r="D956" t="s">
        <v>3638</v>
      </c>
      <c r="E956" t="s">
        <v>2466</v>
      </c>
      <c r="F956" t="s">
        <v>588</v>
      </c>
      <c r="G956" t="s">
        <v>24</v>
      </c>
      <c r="H956" t="s">
        <v>3639</v>
      </c>
      <c r="I956" t="s">
        <v>46</v>
      </c>
      <c r="N956" t="s">
        <v>171</v>
      </c>
      <c r="S956" t="s">
        <v>48</v>
      </c>
      <c r="V956" t="s">
        <v>5708</v>
      </c>
      <c r="W956" t="s">
        <v>5709</v>
      </c>
      <c r="X956" s="2">
        <f>IFERROR(VLOOKUP(I956,'Rate Sheet'!$D:$F,3,FALSE),0)</f>
        <v>14.333333333333334</v>
      </c>
      <c r="Y956" s="2">
        <f>IFERROR(VLOOKUP(J956,'Rate Sheet'!$D:$F,3,FALSE),0)</f>
        <v>0</v>
      </c>
      <c r="Z956" s="2">
        <f>IFERROR(VLOOKUP(K956,'Rate Sheet'!$D:$F,3,FALSE),0)</f>
        <v>0</v>
      </c>
      <c r="AA956" s="2">
        <f t="shared" si="15"/>
        <v>14.333333333333334</v>
      </c>
      <c r="AB956">
        <v>1</v>
      </c>
    </row>
    <row r="957" spans="1:28" x14ac:dyDescent="0.25">
      <c r="A957" t="s">
        <v>33</v>
      </c>
      <c r="B957" t="s">
        <v>3640</v>
      </c>
      <c r="C957" t="s">
        <v>21</v>
      </c>
      <c r="D957" t="s">
        <v>3640</v>
      </c>
      <c r="E957" t="s">
        <v>3641</v>
      </c>
      <c r="F957" t="s">
        <v>3642</v>
      </c>
      <c r="G957" t="s">
        <v>24</v>
      </c>
      <c r="H957" t="s">
        <v>3643</v>
      </c>
      <c r="I957" t="s">
        <v>46</v>
      </c>
      <c r="N957" t="s">
        <v>349</v>
      </c>
      <c r="S957" t="s">
        <v>48</v>
      </c>
      <c r="V957" t="s">
        <v>5630</v>
      </c>
      <c r="W957" t="s">
        <v>5631</v>
      </c>
      <c r="X957" s="2">
        <f>IFERROR(VLOOKUP(I957,'Rate Sheet'!$D:$F,3,FALSE),0)</f>
        <v>14.333333333333334</v>
      </c>
      <c r="Y957" s="2">
        <f>IFERROR(VLOOKUP(J957,'Rate Sheet'!$D:$F,3,FALSE),0)</f>
        <v>0</v>
      </c>
      <c r="Z957" s="2">
        <f>IFERROR(VLOOKUP(K957,'Rate Sheet'!$D:$F,3,FALSE),0)</f>
        <v>0</v>
      </c>
      <c r="AA957" s="2">
        <f t="shared" si="15"/>
        <v>14.333333333333334</v>
      </c>
      <c r="AB957">
        <v>1</v>
      </c>
    </row>
    <row r="958" spans="1:28" x14ac:dyDescent="0.25">
      <c r="A958" t="s">
        <v>33</v>
      </c>
      <c r="B958" t="s">
        <v>3644</v>
      </c>
      <c r="C958" t="s">
        <v>21</v>
      </c>
      <c r="D958" t="s">
        <v>3644</v>
      </c>
      <c r="E958" t="s">
        <v>3645</v>
      </c>
      <c r="F958" t="s">
        <v>3646</v>
      </c>
      <c r="G958" t="s">
        <v>24</v>
      </c>
      <c r="H958" t="s">
        <v>3647</v>
      </c>
      <c r="I958" t="s">
        <v>46</v>
      </c>
      <c r="N958" t="s">
        <v>171</v>
      </c>
      <c r="S958" t="s">
        <v>48</v>
      </c>
      <c r="V958" s="10" t="s">
        <v>5708</v>
      </c>
      <c r="W958" s="10" t="s">
        <v>5709</v>
      </c>
      <c r="X958" s="2">
        <f>IFERROR(VLOOKUP(I958,'Rate Sheet'!$D:$F,3,FALSE),0)</f>
        <v>14.333333333333334</v>
      </c>
      <c r="Y958" s="2">
        <f>IFERROR(VLOOKUP(J958,'Rate Sheet'!$D:$F,3,FALSE),0)</f>
        <v>0</v>
      </c>
      <c r="Z958" s="2">
        <f>IFERROR(VLOOKUP(K958,'Rate Sheet'!$D:$F,3,FALSE),0)</f>
        <v>0</v>
      </c>
      <c r="AA958" s="2">
        <f t="shared" si="15"/>
        <v>14.333333333333334</v>
      </c>
      <c r="AB958">
        <v>1</v>
      </c>
    </row>
    <row r="959" spans="1:28" x14ac:dyDescent="0.25">
      <c r="A959" t="s">
        <v>33</v>
      </c>
      <c r="B959" t="s">
        <v>3648</v>
      </c>
      <c r="C959" t="s">
        <v>21</v>
      </c>
      <c r="D959" t="s">
        <v>3649</v>
      </c>
      <c r="E959" t="s">
        <v>2864</v>
      </c>
      <c r="F959" t="s">
        <v>3650</v>
      </c>
      <c r="G959" t="s">
        <v>24</v>
      </c>
      <c r="H959" t="s">
        <v>3651</v>
      </c>
      <c r="I959" t="s">
        <v>882</v>
      </c>
      <c r="J959" t="s">
        <v>5562</v>
      </c>
      <c r="K959" t="s">
        <v>3206</v>
      </c>
      <c r="N959" t="s">
        <v>3653</v>
      </c>
      <c r="S959" t="s">
        <v>3654</v>
      </c>
      <c r="V959" t="s">
        <v>5752</v>
      </c>
      <c r="W959" t="s">
        <v>5753</v>
      </c>
      <c r="X959" s="2">
        <f>IFERROR(VLOOKUP(I959,'Rate Sheet'!$D:$F,3,FALSE),0)</f>
        <v>35.979166666666664</v>
      </c>
      <c r="Y959" s="2">
        <f>IFERROR(VLOOKUP(J959,'Rate Sheet'!$D:$F,3,FALSE),0)</f>
        <v>34.873750000000001</v>
      </c>
      <c r="Z959" s="2">
        <f>IFERROR(VLOOKUP(K959,'Rate Sheet'!$D:$F,3,FALSE),0)</f>
        <v>36.357500000000002</v>
      </c>
      <c r="AA959" s="2">
        <f t="shared" si="15"/>
        <v>107.21041666666666</v>
      </c>
      <c r="AB959">
        <v>1</v>
      </c>
    </row>
    <row r="960" spans="1:28" x14ac:dyDescent="0.25">
      <c r="A960" t="s">
        <v>33</v>
      </c>
      <c r="B960" t="s">
        <v>3655</v>
      </c>
      <c r="C960" t="s">
        <v>21</v>
      </c>
      <c r="D960" t="s">
        <v>3655</v>
      </c>
      <c r="E960" t="s">
        <v>302</v>
      </c>
      <c r="F960" t="s">
        <v>3656</v>
      </c>
      <c r="G960" t="s">
        <v>24</v>
      </c>
      <c r="H960" t="s">
        <v>3657</v>
      </c>
      <c r="I960" t="s">
        <v>46</v>
      </c>
      <c r="N960" t="s">
        <v>53</v>
      </c>
      <c r="S960" t="s">
        <v>48</v>
      </c>
      <c r="V960" t="s">
        <v>5580</v>
      </c>
      <c r="W960" t="s">
        <v>5581</v>
      </c>
      <c r="X960" s="2">
        <f>IFERROR(VLOOKUP(I960,'Rate Sheet'!$D:$F,3,FALSE),0)</f>
        <v>14.333333333333334</v>
      </c>
      <c r="Y960" s="2">
        <f>IFERROR(VLOOKUP(J960,'Rate Sheet'!$D:$F,3,FALSE),0)</f>
        <v>0</v>
      </c>
      <c r="Z960" s="2">
        <f>IFERROR(VLOOKUP(K960,'Rate Sheet'!$D:$F,3,FALSE),0)</f>
        <v>0</v>
      </c>
      <c r="AA960" s="2">
        <f t="shared" si="15"/>
        <v>14.333333333333334</v>
      </c>
      <c r="AB960">
        <v>1</v>
      </c>
    </row>
    <row r="961" spans="1:28" x14ac:dyDescent="0.25">
      <c r="A961" t="s">
        <v>33</v>
      </c>
      <c r="B961" t="s">
        <v>3658</v>
      </c>
      <c r="C961" t="s">
        <v>21</v>
      </c>
      <c r="D961" t="s">
        <v>3658</v>
      </c>
      <c r="E961" t="s">
        <v>1813</v>
      </c>
      <c r="F961" t="s">
        <v>3659</v>
      </c>
      <c r="G961" t="s">
        <v>24</v>
      </c>
      <c r="H961" t="s">
        <v>3660</v>
      </c>
      <c r="N961" t="s">
        <v>484</v>
      </c>
      <c r="X961" s="2">
        <f>IFERROR(VLOOKUP(I961,'Rate Sheet'!$D:$F,3,FALSE),0)</f>
        <v>0</v>
      </c>
      <c r="Y961" s="2">
        <f>IFERROR(VLOOKUP(J961,'Rate Sheet'!$D:$F,3,FALSE),0)</f>
        <v>0</v>
      </c>
      <c r="Z961" s="2">
        <f>IFERROR(VLOOKUP(K961,'Rate Sheet'!$D:$F,3,FALSE),0)</f>
        <v>0</v>
      </c>
      <c r="AA961" s="2">
        <f t="shared" si="15"/>
        <v>0</v>
      </c>
    </row>
    <row r="962" spans="1:28" x14ac:dyDescent="0.25">
      <c r="A962" t="s">
        <v>33</v>
      </c>
      <c r="B962" t="s">
        <v>3661</v>
      </c>
      <c r="C962" t="s">
        <v>21</v>
      </c>
      <c r="D962" t="s">
        <v>3661</v>
      </c>
      <c r="E962" t="s">
        <v>1706</v>
      </c>
      <c r="F962" t="s">
        <v>3662</v>
      </c>
      <c r="G962" t="s">
        <v>24</v>
      </c>
      <c r="H962" t="s">
        <v>3663</v>
      </c>
      <c r="I962" t="s">
        <v>46</v>
      </c>
      <c r="J962" t="s">
        <v>5565</v>
      </c>
      <c r="N962" t="s">
        <v>2925</v>
      </c>
      <c r="S962" t="s">
        <v>3601</v>
      </c>
      <c r="V962" t="s">
        <v>5737</v>
      </c>
      <c r="W962" t="s">
        <v>5738</v>
      </c>
      <c r="X962" s="2">
        <f>IFERROR(VLOOKUP(I962,'Rate Sheet'!$D:$F,3,FALSE),0)</f>
        <v>14.333333333333334</v>
      </c>
      <c r="Y962" s="2">
        <f>IFERROR(VLOOKUP(J962,'Rate Sheet'!$D:$F,3,FALSE),0)</f>
        <v>0</v>
      </c>
      <c r="Z962" s="2">
        <f>IFERROR(VLOOKUP(K962,'Rate Sheet'!$D:$F,3,FALSE),0)</f>
        <v>0</v>
      </c>
      <c r="AA962" s="2">
        <f t="shared" si="15"/>
        <v>14.333333333333334</v>
      </c>
      <c r="AB962">
        <v>1</v>
      </c>
    </row>
    <row r="963" spans="1:28" x14ac:dyDescent="0.25">
      <c r="A963" t="s">
        <v>33</v>
      </c>
      <c r="B963" t="s">
        <v>3664</v>
      </c>
      <c r="C963" t="s">
        <v>29</v>
      </c>
      <c r="D963" t="s">
        <v>3664</v>
      </c>
      <c r="E963" t="s">
        <v>3665</v>
      </c>
      <c r="F963" t="s">
        <v>3666</v>
      </c>
      <c r="G963" t="s">
        <v>24</v>
      </c>
      <c r="H963" t="s">
        <v>3667</v>
      </c>
      <c r="I963" t="s">
        <v>46</v>
      </c>
      <c r="N963" t="s">
        <v>511</v>
      </c>
      <c r="S963" t="s">
        <v>48</v>
      </c>
      <c r="V963" t="s">
        <v>5617</v>
      </c>
      <c r="W963" t="s">
        <v>511</v>
      </c>
      <c r="X963" s="2">
        <f>IFERROR(VLOOKUP(I963,'Rate Sheet'!$D:$F,3,FALSE),0)</f>
        <v>14.333333333333334</v>
      </c>
      <c r="Y963" s="2">
        <f>IFERROR(VLOOKUP(J963,'Rate Sheet'!$D:$F,3,FALSE),0)</f>
        <v>0</v>
      </c>
      <c r="Z963" s="2">
        <f>IFERROR(VLOOKUP(K963,'Rate Sheet'!$D:$F,3,FALSE),0)</f>
        <v>0</v>
      </c>
      <c r="AA963" s="2">
        <f t="shared" si="15"/>
        <v>14.333333333333334</v>
      </c>
      <c r="AB963">
        <v>1</v>
      </c>
    </row>
    <row r="964" spans="1:28" x14ac:dyDescent="0.25">
      <c r="A964" t="s">
        <v>33</v>
      </c>
      <c r="B964" t="s">
        <v>3668</v>
      </c>
      <c r="C964" t="s">
        <v>21</v>
      </c>
      <c r="D964" t="s">
        <v>3669</v>
      </c>
      <c r="E964" t="s">
        <v>3670</v>
      </c>
      <c r="F964" t="s">
        <v>330</v>
      </c>
      <c r="G964" t="s">
        <v>24</v>
      </c>
      <c r="H964" t="s">
        <v>3671</v>
      </c>
      <c r="I964" t="s">
        <v>46</v>
      </c>
      <c r="J964" t="s">
        <v>882</v>
      </c>
      <c r="K964" t="s">
        <v>5562</v>
      </c>
      <c r="N964" t="s">
        <v>3653</v>
      </c>
      <c r="S964" t="s">
        <v>454</v>
      </c>
      <c r="V964" t="s">
        <v>5752</v>
      </c>
      <c r="W964" t="s">
        <v>5753</v>
      </c>
      <c r="X964" s="2">
        <f>IFERROR(VLOOKUP(I964,'Rate Sheet'!$D:$F,3,FALSE),0)</f>
        <v>14.333333333333334</v>
      </c>
      <c r="Y964" s="2">
        <f>IFERROR(VLOOKUP(J964,'Rate Sheet'!$D:$F,3,FALSE),0)</f>
        <v>35.979166666666664</v>
      </c>
      <c r="Z964" s="2">
        <f>IFERROR(VLOOKUP(K964,'Rate Sheet'!$D:$F,3,FALSE),0)</f>
        <v>34.873750000000001</v>
      </c>
      <c r="AA964" s="2">
        <f t="shared" si="15"/>
        <v>85.186250000000001</v>
      </c>
      <c r="AB964">
        <v>1</v>
      </c>
    </row>
    <row r="965" spans="1:28" x14ac:dyDescent="0.25">
      <c r="A965" t="s">
        <v>33</v>
      </c>
      <c r="B965" t="s">
        <v>3672</v>
      </c>
      <c r="C965" t="s">
        <v>21</v>
      </c>
      <c r="D965" t="s">
        <v>3672</v>
      </c>
      <c r="E965" t="s">
        <v>3673</v>
      </c>
      <c r="F965" t="s">
        <v>3674</v>
      </c>
      <c r="G965" t="s">
        <v>24</v>
      </c>
      <c r="H965" t="s">
        <v>3675</v>
      </c>
      <c r="I965" t="s">
        <v>73</v>
      </c>
      <c r="N965" t="s">
        <v>292</v>
      </c>
      <c r="S965" t="s">
        <v>75</v>
      </c>
      <c r="V965" t="s">
        <v>5624</v>
      </c>
      <c r="W965" t="s">
        <v>292</v>
      </c>
      <c r="X965" s="2">
        <f>IFERROR(VLOOKUP(I965,'Rate Sheet'!$D:$F,3,FALSE),0)</f>
        <v>8.6983333333333324</v>
      </c>
      <c r="Y965" s="2">
        <f>IFERROR(VLOOKUP(J965,'Rate Sheet'!$D:$F,3,FALSE),0)</f>
        <v>0</v>
      </c>
      <c r="Z965" s="2">
        <f>IFERROR(VLOOKUP(K965,'Rate Sheet'!$D:$F,3,FALSE),0)</f>
        <v>0</v>
      </c>
      <c r="AA965" s="2">
        <f t="shared" si="15"/>
        <v>8.6983333333333324</v>
      </c>
      <c r="AB965">
        <v>1</v>
      </c>
    </row>
    <row r="966" spans="1:28" x14ac:dyDescent="0.25">
      <c r="A966" t="s">
        <v>33</v>
      </c>
      <c r="B966" t="s">
        <v>3676</v>
      </c>
      <c r="C966" t="s">
        <v>21</v>
      </c>
      <c r="D966" t="s">
        <v>3676</v>
      </c>
      <c r="E966" t="s">
        <v>723</v>
      </c>
      <c r="F966" t="s">
        <v>3677</v>
      </c>
      <c r="G966" t="s">
        <v>24</v>
      </c>
      <c r="H966" t="s">
        <v>3678</v>
      </c>
      <c r="I966" t="s">
        <v>46</v>
      </c>
      <c r="N966" t="s">
        <v>1981</v>
      </c>
      <c r="S966" t="s">
        <v>48</v>
      </c>
      <c r="V966" t="s">
        <v>5718</v>
      </c>
      <c r="W966" t="s">
        <v>1981</v>
      </c>
      <c r="X966" s="2">
        <f>IFERROR(VLOOKUP(I966,'Rate Sheet'!$D:$F,3,FALSE),0)</f>
        <v>14.333333333333334</v>
      </c>
      <c r="Y966" s="2">
        <f>IFERROR(VLOOKUP(J966,'Rate Sheet'!$D:$F,3,FALSE),0)</f>
        <v>0</v>
      </c>
      <c r="Z966" s="2">
        <f>IFERROR(VLOOKUP(K966,'Rate Sheet'!$D:$F,3,FALSE),0)</f>
        <v>0</v>
      </c>
      <c r="AA966" s="2">
        <f t="shared" si="15"/>
        <v>14.333333333333334</v>
      </c>
      <c r="AB966">
        <v>1</v>
      </c>
    </row>
    <row r="967" spans="1:28" x14ac:dyDescent="0.25">
      <c r="A967" t="s">
        <v>33</v>
      </c>
      <c r="B967" t="s">
        <v>3679</v>
      </c>
      <c r="C967" t="s">
        <v>21</v>
      </c>
      <c r="D967" t="s">
        <v>3679</v>
      </c>
      <c r="E967" t="s">
        <v>3680</v>
      </c>
      <c r="F967" t="s">
        <v>330</v>
      </c>
      <c r="G967" t="s">
        <v>24</v>
      </c>
      <c r="H967" t="s">
        <v>3681</v>
      </c>
      <c r="I967" t="s">
        <v>46</v>
      </c>
      <c r="N967" t="s">
        <v>1042</v>
      </c>
      <c r="S967" t="s">
        <v>48</v>
      </c>
      <c r="V967" s="10" t="s">
        <v>5683</v>
      </c>
      <c r="W967" s="10" t="s">
        <v>5684</v>
      </c>
      <c r="X967" s="2">
        <f>IFERROR(VLOOKUP(I967,'Rate Sheet'!$D:$F,3,FALSE),0)</f>
        <v>14.333333333333334</v>
      </c>
      <c r="Y967" s="2">
        <f>IFERROR(VLOOKUP(J967,'Rate Sheet'!$D:$F,3,FALSE),0)</f>
        <v>0</v>
      </c>
      <c r="Z967" s="2">
        <f>IFERROR(VLOOKUP(K967,'Rate Sheet'!$D:$F,3,FALSE),0)</f>
        <v>0</v>
      </c>
      <c r="AA967" s="2">
        <f t="shared" si="15"/>
        <v>14.333333333333334</v>
      </c>
      <c r="AB967">
        <v>1</v>
      </c>
    </row>
    <row r="968" spans="1:28" x14ac:dyDescent="0.25">
      <c r="A968" t="s">
        <v>33</v>
      </c>
      <c r="B968" t="s">
        <v>3682</v>
      </c>
      <c r="C968" t="s">
        <v>21</v>
      </c>
      <c r="D968" t="s">
        <v>3682</v>
      </c>
      <c r="E968" t="s">
        <v>87</v>
      </c>
      <c r="F968" t="s">
        <v>436</v>
      </c>
      <c r="G968" t="s">
        <v>24</v>
      </c>
      <c r="H968" t="s">
        <v>3683</v>
      </c>
      <c r="I968" t="s">
        <v>73</v>
      </c>
      <c r="N968" t="s">
        <v>3684</v>
      </c>
      <c r="S968" t="s">
        <v>75</v>
      </c>
      <c r="V968" t="s">
        <v>5754</v>
      </c>
      <c r="W968" t="s">
        <v>3684</v>
      </c>
      <c r="X968" s="2">
        <f>IFERROR(VLOOKUP(I968,'Rate Sheet'!$D:$F,3,FALSE),0)</f>
        <v>8.6983333333333324</v>
      </c>
      <c r="Y968" s="2">
        <f>IFERROR(VLOOKUP(J968,'Rate Sheet'!$D:$F,3,FALSE),0)</f>
        <v>0</v>
      </c>
      <c r="Z968" s="2">
        <f>IFERROR(VLOOKUP(K968,'Rate Sheet'!$D:$F,3,FALSE),0)</f>
        <v>0</v>
      </c>
      <c r="AA968" s="2">
        <f t="shared" si="15"/>
        <v>8.6983333333333324</v>
      </c>
      <c r="AB968">
        <v>1</v>
      </c>
    </row>
    <row r="969" spans="1:28" x14ac:dyDescent="0.25">
      <c r="A969" t="s">
        <v>33</v>
      </c>
      <c r="B969" t="s">
        <v>3685</v>
      </c>
      <c r="C969" t="s">
        <v>21</v>
      </c>
      <c r="D969" t="s">
        <v>3685</v>
      </c>
      <c r="E969" t="s">
        <v>3686</v>
      </c>
      <c r="F969" t="s">
        <v>3687</v>
      </c>
      <c r="G969" t="s">
        <v>24</v>
      </c>
      <c r="H969" t="s">
        <v>3688</v>
      </c>
      <c r="N969" t="s">
        <v>90</v>
      </c>
      <c r="X969" s="2">
        <f>IFERROR(VLOOKUP(I969,'Rate Sheet'!$D:$F,3,FALSE),0)</f>
        <v>0</v>
      </c>
      <c r="Y969" s="2">
        <f>IFERROR(VLOOKUP(J969,'Rate Sheet'!$D:$F,3,FALSE),0)</f>
        <v>0</v>
      </c>
      <c r="Z969" s="2">
        <f>IFERROR(VLOOKUP(K969,'Rate Sheet'!$D:$F,3,FALSE),0)</f>
        <v>0</v>
      </c>
      <c r="AA969" s="2">
        <f t="shared" si="15"/>
        <v>0</v>
      </c>
    </row>
    <row r="970" spans="1:28" x14ac:dyDescent="0.25">
      <c r="A970" t="s">
        <v>33</v>
      </c>
      <c r="B970" t="s">
        <v>3689</v>
      </c>
      <c r="C970" t="s">
        <v>21</v>
      </c>
      <c r="D970" t="s">
        <v>3689</v>
      </c>
      <c r="E970" t="s">
        <v>367</v>
      </c>
      <c r="F970" t="s">
        <v>3690</v>
      </c>
      <c r="G970" t="s">
        <v>24</v>
      </c>
      <c r="H970" t="s">
        <v>3691</v>
      </c>
      <c r="N970" t="s">
        <v>171</v>
      </c>
      <c r="X970" s="2">
        <f>IFERROR(VLOOKUP(I970,'Rate Sheet'!$D:$F,3,FALSE),0)</f>
        <v>0</v>
      </c>
      <c r="Y970" s="2">
        <f>IFERROR(VLOOKUP(J970,'Rate Sheet'!$D:$F,3,FALSE),0)</f>
        <v>0</v>
      </c>
      <c r="Z970" s="2">
        <f>IFERROR(VLOOKUP(K970,'Rate Sheet'!$D:$F,3,FALSE),0)</f>
        <v>0</v>
      </c>
      <c r="AA970" s="2">
        <f t="shared" si="15"/>
        <v>0</v>
      </c>
    </row>
    <row r="971" spans="1:28" x14ac:dyDescent="0.25">
      <c r="A971" t="s">
        <v>33</v>
      </c>
      <c r="B971" t="s">
        <v>3692</v>
      </c>
      <c r="C971" t="s">
        <v>21</v>
      </c>
      <c r="D971" t="s">
        <v>3692</v>
      </c>
      <c r="E971" t="s">
        <v>3693</v>
      </c>
      <c r="F971" t="s">
        <v>3694</v>
      </c>
      <c r="G971" t="s">
        <v>24</v>
      </c>
      <c r="H971" t="s">
        <v>3695</v>
      </c>
      <c r="I971" t="s">
        <v>73</v>
      </c>
      <c r="N971" t="s">
        <v>349</v>
      </c>
      <c r="S971" t="s">
        <v>75</v>
      </c>
      <c r="V971" t="s">
        <v>5630</v>
      </c>
      <c r="W971" t="s">
        <v>5631</v>
      </c>
      <c r="X971" s="2">
        <f>IFERROR(VLOOKUP(I971,'Rate Sheet'!$D:$F,3,FALSE),0)</f>
        <v>8.6983333333333324</v>
      </c>
      <c r="Y971" s="2">
        <f>IFERROR(VLOOKUP(J971,'Rate Sheet'!$D:$F,3,FALSE),0)</f>
        <v>0</v>
      </c>
      <c r="Z971" s="2">
        <f>IFERROR(VLOOKUP(K971,'Rate Sheet'!$D:$F,3,FALSE),0)</f>
        <v>0</v>
      </c>
      <c r="AA971" s="2">
        <f t="shared" si="15"/>
        <v>8.6983333333333324</v>
      </c>
      <c r="AB971">
        <v>1</v>
      </c>
    </row>
    <row r="972" spans="1:28" x14ac:dyDescent="0.25">
      <c r="A972" t="s">
        <v>33</v>
      </c>
      <c r="B972" t="s">
        <v>3696</v>
      </c>
      <c r="C972" t="s">
        <v>21</v>
      </c>
      <c r="D972" t="s">
        <v>3696</v>
      </c>
      <c r="E972" t="s">
        <v>894</v>
      </c>
      <c r="F972" t="s">
        <v>3697</v>
      </c>
      <c r="G972" t="s">
        <v>24</v>
      </c>
      <c r="H972" t="s">
        <v>3698</v>
      </c>
      <c r="I972" t="s">
        <v>46</v>
      </c>
      <c r="N972" t="s">
        <v>1923</v>
      </c>
      <c r="S972" t="s">
        <v>48</v>
      </c>
      <c r="V972" t="s">
        <v>5666</v>
      </c>
      <c r="W972" t="s">
        <v>1923</v>
      </c>
      <c r="X972" s="2">
        <f>IFERROR(VLOOKUP(I972,'Rate Sheet'!$D:$F,3,FALSE),0)</f>
        <v>14.333333333333334</v>
      </c>
      <c r="Y972" s="2">
        <f>IFERROR(VLOOKUP(J972,'Rate Sheet'!$D:$F,3,FALSE),0)</f>
        <v>0</v>
      </c>
      <c r="Z972" s="2">
        <f>IFERROR(VLOOKUP(K972,'Rate Sheet'!$D:$F,3,FALSE),0)</f>
        <v>0</v>
      </c>
      <c r="AA972" s="2">
        <f t="shared" si="15"/>
        <v>14.333333333333334</v>
      </c>
      <c r="AB972">
        <v>1</v>
      </c>
    </row>
    <row r="973" spans="1:28" x14ac:dyDescent="0.25">
      <c r="A973" t="s">
        <v>33</v>
      </c>
      <c r="B973" t="s">
        <v>3699</v>
      </c>
      <c r="C973" t="s">
        <v>21</v>
      </c>
      <c r="D973" t="s">
        <v>3699</v>
      </c>
      <c r="E973" t="s">
        <v>3700</v>
      </c>
      <c r="F973" t="s">
        <v>3701</v>
      </c>
      <c r="G973" t="s">
        <v>24</v>
      </c>
      <c r="H973" t="s">
        <v>3702</v>
      </c>
      <c r="I973" t="s">
        <v>46</v>
      </c>
      <c r="N973" t="s">
        <v>38</v>
      </c>
      <c r="S973" t="s">
        <v>48</v>
      </c>
      <c r="V973" t="s">
        <v>5582</v>
      </c>
      <c r="W973" t="s">
        <v>5583</v>
      </c>
      <c r="X973" s="2">
        <f>IFERROR(VLOOKUP(I973,'Rate Sheet'!$D:$F,3,FALSE),0)</f>
        <v>14.333333333333334</v>
      </c>
      <c r="Y973" s="2">
        <f>IFERROR(VLOOKUP(J973,'Rate Sheet'!$D:$F,3,FALSE),0)</f>
        <v>0</v>
      </c>
      <c r="Z973" s="2">
        <f>IFERROR(VLOOKUP(K973,'Rate Sheet'!$D:$F,3,FALSE),0)</f>
        <v>0</v>
      </c>
      <c r="AA973" s="2">
        <f t="shared" si="15"/>
        <v>14.333333333333334</v>
      </c>
      <c r="AB973">
        <v>1</v>
      </c>
    </row>
    <row r="974" spans="1:28" x14ac:dyDescent="0.25">
      <c r="A974" t="s">
        <v>33</v>
      </c>
      <c r="B974" t="s">
        <v>3703</v>
      </c>
      <c r="C974" t="s">
        <v>21</v>
      </c>
      <c r="D974" t="s">
        <v>3703</v>
      </c>
      <c r="E974" t="s">
        <v>70</v>
      </c>
      <c r="F974" t="s">
        <v>822</v>
      </c>
      <c r="G974" t="s">
        <v>24</v>
      </c>
      <c r="H974" t="s">
        <v>3704</v>
      </c>
      <c r="I974" t="s">
        <v>46</v>
      </c>
      <c r="N974" t="s">
        <v>171</v>
      </c>
      <c r="S974" t="s">
        <v>48</v>
      </c>
      <c r="V974" t="s">
        <v>5708</v>
      </c>
      <c r="W974" t="s">
        <v>5709</v>
      </c>
      <c r="X974" s="2">
        <f>IFERROR(VLOOKUP(I974,'Rate Sheet'!$D:$F,3,FALSE),0)</f>
        <v>14.333333333333334</v>
      </c>
      <c r="Y974" s="2">
        <f>IFERROR(VLOOKUP(J974,'Rate Sheet'!$D:$F,3,FALSE),0)</f>
        <v>0</v>
      </c>
      <c r="Z974" s="2">
        <f>IFERROR(VLOOKUP(K974,'Rate Sheet'!$D:$F,3,FALSE),0)</f>
        <v>0</v>
      </c>
      <c r="AA974" s="2">
        <f t="shared" si="15"/>
        <v>14.333333333333334</v>
      </c>
      <c r="AB974">
        <v>1</v>
      </c>
    </row>
    <row r="975" spans="1:28" x14ac:dyDescent="0.25">
      <c r="A975" t="s">
        <v>33</v>
      </c>
      <c r="B975" t="s">
        <v>3705</v>
      </c>
      <c r="C975" t="s">
        <v>21</v>
      </c>
      <c r="D975" t="s">
        <v>3705</v>
      </c>
      <c r="E975" t="s">
        <v>2480</v>
      </c>
      <c r="F975" t="s">
        <v>3706</v>
      </c>
      <c r="G975" t="s">
        <v>24</v>
      </c>
      <c r="H975" t="s">
        <v>3707</v>
      </c>
      <c r="I975" t="s">
        <v>73</v>
      </c>
      <c r="N975" t="s">
        <v>697</v>
      </c>
      <c r="S975" t="s">
        <v>75</v>
      </c>
      <c r="V975" t="s">
        <v>5692</v>
      </c>
      <c r="W975" t="s">
        <v>5693</v>
      </c>
      <c r="X975" s="2">
        <f>IFERROR(VLOOKUP(I975,'Rate Sheet'!$D:$F,3,FALSE),0)</f>
        <v>8.6983333333333324</v>
      </c>
      <c r="Y975" s="2">
        <f>IFERROR(VLOOKUP(J975,'Rate Sheet'!$D:$F,3,FALSE),0)</f>
        <v>0</v>
      </c>
      <c r="Z975" s="2">
        <f>IFERROR(VLOOKUP(K975,'Rate Sheet'!$D:$F,3,FALSE),0)</f>
        <v>0</v>
      </c>
      <c r="AA975" s="2">
        <f t="shared" si="15"/>
        <v>8.6983333333333324</v>
      </c>
      <c r="AB975">
        <v>1</v>
      </c>
    </row>
    <row r="976" spans="1:28" x14ac:dyDescent="0.25">
      <c r="A976" t="s">
        <v>33</v>
      </c>
      <c r="B976" t="s">
        <v>3708</v>
      </c>
      <c r="C976" t="s">
        <v>29</v>
      </c>
      <c r="D976" t="s">
        <v>3708</v>
      </c>
      <c r="E976" t="s">
        <v>187</v>
      </c>
      <c r="F976" t="s">
        <v>3709</v>
      </c>
      <c r="G976" t="s">
        <v>24</v>
      </c>
      <c r="H976" t="s">
        <v>3710</v>
      </c>
      <c r="I976" t="s">
        <v>46</v>
      </c>
      <c r="N976" t="s">
        <v>246</v>
      </c>
      <c r="S976" t="s">
        <v>48</v>
      </c>
      <c r="V976" t="s">
        <v>5661</v>
      </c>
      <c r="W976" t="s">
        <v>246</v>
      </c>
      <c r="X976" s="2">
        <f>IFERROR(VLOOKUP(I976,'Rate Sheet'!$D:$F,3,FALSE),0)</f>
        <v>14.333333333333334</v>
      </c>
      <c r="Y976" s="2">
        <f>IFERROR(VLOOKUP(J976,'Rate Sheet'!$D:$F,3,FALSE),0)</f>
        <v>0</v>
      </c>
      <c r="Z976" s="2">
        <f>IFERROR(VLOOKUP(K976,'Rate Sheet'!$D:$F,3,FALSE),0)</f>
        <v>0</v>
      </c>
      <c r="AA976" s="2">
        <f t="shared" si="15"/>
        <v>14.333333333333334</v>
      </c>
      <c r="AB976">
        <v>1</v>
      </c>
    </row>
    <row r="977" spans="1:28" x14ac:dyDescent="0.25">
      <c r="A977" t="s">
        <v>33</v>
      </c>
      <c r="B977" t="s">
        <v>3711</v>
      </c>
      <c r="C977" t="s">
        <v>21</v>
      </c>
      <c r="D977" t="s">
        <v>3712</v>
      </c>
      <c r="E977" t="s">
        <v>2864</v>
      </c>
      <c r="F977" t="s">
        <v>3713</v>
      </c>
      <c r="G977" t="s">
        <v>24</v>
      </c>
      <c r="H977" t="s">
        <v>3714</v>
      </c>
      <c r="N977" t="s">
        <v>2329</v>
      </c>
      <c r="X977" s="2">
        <f>IFERROR(VLOOKUP(I977,'Rate Sheet'!$D:$F,3,FALSE),0)</f>
        <v>0</v>
      </c>
      <c r="Y977" s="2">
        <f>IFERROR(VLOOKUP(J977,'Rate Sheet'!$D:$F,3,FALSE),0)</f>
        <v>0</v>
      </c>
      <c r="Z977" s="2">
        <f>IFERROR(VLOOKUP(K977,'Rate Sheet'!$D:$F,3,FALSE),0)</f>
        <v>0</v>
      </c>
      <c r="AA977" s="2">
        <f t="shared" si="15"/>
        <v>0</v>
      </c>
    </row>
    <row r="978" spans="1:28" x14ac:dyDescent="0.25">
      <c r="A978" t="s">
        <v>33</v>
      </c>
      <c r="B978" t="s">
        <v>3715</v>
      </c>
      <c r="C978" t="s">
        <v>21</v>
      </c>
      <c r="D978" t="s">
        <v>3715</v>
      </c>
      <c r="E978" t="s">
        <v>3716</v>
      </c>
      <c r="F978" t="s">
        <v>3717</v>
      </c>
      <c r="G978" t="s">
        <v>24</v>
      </c>
      <c r="H978" t="s">
        <v>3718</v>
      </c>
      <c r="N978" t="s">
        <v>273</v>
      </c>
      <c r="X978" s="2">
        <f>IFERROR(VLOOKUP(I978,'Rate Sheet'!$D:$F,3,FALSE),0)</f>
        <v>0</v>
      </c>
      <c r="Y978" s="2">
        <f>IFERROR(VLOOKUP(J978,'Rate Sheet'!$D:$F,3,FALSE),0)</f>
        <v>0</v>
      </c>
      <c r="Z978" s="2">
        <f>IFERROR(VLOOKUP(K978,'Rate Sheet'!$D:$F,3,FALSE),0)</f>
        <v>0</v>
      </c>
      <c r="AA978" s="2">
        <f t="shared" si="15"/>
        <v>0</v>
      </c>
    </row>
    <row r="979" spans="1:28" x14ac:dyDescent="0.25">
      <c r="A979" t="s">
        <v>33</v>
      </c>
      <c r="B979" t="s">
        <v>3719</v>
      </c>
      <c r="C979" t="s">
        <v>21</v>
      </c>
      <c r="D979" t="s">
        <v>3719</v>
      </c>
      <c r="E979" t="s">
        <v>140</v>
      </c>
      <c r="F979" t="s">
        <v>3720</v>
      </c>
      <c r="G979" t="s">
        <v>24</v>
      </c>
      <c r="H979" t="s">
        <v>3721</v>
      </c>
      <c r="I979" t="s">
        <v>46</v>
      </c>
      <c r="N979" t="s">
        <v>389</v>
      </c>
      <c r="S979" t="s">
        <v>48</v>
      </c>
      <c r="V979" t="s">
        <v>5640</v>
      </c>
      <c r="W979" t="s">
        <v>5641</v>
      </c>
      <c r="X979" s="2">
        <f>IFERROR(VLOOKUP(I979,'Rate Sheet'!$D:$F,3,FALSE),0)</f>
        <v>14.333333333333334</v>
      </c>
      <c r="Y979" s="2">
        <f>IFERROR(VLOOKUP(J979,'Rate Sheet'!$D:$F,3,FALSE),0)</f>
        <v>0</v>
      </c>
      <c r="Z979" s="2">
        <f>IFERROR(VLOOKUP(K979,'Rate Sheet'!$D:$F,3,FALSE),0)</f>
        <v>0</v>
      </c>
      <c r="AA979" s="2">
        <f t="shared" si="15"/>
        <v>14.333333333333334</v>
      </c>
      <c r="AB979">
        <v>1</v>
      </c>
    </row>
    <row r="980" spans="1:28" x14ac:dyDescent="0.25">
      <c r="A980" t="s">
        <v>33</v>
      </c>
      <c r="B980" t="s">
        <v>3722</v>
      </c>
      <c r="C980" t="s">
        <v>21</v>
      </c>
      <c r="D980" t="s">
        <v>3722</v>
      </c>
      <c r="E980" t="s">
        <v>3723</v>
      </c>
      <c r="F980" t="s">
        <v>3724</v>
      </c>
      <c r="G980" t="s">
        <v>24</v>
      </c>
      <c r="H980" t="s">
        <v>3725</v>
      </c>
      <c r="I980" t="s">
        <v>46</v>
      </c>
      <c r="N980" t="s">
        <v>90</v>
      </c>
      <c r="S980" t="s">
        <v>48</v>
      </c>
      <c r="V980" t="s">
        <v>5591</v>
      </c>
      <c r="W980" t="s">
        <v>90</v>
      </c>
      <c r="X980" s="2">
        <f>IFERROR(VLOOKUP(I980,'Rate Sheet'!$D:$F,3,FALSE),0)</f>
        <v>14.333333333333334</v>
      </c>
      <c r="Y980" s="2">
        <f>IFERROR(VLOOKUP(J980,'Rate Sheet'!$D:$F,3,FALSE),0)</f>
        <v>0</v>
      </c>
      <c r="Z980" s="2">
        <f>IFERROR(VLOOKUP(K980,'Rate Sheet'!$D:$F,3,FALSE),0)</f>
        <v>0</v>
      </c>
      <c r="AA980" s="2">
        <f t="shared" si="15"/>
        <v>14.333333333333334</v>
      </c>
      <c r="AB980">
        <v>1</v>
      </c>
    </row>
    <row r="981" spans="1:28" x14ac:dyDescent="0.25">
      <c r="A981" t="s">
        <v>33</v>
      </c>
      <c r="B981" t="s">
        <v>3726</v>
      </c>
      <c r="C981" t="s">
        <v>21</v>
      </c>
      <c r="D981" t="s">
        <v>3726</v>
      </c>
      <c r="E981" t="s">
        <v>2941</v>
      </c>
      <c r="F981" t="s">
        <v>3727</v>
      </c>
      <c r="G981" t="s">
        <v>24</v>
      </c>
      <c r="H981" t="s">
        <v>3728</v>
      </c>
      <c r="I981" t="s">
        <v>46</v>
      </c>
      <c r="N981" t="s">
        <v>90</v>
      </c>
      <c r="S981" t="s">
        <v>48</v>
      </c>
      <c r="V981" t="s">
        <v>5591</v>
      </c>
      <c r="W981" t="s">
        <v>90</v>
      </c>
      <c r="X981" s="2">
        <f>IFERROR(VLOOKUP(I981,'Rate Sheet'!$D:$F,3,FALSE),0)</f>
        <v>14.333333333333334</v>
      </c>
      <c r="Y981" s="2">
        <f>IFERROR(VLOOKUP(J981,'Rate Sheet'!$D:$F,3,FALSE),0)</f>
        <v>0</v>
      </c>
      <c r="Z981" s="2">
        <f>IFERROR(VLOOKUP(K981,'Rate Sheet'!$D:$F,3,FALSE),0)</f>
        <v>0</v>
      </c>
      <c r="AA981" s="2">
        <f t="shared" si="15"/>
        <v>14.333333333333334</v>
      </c>
      <c r="AB981">
        <v>1</v>
      </c>
    </row>
    <row r="982" spans="1:28" x14ac:dyDescent="0.25">
      <c r="A982" t="s">
        <v>33</v>
      </c>
      <c r="B982" t="s">
        <v>3729</v>
      </c>
      <c r="C982" t="s">
        <v>21</v>
      </c>
      <c r="D982" t="s">
        <v>3729</v>
      </c>
      <c r="E982" t="s">
        <v>3730</v>
      </c>
      <c r="F982" t="s">
        <v>515</v>
      </c>
      <c r="G982" t="s">
        <v>24</v>
      </c>
      <c r="H982" t="s">
        <v>3731</v>
      </c>
      <c r="I982" t="s">
        <v>46</v>
      </c>
      <c r="N982" t="s">
        <v>90</v>
      </c>
      <c r="S982" t="s">
        <v>48</v>
      </c>
      <c r="V982" t="s">
        <v>5712</v>
      </c>
      <c r="W982" t="s">
        <v>5713</v>
      </c>
      <c r="X982" s="2">
        <f>IFERROR(VLOOKUP(I982,'Rate Sheet'!$D:$F,3,FALSE),0)</f>
        <v>14.333333333333334</v>
      </c>
      <c r="Y982" s="2">
        <f>IFERROR(VLOOKUP(J982,'Rate Sheet'!$D:$F,3,FALSE),0)</f>
        <v>0</v>
      </c>
      <c r="Z982" s="2">
        <f>IFERROR(VLOOKUP(K982,'Rate Sheet'!$D:$F,3,FALSE),0)</f>
        <v>0</v>
      </c>
      <c r="AA982" s="2">
        <f t="shared" si="15"/>
        <v>14.333333333333334</v>
      </c>
      <c r="AB982">
        <v>1</v>
      </c>
    </row>
    <row r="983" spans="1:28" x14ac:dyDescent="0.25">
      <c r="A983" t="s">
        <v>33</v>
      </c>
      <c r="B983" t="s">
        <v>3732</v>
      </c>
      <c r="C983" t="s">
        <v>21</v>
      </c>
      <c r="D983" t="s">
        <v>3732</v>
      </c>
      <c r="E983" t="s">
        <v>400</v>
      </c>
      <c r="F983" t="s">
        <v>3733</v>
      </c>
      <c r="G983" t="s">
        <v>24</v>
      </c>
      <c r="H983" t="s">
        <v>3734</v>
      </c>
      <c r="I983" t="s">
        <v>46</v>
      </c>
      <c r="N983" t="s">
        <v>90</v>
      </c>
      <c r="S983" t="s">
        <v>48</v>
      </c>
      <c r="V983" t="s">
        <v>5591</v>
      </c>
      <c r="W983" t="s">
        <v>90</v>
      </c>
      <c r="X983" s="2">
        <f>IFERROR(VLOOKUP(I983,'Rate Sheet'!$D:$F,3,FALSE),0)</f>
        <v>14.333333333333334</v>
      </c>
      <c r="Y983" s="2">
        <f>IFERROR(VLOOKUP(J983,'Rate Sheet'!$D:$F,3,FALSE),0)</f>
        <v>0</v>
      </c>
      <c r="Z983" s="2">
        <f>IFERROR(VLOOKUP(K983,'Rate Sheet'!$D:$F,3,FALSE),0)</f>
        <v>0</v>
      </c>
      <c r="AA983" s="2">
        <f t="shared" si="15"/>
        <v>14.333333333333334</v>
      </c>
      <c r="AB983">
        <v>1</v>
      </c>
    </row>
    <row r="984" spans="1:28" x14ac:dyDescent="0.25">
      <c r="A984" t="s">
        <v>33</v>
      </c>
      <c r="B984" t="s">
        <v>3735</v>
      </c>
      <c r="C984" t="s">
        <v>21</v>
      </c>
      <c r="D984" t="s">
        <v>3735</v>
      </c>
      <c r="E984" t="s">
        <v>3736</v>
      </c>
      <c r="F984" t="s">
        <v>3737</v>
      </c>
      <c r="G984" t="s">
        <v>24</v>
      </c>
      <c r="H984" t="s">
        <v>3738</v>
      </c>
      <c r="N984" t="s">
        <v>90</v>
      </c>
      <c r="X984" s="2">
        <f>IFERROR(VLOOKUP(I984,'Rate Sheet'!$D:$F,3,FALSE),0)</f>
        <v>0</v>
      </c>
      <c r="Y984" s="2">
        <f>IFERROR(VLOOKUP(J984,'Rate Sheet'!$D:$F,3,FALSE),0)</f>
        <v>0</v>
      </c>
      <c r="Z984" s="2">
        <f>IFERROR(VLOOKUP(K984,'Rate Sheet'!$D:$F,3,FALSE),0)</f>
        <v>0</v>
      </c>
      <c r="AA984" s="2">
        <f t="shared" si="15"/>
        <v>0</v>
      </c>
    </row>
    <row r="985" spans="1:28" x14ac:dyDescent="0.25">
      <c r="A985" t="s">
        <v>33</v>
      </c>
      <c r="B985" t="s">
        <v>3739</v>
      </c>
      <c r="C985" t="s">
        <v>21</v>
      </c>
      <c r="D985" t="s">
        <v>3739</v>
      </c>
      <c r="E985" t="s">
        <v>178</v>
      </c>
      <c r="F985" t="s">
        <v>3740</v>
      </c>
      <c r="G985" t="s">
        <v>24</v>
      </c>
      <c r="H985" t="s">
        <v>3741</v>
      </c>
      <c r="I985" t="s">
        <v>46</v>
      </c>
      <c r="N985" t="s">
        <v>90</v>
      </c>
      <c r="S985" t="s">
        <v>48</v>
      </c>
      <c r="V985" t="s">
        <v>5591</v>
      </c>
      <c r="W985" t="s">
        <v>90</v>
      </c>
      <c r="X985" s="2">
        <f>IFERROR(VLOOKUP(I985,'Rate Sheet'!$D:$F,3,FALSE),0)</f>
        <v>14.333333333333334</v>
      </c>
      <c r="Y985" s="2">
        <f>IFERROR(VLOOKUP(J985,'Rate Sheet'!$D:$F,3,FALSE),0)</f>
        <v>0</v>
      </c>
      <c r="Z985" s="2">
        <f>IFERROR(VLOOKUP(K985,'Rate Sheet'!$D:$F,3,FALSE),0)</f>
        <v>0</v>
      </c>
      <c r="AA985" s="2">
        <f t="shared" si="15"/>
        <v>14.333333333333334</v>
      </c>
      <c r="AB985">
        <v>1</v>
      </c>
    </row>
    <row r="986" spans="1:28" x14ac:dyDescent="0.25">
      <c r="A986" t="s">
        <v>33</v>
      </c>
      <c r="B986" t="s">
        <v>3742</v>
      </c>
      <c r="C986" t="s">
        <v>21</v>
      </c>
      <c r="D986" t="s">
        <v>3742</v>
      </c>
      <c r="E986" t="s">
        <v>3422</v>
      </c>
      <c r="F986" t="s">
        <v>295</v>
      </c>
      <c r="G986" t="s">
        <v>24</v>
      </c>
      <c r="H986" t="s">
        <v>3743</v>
      </c>
      <c r="I986" t="s">
        <v>46</v>
      </c>
      <c r="N986" t="s">
        <v>620</v>
      </c>
      <c r="S986" t="s">
        <v>48</v>
      </c>
      <c r="V986" t="s">
        <v>5659</v>
      </c>
      <c r="W986" t="s">
        <v>620</v>
      </c>
      <c r="X986" s="2">
        <f>IFERROR(VLOOKUP(I986,'Rate Sheet'!$D:$F,3,FALSE),0)</f>
        <v>14.333333333333334</v>
      </c>
      <c r="Y986" s="2">
        <f>IFERROR(VLOOKUP(J986,'Rate Sheet'!$D:$F,3,FALSE),0)</f>
        <v>0</v>
      </c>
      <c r="Z986" s="2">
        <f>IFERROR(VLOOKUP(K986,'Rate Sheet'!$D:$F,3,FALSE),0)</f>
        <v>0</v>
      </c>
      <c r="AA986" s="2">
        <f t="shared" si="15"/>
        <v>14.333333333333334</v>
      </c>
      <c r="AB986">
        <v>1</v>
      </c>
    </row>
    <row r="987" spans="1:28" x14ac:dyDescent="0.25">
      <c r="A987" t="s">
        <v>33</v>
      </c>
      <c r="B987" t="s">
        <v>3744</v>
      </c>
      <c r="C987" t="s">
        <v>21</v>
      </c>
      <c r="D987" t="s">
        <v>3744</v>
      </c>
      <c r="E987" t="s">
        <v>568</v>
      </c>
      <c r="F987" t="s">
        <v>3745</v>
      </c>
      <c r="G987" t="s">
        <v>24</v>
      </c>
      <c r="H987" t="s">
        <v>3746</v>
      </c>
      <c r="I987" t="s">
        <v>46</v>
      </c>
      <c r="N987" t="s">
        <v>273</v>
      </c>
      <c r="S987" t="s">
        <v>48</v>
      </c>
      <c r="V987" t="s">
        <v>5621</v>
      </c>
      <c r="W987" t="s">
        <v>5622</v>
      </c>
      <c r="X987" s="2">
        <f>IFERROR(VLOOKUP(I987,'Rate Sheet'!$D:$F,3,FALSE),0)</f>
        <v>14.333333333333334</v>
      </c>
      <c r="Y987" s="2">
        <f>IFERROR(VLOOKUP(J987,'Rate Sheet'!$D:$F,3,FALSE),0)</f>
        <v>0</v>
      </c>
      <c r="Z987" s="2">
        <f>IFERROR(VLOOKUP(K987,'Rate Sheet'!$D:$F,3,FALSE),0)</f>
        <v>0</v>
      </c>
      <c r="AA987" s="2">
        <f t="shared" si="15"/>
        <v>14.333333333333334</v>
      </c>
      <c r="AB987">
        <v>1</v>
      </c>
    </row>
    <row r="988" spans="1:28" x14ac:dyDescent="0.25">
      <c r="A988" t="s">
        <v>33</v>
      </c>
      <c r="B988" t="s">
        <v>3747</v>
      </c>
      <c r="C988" t="s">
        <v>21</v>
      </c>
      <c r="D988" t="s">
        <v>3747</v>
      </c>
      <c r="E988" t="s">
        <v>3748</v>
      </c>
      <c r="F988" t="s">
        <v>3749</v>
      </c>
      <c r="G988" t="s">
        <v>24</v>
      </c>
      <c r="H988" t="s">
        <v>3750</v>
      </c>
      <c r="I988" t="s">
        <v>46</v>
      </c>
      <c r="N988" t="s">
        <v>185</v>
      </c>
      <c r="S988" t="s">
        <v>48</v>
      </c>
      <c r="V988" t="s">
        <v>5610</v>
      </c>
      <c r="W988" t="s">
        <v>5611</v>
      </c>
      <c r="X988" s="2">
        <f>IFERROR(VLOOKUP(I988,'Rate Sheet'!$D:$F,3,FALSE),0)</f>
        <v>14.333333333333334</v>
      </c>
      <c r="Y988" s="2">
        <f>IFERROR(VLOOKUP(J988,'Rate Sheet'!$D:$F,3,FALSE),0)</f>
        <v>0</v>
      </c>
      <c r="Z988" s="2">
        <f>IFERROR(VLOOKUP(K988,'Rate Sheet'!$D:$F,3,FALSE),0)</f>
        <v>0</v>
      </c>
      <c r="AA988" s="2">
        <f t="shared" si="15"/>
        <v>14.333333333333334</v>
      </c>
      <c r="AB988">
        <v>1</v>
      </c>
    </row>
    <row r="989" spans="1:28" x14ac:dyDescent="0.25">
      <c r="A989" t="s">
        <v>33</v>
      </c>
      <c r="B989" t="s">
        <v>3751</v>
      </c>
      <c r="C989" t="s">
        <v>21</v>
      </c>
      <c r="D989" t="s">
        <v>3751</v>
      </c>
      <c r="E989" t="s">
        <v>226</v>
      </c>
      <c r="F989" t="s">
        <v>3752</v>
      </c>
      <c r="G989" t="s">
        <v>24</v>
      </c>
      <c r="H989" t="s">
        <v>3753</v>
      </c>
      <c r="I989" t="s">
        <v>46</v>
      </c>
      <c r="N989" t="s">
        <v>166</v>
      </c>
      <c r="S989" t="s">
        <v>48</v>
      </c>
      <c r="V989" t="s">
        <v>5606</v>
      </c>
      <c r="W989" t="s">
        <v>166</v>
      </c>
      <c r="X989" s="2">
        <f>IFERROR(VLOOKUP(I989,'Rate Sheet'!$D:$F,3,FALSE),0)</f>
        <v>14.333333333333334</v>
      </c>
      <c r="Y989" s="2">
        <f>IFERROR(VLOOKUP(J989,'Rate Sheet'!$D:$F,3,FALSE),0)</f>
        <v>0</v>
      </c>
      <c r="Z989" s="2">
        <f>IFERROR(VLOOKUP(K989,'Rate Sheet'!$D:$F,3,FALSE),0)</f>
        <v>0</v>
      </c>
      <c r="AA989" s="2">
        <f t="shared" si="15"/>
        <v>14.333333333333334</v>
      </c>
      <c r="AB989">
        <v>1</v>
      </c>
    </row>
    <row r="990" spans="1:28" x14ac:dyDescent="0.25">
      <c r="A990" t="s">
        <v>33</v>
      </c>
      <c r="B990" t="s">
        <v>3754</v>
      </c>
      <c r="C990" t="s">
        <v>21</v>
      </c>
      <c r="D990" t="s">
        <v>3755</v>
      </c>
      <c r="E990" t="s">
        <v>3756</v>
      </c>
      <c r="F990" t="s">
        <v>3757</v>
      </c>
      <c r="G990" t="s">
        <v>24</v>
      </c>
      <c r="H990" t="s">
        <v>3758</v>
      </c>
      <c r="I990" t="s">
        <v>73</v>
      </c>
      <c r="N990" t="s">
        <v>166</v>
      </c>
      <c r="S990" t="s">
        <v>75</v>
      </c>
      <c r="V990" t="s">
        <v>5606</v>
      </c>
      <c r="W990" t="s">
        <v>166</v>
      </c>
      <c r="X990" s="2">
        <f>IFERROR(VLOOKUP(I990,'Rate Sheet'!$D:$F,3,FALSE),0)</f>
        <v>8.6983333333333324</v>
      </c>
      <c r="Y990" s="2">
        <f>IFERROR(VLOOKUP(J990,'Rate Sheet'!$D:$F,3,FALSE),0)</f>
        <v>0</v>
      </c>
      <c r="Z990" s="2">
        <f>IFERROR(VLOOKUP(K990,'Rate Sheet'!$D:$F,3,FALSE),0)</f>
        <v>0</v>
      </c>
      <c r="AA990" s="2">
        <f t="shared" si="15"/>
        <v>8.6983333333333324</v>
      </c>
      <c r="AB990">
        <v>1</v>
      </c>
    </row>
    <row r="991" spans="1:28" x14ac:dyDescent="0.25">
      <c r="A991" t="s">
        <v>33</v>
      </c>
      <c r="B991" t="s">
        <v>3759</v>
      </c>
      <c r="C991" t="s">
        <v>21</v>
      </c>
      <c r="D991" t="s">
        <v>3759</v>
      </c>
      <c r="E991" t="s">
        <v>872</v>
      </c>
      <c r="F991" t="s">
        <v>3760</v>
      </c>
      <c r="G991" t="s">
        <v>24</v>
      </c>
      <c r="H991" t="s">
        <v>3761</v>
      </c>
      <c r="I991" t="s">
        <v>46</v>
      </c>
      <c r="N991" t="s">
        <v>166</v>
      </c>
      <c r="S991" t="s">
        <v>48</v>
      </c>
      <c r="V991" t="s">
        <v>5606</v>
      </c>
      <c r="W991" t="s">
        <v>166</v>
      </c>
      <c r="X991" s="2">
        <f>IFERROR(VLOOKUP(I991,'Rate Sheet'!$D:$F,3,FALSE),0)</f>
        <v>14.333333333333334</v>
      </c>
      <c r="Y991" s="2">
        <f>IFERROR(VLOOKUP(J991,'Rate Sheet'!$D:$F,3,FALSE),0)</f>
        <v>0</v>
      </c>
      <c r="Z991" s="2">
        <f>IFERROR(VLOOKUP(K991,'Rate Sheet'!$D:$F,3,FALSE),0)</f>
        <v>0</v>
      </c>
      <c r="AA991" s="2">
        <f t="shared" si="15"/>
        <v>14.333333333333334</v>
      </c>
      <c r="AB991">
        <v>1</v>
      </c>
    </row>
    <row r="992" spans="1:28" x14ac:dyDescent="0.25">
      <c r="A992" t="s">
        <v>33</v>
      </c>
      <c r="B992" t="s">
        <v>3762</v>
      </c>
      <c r="C992" t="s">
        <v>21</v>
      </c>
      <c r="D992" t="s">
        <v>3762</v>
      </c>
      <c r="E992" t="s">
        <v>3763</v>
      </c>
      <c r="F992" t="s">
        <v>3764</v>
      </c>
      <c r="G992" t="s">
        <v>24</v>
      </c>
      <c r="H992" t="s">
        <v>3765</v>
      </c>
      <c r="I992" t="s">
        <v>46</v>
      </c>
      <c r="N992" t="s">
        <v>273</v>
      </c>
      <c r="S992" t="s">
        <v>48</v>
      </c>
      <c r="V992" t="s">
        <v>5621</v>
      </c>
      <c r="W992" t="s">
        <v>5622</v>
      </c>
      <c r="X992" s="2">
        <f>IFERROR(VLOOKUP(I992,'Rate Sheet'!$D:$F,3,FALSE),0)</f>
        <v>14.333333333333334</v>
      </c>
      <c r="Y992" s="2">
        <f>IFERROR(VLOOKUP(J992,'Rate Sheet'!$D:$F,3,FALSE),0)</f>
        <v>0</v>
      </c>
      <c r="Z992" s="2">
        <f>IFERROR(VLOOKUP(K992,'Rate Sheet'!$D:$F,3,FALSE),0)</f>
        <v>0</v>
      </c>
      <c r="AA992" s="2">
        <f t="shared" si="15"/>
        <v>14.333333333333334</v>
      </c>
      <c r="AB992">
        <v>1</v>
      </c>
    </row>
    <row r="993" spans="1:28" x14ac:dyDescent="0.25">
      <c r="A993" t="s">
        <v>33</v>
      </c>
      <c r="B993" t="s">
        <v>3766</v>
      </c>
      <c r="C993" t="s">
        <v>21</v>
      </c>
      <c r="D993" t="s">
        <v>3766</v>
      </c>
      <c r="E993" t="s">
        <v>3767</v>
      </c>
      <c r="F993" t="s">
        <v>3768</v>
      </c>
      <c r="G993" t="s">
        <v>24</v>
      </c>
      <c r="H993" t="s">
        <v>3769</v>
      </c>
      <c r="N993" t="s">
        <v>224</v>
      </c>
      <c r="X993" s="2">
        <f>IFERROR(VLOOKUP(I993,'Rate Sheet'!$D:$F,3,FALSE),0)</f>
        <v>0</v>
      </c>
      <c r="Y993" s="2">
        <f>IFERROR(VLOOKUP(J993,'Rate Sheet'!$D:$F,3,FALSE),0)</f>
        <v>0</v>
      </c>
      <c r="Z993" s="2">
        <f>IFERROR(VLOOKUP(K993,'Rate Sheet'!$D:$F,3,FALSE),0)</f>
        <v>0</v>
      </c>
      <c r="AA993" s="2">
        <f t="shared" si="15"/>
        <v>0</v>
      </c>
    </row>
    <row r="994" spans="1:28" x14ac:dyDescent="0.25">
      <c r="A994" t="s">
        <v>33</v>
      </c>
      <c r="B994" t="s">
        <v>3770</v>
      </c>
      <c r="C994" t="s">
        <v>21</v>
      </c>
      <c r="D994" t="s">
        <v>3770</v>
      </c>
      <c r="E994" t="s">
        <v>3771</v>
      </c>
      <c r="F994" t="s">
        <v>3496</v>
      </c>
      <c r="G994" t="s">
        <v>24</v>
      </c>
      <c r="H994" t="s">
        <v>3772</v>
      </c>
      <c r="I994" t="s">
        <v>46</v>
      </c>
      <c r="N994" t="s">
        <v>3773</v>
      </c>
      <c r="S994" t="s">
        <v>48</v>
      </c>
      <c r="V994" t="s">
        <v>5653</v>
      </c>
      <c r="W994" t="s">
        <v>5654</v>
      </c>
      <c r="X994" s="2">
        <f>IFERROR(VLOOKUP(I994,'Rate Sheet'!$D:$F,3,FALSE),0)</f>
        <v>14.333333333333334</v>
      </c>
      <c r="Y994" s="2">
        <f>IFERROR(VLOOKUP(J994,'Rate Sheet'!$D:$F,3,FALSE),0)</f>
        <v>0</v>
      </c>
      <c r="Z994" s="2">
        <f>IFERROR(VLOOKUP(K994,'Rate Sheet'!$D:$F,3,FALSE),0)</f>
        <v>0</v>
      </c>
      <c r="AA994" s="2">
        <f t="shared" si="15"/>
        <v>14.333333333333334</v>
      </c>
      <c r="AB994">
        <v>1</v>
      </c>
    </row>
    <row r="995" spans="1:28" x14ac:dyDescent="0.25">
      <c r="A995" t="s">
        <v>33</v>
      </c>
      <c r="B995" t="s">
        <v>3774</v>
      </c>
      <c r="C995" t="s">
        <v>21</v>
      </c>
      <c r="D995" t="s">
        <v>3774</v>
      </c>
      <c r="E995" t="s">
        <v>568</v>
      </c>
      <c r="F995" t="s">
        <v>3775</v>
      </c>
      <c r="G995" t="s">
        <v>24</v>
      </c>
      <c r="H995" t="s">
        <v>3776</v>
      </c>
      <c r="I995" t="s">
        <v>46</v>
      </c>
      <c r="N995" t="s">
        <v>309</v>
      </c>
      <c r="S995" t="s">
        <v>48</v>
      </c>
      <c r="V995" t="s">
        <v>5742</v>
      </c>
      <c r="W995" t="s">
        <v>5743</v>
      </c>
      <c r="X995" s="2">
        <f>IFERROR(VLOOKUP(I995,'Rate Sheet'!$D:$F,3,FALSE),0)</f>
        <v>14.333333333333334</v>
      </c>
      <c r="Y995" s="2">
        <f>IFERROR(VLOOKUP(J995,'Rate Sheet'!$D:$F,3,FALSE),0)</f>
        <v>0</v>
      </c>
      <c r="Z995" s="2">
        <f>IFERROR(VLOOKUP(K995,'Rate Sheet'!$D:$F,3,FALSE),0)</f>
        <v>0</v>
      </c>
      <c r="AA995" s="2">
        <f t="shared" si="15"/>
        <v>14.333333333333334</v>
      </c>
      <c r="AB995">
        <v>1</v>
      </c>
    </row>
    <row r="996" spans="1:28" x14ac:dyDescent="0.25">
      <c r="A996" t="s">
        <v>33</v>
      </c>
      <c r="B996" t="s">
        <v>3777</v>
      </c>
      <c r="C996" t="s">
        <v>21</v>
      </c>
      <c r="D996" t="s">
        <v>3777</v>
      </c>
      <c r="E996" t="s">
        <v>3778</v>
      </c>
      <c r="F996" t="s">
        <v>3779</v>
      </c>
      <c r="G996" t="s">
        <v>24</v>
      </c>
      <c r="H996" t="s">
        <v>3780</v>
      </c>
      <c r="I996" t="s">
        <v>73</v>
      </c>
      <c r="N996" t="s">
        <v>292</v>
      </c>
      <c r="S996" t="s">
        <v>75</v>
      </c>
      <c r="V996" s="10" t="s">
        <v>5624</v>
      </c>
      <c r="W996" s="10" t="s">
        <v>292</v>
      </c>
      <c r="X996" s="2">
        <f>IFERROR(VLOOKUP(I996,'Rate Sheet'!$D:$F,3,FALSE),0)</f>
        <v>8.6983333333333324</v>
      </c>
      <c r="Y996" s="2">
        <f>IFERROR(VLOOKUP(J996,'Rate Sheet'!$D:$F,3,FALSE),0)</f>
        <v>0</v>
      </c>
      <c r="Z996" s="2">
        <f>IFERROR(VLOOKUP(K996,'Rate Sheet'!$D:$F,3,FALSE),0)</f>
        <v>0</v>
      </c>
      <c r="AA996" s="2">
        <f t="shared" si="15"/>
        <v>8.6983333333333324</v>
      </c>
      <c r="AB996">
        <v>1</v>
      </c>
    </row>
    <row r="997" spans="1:28" x14ac:dyDescent="0.25">
      <c r="A997" t="s">
        <v>33</v>
      </c>
      <c r="B997" t="s">
        <v>3781</v>
      </c>
      <c r="C997" t="s">
        <v>21</v>
      </c>
      <c r="D997" t="s">
        <v>3781</v>
      </c>
      <c r="E997" t="s">
        <v>3782</v>
      </c>
      <c r="F997" t="s">
        <v>3783</v>
      </c>
      <c r="G997" t="s">
        <v>24</v>
      </c>
      <c r="H997" t="s">
        <v>3784</v>
      </c>
      <c r="I997" t="s">
        <v>46</v>
      </c>
      <c r="N997" t="s">
        <v>287</v>
      </c>
      <c r="S997" t="s">
        <v>48</v>
      </c>
      <c r="V997" t="s">
        <v>5623</v>
      </c>
      <c r="W997" t="s">
        <v>287</v>
      </c>
      <c r="X997" s="2">
        <f>IFERROR(VLOOKUP(I997,'Rate Sheet'!$D:$F,3,FALSE),0)</f>
        <v>14.333333333333334</v>
      </c>
      <c r="Y997" s="2">
        <f>IFERROR(VLOOKUP(J997,'Rate Sheet'!$D:$F,3,FALSE),0)</f>
        <v>0</v>
      </c>
      <c r="Z997" s="2">
        <f>IFERROR(VLOOKUP(K997,'Rate Sheet'!$D:$F,3,FALSE),0)</f>
        <v>0</v>
      </c>
      <c r="AA997" s="2">
        <f t="shared" si="15"/>
        <v>14.333333333333334</v>
      </c>
      <c r="AB997">
        <v>1</v>
      </c>
    </row>
    <row r="998" spans="1:28" x14ac:dyDescent="0.25">
      <c r="A998" t="s">
        <v>33</v>
      </c>
      <c r="B998" t="s">
        <v>3788</v>
      </c>
      <c r="C998" t="s">
        <v>21</v>
      </c>
      <c r="D998" t="s">
        <v>3788</v>
      </c>
      <c r="E998" t="s">
        <v>1003</v>
      </c>
      <c r="F998" t="s">
        <v>2426</v>
      </c>
      <c r="G998" t="s">
        <v>24</v>
      </c>
      <c r="H998" t="s">
        <v>3789</v>
      </c>
      <c r="I998" t="s">
        <v>46</v>
      </c>
      <c r="N998" t="s">
        <v>171</v>
      </c>
      <c r="S998" t="s">
        <v>48</v>
      </c>
      <c r="V998" t="s">
        <v>5708</v>
      </c>
      <c r="W998" t="s">
        <v>5709</v>
      </c>
      <c r="X998" s="2">
        <f>IFERROR(VLOOKUP(I998,'Rate Sheet'!$D:$F,3,FALSE),0)</f>
        <v>14.333333333333334</v>
      </c>
      <c r="Y998" s="2">
        <f>IFERROR(VLOOKUP(J998,'Rate Sheet'!$D:$F,3,FALSE),0)</f>
        <v>0</v>
      </c>
      <c r="Z998" s="2">
        <f>IFERROR(VLOOKUP(K998,'Rate Sheet'!$D:$F,3,FALSE),0)</f>
        <v>0</v>
      </c>
      <c r="AA998" s="2">
        <f t="shared" si="15"/>
        <v>14.333333333333334</v>
      </c>
      <c r="AB998">
        <v>1</v>
      </c>
    </row>
    <row r="999" spans="1:28" x14ac:dyDescent="0.25">
      <c r="A999" t="s">
        <v>33</v>
      </c>
      <c r="B999" t="s">
        <v>3790</v>
      </c>
      <c r="C999" t="s">
        <v>21</v>
      </c>
      <c r="D999" t="s">
        <v>3790</v>
      </c>
      <c r="E999" t="s">
        <v>610</v>
      </c>
      <c r="F999" t="s">
        <v>3430</v>
      </c>
      <c r="G999" t="s">
        <v>24</v>
      </c>
      <c r="H999" t="s">
        <v>3791</v>
      </c>
      <c r="I999" t="s">
        <v>46</v>
      </c>
      <c r="J999" t="s">
        <v>3206</v>
      </c>
      <c r="N999" t="s">
        <v>349</v>
      </c>
      <c r="S999" t="s">
        <v>1056</v>
      </c>
      <c r="V999" t="s">
        <v>5578</v>
      </c>
      <c r="W999" t="s">
        <v>5579</v>
      </c>
      <c r="X999" s="2">
        <f>IFERROR(VLOOKUP(I999,'Rate Sheet'!$D:$F,3,FALSE),0)</f>
        <v>14.333333333333334</v>
      </c>
      <c r="Y999" s="2">
        <f>IFERROR(VLOOKUP(J999,'Rate Sheet'!$D:$F,3,FALSE),0)</f>
        <v>36.357500000000002</v>
      </c>
      <c r="Z999" s="2">
        <f>IFERROR(VLOOKUP(K999,'Rate Sheet'!$D:$F,3,FALSE),0)</f>
        <v>0</v>
      </c>
      <c r="AA999" s="2">
        <f t="shared" si="15"/>
        <v>50.690833333333337</v>
      </c>
      <c r="AB999">
        <v>1</v>
      </c>
    </row>
    <row r="1000" spans="1:28" x14ac:dyDescent="0.25">
      <c r="A1000" t="s">
        <v>33</v>
      </c>
      <c r="B1000" t="s">
        <v>3792</v>
      </c>
      <c r="C1000" t="s">
        <v>29</v>
      </c>
      <c r="D1000" t="s">
        <v>3792</v>
      </c>
      <c r="E1000" t="s">
        <v>3793</v>
      </c>
      <c r="F1000" t="s">
        <v>3794</v>
      </c>
      <c r="G1000" t="s">
        <v>24</v>
      </c>
      <c r="H1000" t="s">
        <v>3795</v>
      </c>
      <c r="I1000" t="s">
        <v>46</v>
      </c>
      <c r="N1000" t="s">
        <v>861</v>
      </c>
      <c r="S1000" t="s">
        <v>48</v>
      </c>
      <c r="V1000" t="s">
        <v>5728</v>
      </c>
      <c r="W1000" t="s">
        <v>861</v>
      </c>
      <c r="X1000" s="2">
        <f>IFERROR(VLOOKUP(I1000,'Rate Sheet'!$D:$F,3,FALSE),0)</f>
        <v>14.333333333333334</v>
      </c>
      <c r="Y1000" s="2">
        <f>IFERROR(VLOOKUP(J1000,'Rate Sheet'!$D:$F,3,FALSE),0)</f>
        <v>0</v>
      </c>
      <c r="Z1000" s="2">
        <f>IFERROR(VLOOKUP(K1000,'Rate Sheet'!$D:$F,3,FALSE),0)</f>
        <v>0</v>
      </c>
      <c r="AA1000" s="2">
        <f t="shared" si="15"/>
        <v>14.333333333333334</v>
      </c>
      <c r="AB1000">
        <v>1</v>
      </c>
    </row>
    <row r="1001" spans="1:28" x14ac:dyDescent="0.25">
      <c r="A1001" t="s">
        <v>33</v>
      </c>
      <c r="B1001" t="s">
        <v>3796</v>
      </c>
      <c r="C1001" t="s">
        <v>29</v>
      </c>
      <c r="D1001" t="s">
        <v>3796</v>
      </c>
      <c r="E1001" t="s">
        <v>3797</v>
      </c>
      <c r="F1001" t="s">
        <v>3798</v>
      </c>
      <c r="G1001" t="s">
        <v>24</v>
      </c>
      <c r="H1001" t="s">
        <v>3799</v>
      </c>
      <c r="I1001" t="s">
        <v>46</v>
      </c>
      <c r="N1001" t="s">
        <v>511</v>
      </c>
      <c r="S1001" t="s">
        <v>48</v>
      </c>
      <c r="V1001" t="s">
        <v>5617</v>
      </c>
      <c r="W1001" t="s">
        <v>511</v>
      </c>
      <c r="X1001" s="2">
        <f>IFERROR(VLOOKUP(I1001,'Rate Sheet'!$D:$F,3,FALSE),0)</f>
        <v>14.333333333333334</v>
      </c>
      <c r="Y1001" s="2">
        <f>IFERROR(VLOOKUP(J1001,'Rate Sheet'!$D:$F,3,FALSE),0)</f>
        <v>0</v>
      </c>
      <c r="Z1001" s="2">
        <f>IFERROR(VLOOKUP(K1001,'Rate Sheet'!$D:$F,3,FALSE),0)</f>
        <v>0</v>
      </c>
      <c r="AA1001" s="2">
        <f t="shared" si="15"/>
        <v>14.333333333333334</v>
      </c>
      <c r="AB1001">
        <v>1</v>
      </c>
    </row>
    <row r="1002" spans="1:28" x14ac:dyDescent="0.25">
      <c r="A1002" t="s">
        <v>33</v>
      </c>
      <c r="B1002" t="s">
        <v>3800</v>
      </c>
      <c r="C1002" t="s">
        <v>21</v>
      </c>
      <c r="D1002" t="s">
        <v>3800</v>
      </c>
      <c r="E1002" t="s">
        <v>524</v>
      </c>
      <c r="F1002" t="s">
        <v>1685</v>
      </c>
      <c r="G1002" t="s">
        <v>24</v>
      </c>
      <c r="H1002" t="s">
        <v>3801</v>
      </c>
      <c r="I1002" t="s">
        <v>46</v>
      </c>
      <c r="N1002" t="s">
        <v>1013</v>
      </c>
      <c r="S1002" t="s">
        <v>48</v>
      </c>
      <c r="V1002" t="s">
        <v>5701</v>
      </c>
      <c r="W1002" t="s">
        <v>1013</v>
      </c>
      <c r="X1002" s="2">
        <f>IFERROR(VLOOKUP(I1002,'Rate Sheet'!$D:$F,3,FALSE),0)</f>
        <v>14.333333333333334</v>
      </c>
      <c r="Y1002" s="2">
        <f>IFERROR(VLOOKUP(J1002,'Rate Sheet'!$D:$F,3,FALSE),0)</f>
        <v>0</v>
      </c>
      <c r="Z1002" s="2">
        <f>IFERROR(VLOOKUP(K1002,'Rate Sheet'!$D:$F,3,FALSE),0)</f>
        <v>0</v>
      </c>
      <c r="AA1002" s="2">
        <f t="shared" si="15"/>
        <v>14.333333333333334</v>
      </c>
      <c r="AB1002">
        <v>1</v>
      </c>
    </row>
    <row r="1003" spans="1:28" x14ac:dyDescent="0.25">
      <c r="A1003" t="s">
        <v>33</v>
      </c>
      <c r="B1003" t="s">
        <v>3802</v>
      </c>
      <c r="C1003" t="s">
        <v>21</v>
      </c>
      <c r="D1003" t="s">
        <v>3803</v>
      </c>
      <c r="E1003" t="s">
        <v>1766</v>
      </c>
      <c r="F1003" t="s">
        <v>3804</v>
      </c>
      <c r="G1003" t="s">
        <v>24</v>
      </c>
      <c r="H1003" t="s">
        <v>3805</v>
      </c>
      <c r="I1003" t="s">
        <v>46</v>
      </c>
      <c r="N1003" t="s">
        <v>185</v>
      </c>
      <c r="S1003" t="s">
        <v>48</v>
      </c>
      <c r="V1003" s="10" t="s">
        <v>5610</v>
      </c>
      <c r="W1003" s="10" t="s">
        <v>5611</v>
      </c>
      <c r="X1003" s="2">
        <f>IFERROR(VLOOKUP(I1003,'Rate Sheet'!$D:$F,3,FALSE),0)</f>
        <v>14.333333333333334</v>
      </c>
      <c r="Y1003" s="2">
        <f>IFERROR(VLOOKUP(J1003,'Rate Sheet'!$D:$F,3,FALSE),0)</f>
        <v>0</v>
      </c>
      <c r="Z1003" s="2">
        <f>IFERROR(VLOOKUP(K1003,'Rate Sheet'!$D:$F,3,FALSE),0)</f>
        <v>0</v>
      </c>
      <c r="AA1003" s="2">
        <f t="shared" si="15"/>
        <v>14.333333333333334</v>
      </c>
      <c r="AB1003">
        <v>1</v>
      </c>
    </row>
    <row r="1004" spans="1:28" x14ac:dyDescent="0.25">
      <c r="A1004" t="s">
        <v>33</v>
      </c>
      <c r="B1004" t="s">
        <v>3806</v>
      </c>
      <c r="C1004" t="s">
        <v>29</v>
      </c>
      <c r="D1004" t="s">
        <v>3806</v>
      </c>
      <c r="E1004" t="s">
        <v>3401</v>
      </c>
      <c r="F1004" t="s">
        <v>101</v>
      </c>
      <c r="G1004" t="s">
        <v>24</v>
      </c>
      <c r="H1004" t="s">
        <v>3807</v>
      </c>
      <c r="N1004" t="s">
        <v>3808</v>
      </c>
      <c r="X1004" s="2">
        <f>IFERROR(VLOOKUP(I1004,'Rate Sheet'!$D:$F,3,FALSE),0)</f>
        <v>0</v>
      </c>
      <c r="Y1004" s="2">
        <f>IFERROR(VLOOKUP(J1004,'Rate Sheet'!$D:$F,3,FALSE),0)</f>
        <v>0</v>
      </c>
      <c r="Z1004" s="2">
        <f>IFERROR(VLOOKUP(K1004,'Rate Sheet'!$D:$F,3,FALSE),0)</f>
        <v>0</v>
      </c>
      <c r="AA1004" s="2">
        <f t="shared" si="15"/>
        <v>0</v>
      </c>
    </row>
    <row r="1005" spans="1:28" x14ac:dyDescent="0.25">
      <c r="A1005" t="s">
        <v>33</v>
      </c>
      <c r="B1005" t="s">
        <v>3809</v>
      </c>
      <c r="C1005" t="s">
        <v>21</v>
      </c>
      <c r="D1005" t="s">
        <v>3809</v>
      </c>
      <c r="E1005" t="s">
        <v>3810</v>
      </c>
      <c r="F1005" t="s">
        <v>3811</v>
      </c>
      <c r="G1005" t="s">
        <v>24</v>
      </c>
      <c r="H1005" t="s">
        <v>3812</v>
      </c>
      <c r="I1005" t="s">
        <v>46</v>
      </c>
      <c r="N1005" t="s">
        <v>171</v>
      </c>
      <c r="S1005" t="s">
        <v>48</v>
      </c>
      <c r="V1005" t="s">
        <v>5708</v>
      </c>
      <c r="W1005" t="s">
        <v>5709</v>
      </c>
      <c r="X1005" s="2">
        <f>IFERROR(VLOOKUP(I1005,'Rate Sheet'!$D:$F,3,FALSE),0)</f>
        <v>14.333333333333334</v>
      </c>
      <c r="Y1005" s="2">
        <f>IFERROR(VLOOKUP(J1005,'Rate Sheet'!$D:$F,3,FALSE),0)</f>
        <v>0</v>
      </c>
      <c r="Z1005" s="2">
        <f>IFERROR(VLOOKUP(K1005,'Rate Sheet'!$D:$F,3,FALSE),0)</f>
        <v>0</v>
      </c>
      <c r="AA1005" s="2">
        <f t="shared" si="15"/>
        <v>14.333333333333334</v>
      </c>
      <c r="AB1005">
        <v>1</v>
      </c>
    </row>
    <row r="1006" spans="1:28" x14ac:dyDescent="0.25">
      <c r="A1006" t="s">
        <v>33</v>
      </c>
      <c r="B1006" t="s">
        <v>3813</v>
      </c>
      <c r="C1006" t="s">
        <v>21</v>
      </c>
      <c r="D1006" t="s">
        <v>3813</v>
      </c>
      <c r="E1006" t="s">
        <v>105</v>
      </c>
      <c r="F1006" t="s">
        <v>3814</v>
      </c>
      <c r="G1006" t="s">
        <v>24</v>
      </c>
      <c r="H1006" t="s">
        <v>3815</v>
      </c>
      <c r="I1006" t="s">
        <v>46</v>
      </c>
      <c r="N1006" t="s">
        <v>3816</v>
      </c>
      <c r="S1006" t="s">
        <v>48</v>
      </c>
      <c r="V1006" t="s">
        <v>5755</v>
      </c>
      <c r="W1006" t="s">
        <v>3816</v>
      </c>
      <c r="X1006" s="2">
        <f>IFERROR(VLOOKUP(I1006,'Rate Sheet'!$D:$F,3,FALSE),0)</f>
        <v>14.333333333333334</v>
      </c>
      <c r="Y1006" s="2">
        <f>IFERROR(VLOOKUP(J1006,'Rate Sheet'!$D:$F,3,FALSE),0)</f>
        <v>0</v>
      </c>
      <c r="Z1006" s="2">
        <f>IFERROR(VLOOKUP(K1006,'Rate Sheet'!$D:$F,3,FALSE),0)</f>
        <v>0</v>
      </c>
      <c r="AA1006" s="2">
        <f t="shared" si="15"/>
        <v>14.333333333333334</v>
      </c>
      <c r="AB1006">
        <v>1</v>
      </c>
    </row>
    <row r="1007" spans="1:28" x14ac:dyDescent="0.25">
      <c r="A1007" t="s">
        <v>33</v>
      </c>
      <c r="B1007" t="s">
        <v>3817</v>
      </c>
      <c r="C1007" t="s">
        <v>21</v>
      </c>
      <c r="D1007" t="s">
        <v>3818</v>
      </c>
      <c r="E1007" t="s">
        <v>3819</v>
      </c>
      <c r="F1007" t="s">
        <v>3820</v>
      </c>
      <c r="G1007" t="s">
        <v>24</v>
      </c>
      <c r="H1007" t="s">
        <v>3821</v>
      </c>
      <c r="I1007" t="s">
        <v>46</v>
      </c>
      <c r="N1007" t="s">
        <v>2925</v>
      </c>
      <c r="S1007" t="s">
        <v>48</v>
      </c>
      <c r="V1007" t="s">
        <v>5715</v>
      </c>
      <c r="W1007" t="s">
        <v>5716</v>
      </c>
      <c r="X1007" s="2">
        <f>IFERROR(VLOOKUP(I1007,'Rate Sheet'!$D:$F,3,FALSE),0)</f>
        <v>14.333333333333334</v>
      </c>
      <c r="Y1007" s="2">
        <f>IFERROR(VLOOKUP(J1007,'Rate Sheet'!$D:$F,3,FALSE),0)</f>
        <v>0</v>
      </c>
      <c r="Z1007" s="2">
        <f>IFERROR(VLOOKUP(K1007,'Rate Sheet'!$D:$F,3,FALSE),0)</f>
        <v>0</v>
      </c>
      <c r="AA1007" s="2">
        <f t="shared" si="15"/>
        <v>14.333333333333334</v>
      </c>
      <c r="AB1007">
        <v>1</v>
      </c>
    </row>
    <row r="1008" spans="1:28" x14ac:dyDescent="0.25">
      <c r="A1008" t="s">
        <v>33</v>
      </c>
      <c r="B1008" t="s">
        <v>3822</v>
      </c>
      <c r="C1008" t="s">
        <v>29</v>
      </c>
      <c r="D1008" t="s">
        <v>3822</v>
      </c>
      <c r="E1008" t="s">
        <v>1724</v>
      </c>
      <c r="F1008" t="s">
        <v>3823</v>
      </c>
      <c r="G1008" t="s">
        <v>24</v>
      </c>
      <c r="H1008" t="s">
        <v>3824</v>
      </c>
      <c r="I1008" t="s">
        <v>46</v>
      </c>
      <c r="N1008" t="s">
        <v>1331</v>
      </c>
      <c r="S1008" t="s">
        <v>48</v>
      </c>
      <c r="V1008" t="s">
        <v>5695</v>
      </c>
      <c r="W1008" t="s">
        <v>601</v>
      </c>
      <c r="X1008" s="2">
        <f>IFERROR(VLOOKUP(I1008,'Rate Sheet'!$D:$F,3,FALSE),0)</f>
        <v>14.333333333333334</v>
      </c>
      <c r="Y1008" s="2">
        <f>IFERROR(VLOOKUP(J1008,'Rate Sheet'!$D:$F,3,FALSE),0)</f>
        <v>0</v>
      </c>
      <c r="Z1008" s="2">
        <f>IFERROR(VLOOKUP(K1008,'Rate Sheet'!$D:$F,3,FALSE),0)</f>
        <v>0</v>
      </c>
      <c r="AA1008" s="2">
        <f t="shared" si="15"/>
        <v>14.333333333333334</v>
      </c>
      <c r="AB1008">
        <v>1</v>
      </c>
    </row>
    <row r="1009" spans="1:28" x14ac:dyDescent="0.25">
      <c r="A1009" t="s">
        <v>33</v>
      </c>
      <c r="B1009" t="s">
        <v>3825</v>
      </c>
      <c r="C1009" t="s">
        <v>21</v>
      </c>
      <c r="D1009" t="s">
        <v>3826</v>
      </c>
      <c r="E1009" t="s">
        <v>1393</v>
      </c>
      <c r="F1009" t="s">
        <v>3827</v>
      </c>
      <c r="G1009" t="s">
        <v>24</v>
      </c>
      <c r="H1009" t="s">
        <v>3828</v>
      </c>
      <c r="I1009" t="s">
        <v>46</v>
      </c>
      <c r="N1009" t="s">
        <v>53</v>
      </c>
      <c r="S1009" t="s">
        <v>48</v>
      </c>
      <c r="V1009" t="s">
        <v>5628</v>
      </c>
      <c r="W1009" t="s">
        <v>5629</v>
      </c>
      <c r="X1009" s="2">
        <f>IFERROR(VLOOKUP(I1009,'Rate Sheet'!$D:$F,3,FALSE),0)</f>
        <v>14.333333333333334</v>
      </c>
      <c r="Y1009" s="2">
        <f>IFERROR(VLOOKUP(J1009,'Rate Sheet'!$D:$F,3,FALSE),0)</f>
        <v>0</v>
      </c>
      <c r="Z1009" s="2">
        <f>IFERROR(VLOOKUP(K1009,'Rate Sheet'!$D:$F,3,FALSE),0)</f>
        <v>0</v>
      </c>
      <c r="AA1009" s="2">
        <f t="shared" si="15"/>
        <v>14.333333333333334</v>
      </c>
      <c r="AB1009">
        <v>1</v>
      </c>
    </row>
    <row r="1010" spans="1:28" x14ac:dyDescent="0.25">
      <c r="A1010" t="s">
        <v>33</v>
      </c>
      <c r="B1010" t="s">
        <v>3829</v>
      </c>
      <c r="C1010" t="s">
        <v>21</v>
      </c>
      <c r="D1010" t="s">
        <v>3829</v>
      </c>
      <c r="E1010" t="s">
        <v>55</v>
      </c>
      <c r="F1010" t="s">
        <v>1706</v>
      </c>
      <c r="G1010" t="s">
        <v>24</v>
      </c>
      <c r="H1010" t="s">
        <v>3830</v>
      </c>
      <c r="N1010" t="s">
        <v>2329</v>
      </c>
      <c r="X1010" s="2">
        <f>IFERROR(VLOOKUP(I1010,'Rate Sheet'!$D:$F,3,FALSE),0)</f>
        <v>0</v>
      </c>
      <c r="Y1010" s="2">
        <f>IFERROR(VLOOKUP(J1010,'Rate Sheet'!$D:$F,3,FALSE),0)</f>
        <v>0</v>
      </c>
      <c r="Z1010" s="2">
        <f>IFERROR(VLOOKUP(K1010,'Rate Sheet'!$D:$F,3,FALSE),0)</f>
        <v>0</v>
      </c>
      <c r="AA1010" s="2">
        <f t="shared" si="15"/>
        <v>0</v>
      </c>
    </row>
    <row r="1011" spans="1:28" x14ac:dyDescent="0.25">
      <c r="A1011" t="s">
        <v>33</v>
      </c>
      <c r="B1011" t="s">
        <v>3831</v>
      </c>
      <c r="C1011" t="s">
        <v>21</v>
      </c>
      <c r="D1011" t="s">
        <v>3831</v>
      </c>
      <c r="E1011" t="s">
        <v>3832</v>
      </c>
      <c r="F1011" t="s">
        <v>432</v>
      </c>
      <c r="G1011" t="s">
        <v>24</v>
      </c>
      <c r="H1011" t="s">
        <v>3833</v>
      </c>
      <c r="I1011" t="s">
        <v>46</v>
      </c>
      <c r="N1011" t="s">
        <v>309</v>
      </c>
      <c r="S1011" t="s">
        <v>48</v>
      </c>
      <c r="V1011" t="s">
        <v>5742</v>
      </c>
      <c r="W1011" t="s">
        <v>5743</v>
      </c>
      <c r="X1011" s="2">
        <f>IFERROR(VLOOKUP(I1011,'Rate Sheet'!$D:$F,3,FALSE),0)</f>
        <v>14.333333333333334</v>
      </c>
      <c r="Y1011" s="2">
        <f>IFERROR(VLOOKUP(J1011,'Rate Sheet'!$D:$F,3,FALSE),0)</f>
        <v>0</v>
      </c>
      <c r="Z1011" s="2">
        <f>IFERROR(VLOOKUP(K1011,'Rate Sheet'!$D:$F,3,FALSE),0)</f>
        <v>0</v>
      </c>
      <c r="AA1011" s="2">
        <f t="shared" ref="AA1011:AA1073" si="16">SUM(X1011:Z1011)</f>
        <v>14.333333333333334</v>
      </c>
      <c r="AB1011">
        <v>1</v>
      </c>
    </row>
    <row r="1012" spans="1:28" x14ac:dyDescent="0.25">
      <c r="A1012" t="s">
        <v>33</v>
      </c>
      <c r="B1012" t="s">
        <v>3836</v>
      </c>
      <c r="C1012" t="s">
        <v>21</v>
      </c>
      <c r="D1012" t="s">
        <v>3837</v>
      </c>
      <c r="E1012" t="s">
        <v>2172</v>
      </c>
      <c r="F1012" t="s">
        <v>3838</v>
      </c>
      <c r="G1012" t="s">
        <v>24</v>
      </c>
      <c r="H1012" t="s">
        <v>3839</v>
      </c>
      <c r="I1012" t="s">
        <v>46</v>
      </c>
      <c r="N1012" t="s">
        <v>389</v>
      </c>
      <c r="S1012" t="s">
        <v>48</v>
      </c>
      <c r="V1012" t="s">
        <v>5640</v>
      </c>
      <c r="W1012" t="s">
        <v>5641</v>
      </c>
      <c r="X1012" s="2">
        <f>IFERROR(VLOOKUP(I1012,'Rate Sheet'!$D:$F,3,FALSE),0)</f>
        <v>14.333333333333334</v>
      </c>
      <c r="Y1012" s="2">
        <f>IFERROR(VLOOKUP(J1012,'Rate Sheet'!$D:$F,3,FALSE),0)</f>
        <v>0</v>
      </c>
      <c r="Z1012" s="2">
        <f>IFERROR(VLOOKUP(K1012,'Rate Sheet'!$D:$F,3,FALSE),0)</f>
        <v>0</v>
      </c>
      <c r="AA1012" s="2">
        <f t="shared" si="16"/>
        <v>14.333333333333334</v>
      </c>
      <c r="AB1012">
        <v>1</v>
      </c>
    </row>
    <row r="1013" spans="1:28" x14ac:dyDescent="0.25">
      <c r="A1013" t="s">
        <v>33</v>
      </c>
      <c r="B1013" t="s">
        <v>3840</v>
      </c>
      <c r="C1013" t="s">
        <v>21</v>
      </c>
      <c r="D1013" t="s">
        <v>3840</v>
      </c>
      <c r="E1013" t="s">
        <v>1858</v>
      </c>
      <c r="F1013" t="s">
        <v>3841</v>
      </c>
      <c r="G1013" t="s">
        <v>24</v>
      </c>
      <c r="H1013" s="1" t="s">
        <v>3842</v>
      </c>
      <c r="N1013" t="s">
        <v>38</v>
      </c>
      <c r="X1013" s="2">
        <f>IFERROR(VLOOKUP(I1013,'Rate Sheet'!$D:$F,3,FALSE),0)</f>
        <v>0</v>
      </c>
      <c r="Y1013" s="2">
        <f>IFERROR(VLOOKUP(J1013,'Rate Sheet'!$D:$F,3,FALSE),0)</f>
        <v>0</v>
      </c>
      <c r="Z1013" s="2">
        <f>IFERROR(VLOOKUP(K1013,'Rate Sheet'!$D:$F,3,FALSE),0)</f>
        <v>0</v>
      </c>
      <c r="AA1013" s="2">
        <f t="shared" si="16"/>
        <v>0</v>
      </c>
    </row>
    <row r="1014" spans="1:28" x14ac:dyDescent="0.25">
      <c r="A1014" t="s">
        <v>33</v>
      </c>
      <c r="B1014" t="s">
        <v>3843</v>
      </c>
      <c r="C1014" t="s">
        <v>21</v>
      </c>
      <c r="D1014" t="s">
        <v>3843</v>
      </c>
      <c r="E1014" t="s">
        <v>3844</v>
      </c>
      <c r="G1014" t="s">
        <v>24</v>
      </c>
      <c r="H1014" t="s">
        <v>3845</v>
      </c>
      <c r="I1014" t="s">
        <v>46</v>
      </c>
      <c r="N1014" t="s">
        <v>309</v>
      </c>
      <c r="S1014" t="s">
        <v>48</v>
      </c>
      <c r="V1014" t="s">
        <v>5742</v>
      </c>
      <c r="W1014" t="s">
        <v>5743</v>
      </c>
      <c r="X1014" s="2">
        <f>IFERROR(VLOOKUP(I1014,'Rate Sheet'!$D:$F,3,FALSE),0)</f>
        <v>14.333333333333334</v>
      </c>
      <c r="Y1014" s="2">
        <f>IFERROR(VLOOKUP(J1014,'Rate Sheet'!$D:$F,3,FALSE),0)</f>
        <v>0</v>
      </c>
      <c r="Z1014" s="2">
        <f>IFERROR(VLOOKUP(K1014,'Rate Sheet'!$D:$F,3,FALSE),0)</f>
        <v>0</v>
      </c>
      <c r="AA1014" s="2">
        <f t="shared" si="16"/>
        <v>14.333333333333334</v>
      </c>
      <c r="AB1014">
        <v>1</v>
      </c>
    </row>
    <row r="1015" spans="1:28" x14ac:dyDescent="0.25">
      <c r="A1015" t="s">
        <v>33</v>
      </c>
      <c r="B1015" t="s">
        <v>3846</v>
      </c>
      <c r="C1015" t="s">
        <v>21</v>
      </c>
      <c r="D1015" t="s">
        <v>3846</v>
      </c>
      <c r="E1015" t="s">
        <v>606</v>
      </c>
      <c r="F1015" t="s">
        <v>3847</v>
      </c>
      <c r="G1015" t="s">
        <v>24</v>
      </c>
      <c r="H1015" t="s">
        <v>3848</v>
      </c>
      <c r="N1015" t="s">
        <v>185</v>
      </c>
      <c r="X1015" s="2">
        <f>IFERROR(VLOOKUP(I1015,'Rate Sheet'!$D:$F,3,FALSE),0)</f>
        <v>0</v>
      </c>
      <c r="Y1015" s="2">
        <f>IFERROR(VLOOKUP(J1015,'Rate Sheet'!$D:$F,3,FALSE),0)</f>
        <v>0</v>
      </c>
      <c r="Z1015" s="2">
        <f>IFERROR(VLOOKUP(K1015,'Rate Sheet'!$D:$F,3,FALSE),0)</f>
        <v>0</v>
      </c>
      <c r="AA1015" s="2">
        <f t="shared" si="16"/>
        <v>0</v>
      </c>
    </row>
    <row r="1016" spans="1:28" x14ac:dyDescent="0.25">
      <c r="A1016" t="s">
        <v>33</v>
      </c>
      <c r="B1016" t="s">
        <v>3849</v>
      </c>
      <c r="C1016" t="s">
        <v>21</v>
      </c>
      <c r="D1016" t="s">
        <v>3849</v>
      </c>
      <c r="E1016" t="s">
        <v>1357</v>
      </c>
      <c r="F1016" t="s">
        <v>3850</v>
      </c>
      <c r="G1016" t="s">
        <v>24</v>
      </c>
      <c r="H1016" t="s">
        <v>3851</v>
      </c>
      <c r="I1016" t="s">
        <v>73</v>
      </c>
      <c r="N1016" t="s">
        <v>148</v>
      </c>
      <c r="S1016" t="s">
        <v>75</v>
      </c>
      <c r="V1016" t="s">
        <v>5689</v>
      </c>
      <c r="W1016" t="s">
        <v>148</v>
      </c>
      <c r="X1016" s="2">
        <f>IFERROR(VLOOKUP(I1016,'Rate Sheet'!$D:$F,3,FALSE),0)</f>
        <v>8.6983333333333324</v>
      </c>
      <c r="Y1016" s="2">
        <f>IFERROR(VLOOKUP(J1016,'Rate Sheet'!$D:$F,3,FALSE),0)</f>
        <v>0</v>
      </c>
      <c r="Z1016" s="2">
        <f>IFERROR(VLOOKUP(K1016,'Rate Sheet'!$D:$F,3,FALSE),0)</f>
        <v>0</v>
      </c>
      <c r="AA1016" s="2">
        <f t="shared" si="16"/>
        <v>8.6983333333333324</v>
      </c>
      <c r="AB1016">
        <v>1</v>
      </c>
    </row>
    <row r="1017" spans="1:28" x14ac:dyDescent="0.25">
      <c r="A1017" t="s">
        <v>33</v>
      </c>
      <c r="B1017" t="s">
        <v>3852</v>
      </c>
      <c r="C1017" t="s">
        <v>21</v>
      </c>
      <c r="D1017" t="s">
        <v>3852</v>
      </c>
      <c r="E1017" t="s">
        <v>710</v>
      </c>
      <c r="F1017" t="s">
        <v>3853</v>
      </c>
      <c r="G1017" t="s">
        <v>24</v>
      </c>
      <c r="H1017" t="s">
        <v>3854</v>
      </c>
      <c r="N1017" t="s">
        <v>2925</v>
      </c>
      <c r="X1017" s="2">
        <f>IFERROR(VLOOKUP(I1017,'Rate Sheet'!$D:$F,3,FALSE),0)</f>
        <v>0</v>
      </c>
      <c r="Y1017" s="2">
        <f>IFERROR(VLOOKUP(J1017,'Rate Sheet'!$D:$F,3,FALSE),0)</f>
        <v>0</v>
      </c>
      <c r="Z1017" s="2">
        <f>IFERROR(VLOOKUP(K1017,'Rate Sheet'!$D:$F,3,FALSE),0)</f>
        <v>0</v>
      </c>
      <c r="AA1017" s="2">
        <f t="shared" si="16"/>
        <v>0</v>
      </c>
    </row>
    <row r="1018" spans="1:28" x14ac:dyDescent="0.25">
      <c r="A1018" t="s">
        <v>33</v>
      </c>
      <c r="B1018" t="s">
        <v>3855</v>
      </c>
      <c r="C1018" t="s">
        <v>21</v>
      </c>
      <c r="D1018" t="s">
        <v>3855</v>
      </c>
      <c r="E1018" t="s">
        <v>898</v>
      </c>
      <c r="F1018" t="s">
        <v>3856</v>
      </c>
      <c r="G1018" t="s">
        <v>24</v>
      </c>
      <c r="H1018" t="s">
        <v>3857</v>
      </c>
      <c r="I1018" t="s">
        <v>46</v>
      </c>
      <c r="N1018" t="s">
        <v>535</v>
      </c>
      <c r="S1018" t="s">
        <v>48</v>
      </c>
      <c r="V1018" t="s">
        <v>5680</v>
      </c>
      <c r="W1018" t="s">
        <v>5681</v>
      </c>
      <c r="X1018" s="2">
        <f>IFERROR(VLOOKUP(I1018,'Rate Sheet'!$D:$F,3,FALSE),0)</f>
        <v>14.333333333333334</v>
      </c>
      <c r="Y1018" s="2">
        <f>IFERROR(VLOOKUP(J1018,'Rate Sheet'!$D:$F,3,FALSE),0)</f>
        <v>0</v>
      </c>
      <c r="Z1018" s="2">
        <f>IFERROR(VLOOKUP(K1018,'Rate Sheet'!$D:$F,3,FALSE),0)</f>
        <v>0</v>
      </c>
      <c r="AA1018" s="2">
        <f t="shared" si="16"/>
        <v>14.333333333333334</v>
      </c>
      <c r="AB1018">
        <v>1</v>
      </c>
    </row>
    <row r="1019" spans="1:28" x14ac:dyDescent="0.25">
      <c r="A1019" t="s">
        <v>33</v>
      </c>
      <c r="B1019" t="s">
        <v>3858</v>
      </c>
      <c r="C1019" t="s">
        <v>21</v>
      </c>
      <c r="D1019" t="s">
        <v>3858</v>
      </c>
      <c r="E1019" t="s">
        <v>740</v>
      </c>
      <c r="F1019" t="s">
        <v>3859</v>
      </c>
      <c r="G1019" t="s">
        <v>24</v>
      </c>
      <c r="H1019" t="s">
        <v>3860</v>
      </c>
      <c r="I1019" t="s">
        <v>46</v>
      </c>
      <c r="N1019" t="s">
        <v>2806</v>
      </c>
      <c r="S1019" t="s">
        <v>48</v>
      </c>
      <c r="V1019" t="s">
        <v>5729</v>
      </c>
      <c r="W1019" t="s">
        <v>5730</v>
      </c>
      <c r="X1019" s="2">
        <f>IFERROR(VLOOKUP(I1019,'Rate Sheet'!$D:$F,3,FALSE),0)</f>
        <v>14.333333333333334</v>
      </c>
      <c r="Y1019" s="2">
        <f>IFERROR(VLOOKUP(J1019,'Rate Sheet'!$D:$F,3,FALSE),0)</f>
        <v>0</v>
      </c>
      <c r="Z1019" s="2">
        <f>IFERROR(VLOOKUP(K1019,'Rate Sheet'!$D:$F,3,FALSE),0)</f>
        <v>0</v>
      </c>
      <c r="AA1019" s="2">
        <f t="shared" si="16"/>
        <v>14.333333333333334</v>
      </c>
      <c r="AB1019">
        <v>1</v>
      </c>
    </row>
    <row r="1020" spans="1:28" x14ac:dyDescent="0.25">
      <c r="A1020" t="s">
        <v>33</v>
      </c>
      <c r="B1020" t="s">
        <v>3861</v>
      </c>
      <c r="C1020" t="s">
        <v>29</v>
      </c>
      <c r="D1020" t="s">
        <v>3861</v>
      </c>
      <c r="E1020" t="s">
        <v>3862</v>
      </c>
      <c r="F1020" t="s">
        <v>3863</v>
      </c>
      <c r="G1020" t="s">
        <v>24</v>
      </c>
      <c r="H1020" t="s">
        <v>3864</v>
      </c>
      <c r="I1020" t="s">
        <v>46</v>
      </c>
      <c r="N1020" t="s">
        <v>517</v>
      </c>
      <c r="S1020" t="s">
        <v>48</v>
      </c>
      <c r="V1020" t="s">
        <v>5682</v>
      </c>
      <c r="W1020" t="s">
        <v>517</v>
      </c>
      <c r="X1020" s="2">
        <f>IFERROR(VLOOKUP(I1020,'Rate Sheet'!$D:$F,3,FALSE),0)</f>
        <v>14.333333333333334</v>
      </c>
      <c r="Y1020" s="2">
        <f>IFERROR(VLOOKUP(J1020,'Rate Sheet'!$D:$F,3,FALSE),0)</f>
        <v>0</v>
      </c>
      <c r="Z1020" s="2">
        <f>IFERROR(VLOOKUP(K1020,'Rate Sheet'!$D:$F,3,FALSE),0)</f>
        <v>0</v>
      </c>
      <c r="AA1020" s="2">
        <f t="shared" si="16"/>
        <v>14.333333333333334</v>
      </c>
      <c r="AB1020">
        <v>1</v>
      </c>
    </row>
    <row r="1021" spans="1:28" x14ac:dyDescent="0.25">
      <c r="A1021" t="s">
        <v>33</v>
      </c>
      <c r="B1021" t="s">
        <v>3865</v>
      </c>
      <c r="C1021" t="s">
        <v>21</v>
      </c>
      <c r="D1021" t="s">
        <v>3865</v>
      </c>
      <c r="E1021" t="s">
        <v>3866</v>
      </c>
      <c r="F1021" t="s">
        <v>3422</v>
      </c>
      <c r="G1021" t="s">
        <v>24</v>
      </c>
      <c r="H1021" t="s">
        <v>3867</v>
      </c>
      <c r="I1021" t="s">
        <v>46</v>
      </c>
      <c r="N1021" t="s">
        <v>3868</v>
      </c>
      <c r="S1021" t="s">
        <v>48</v>
      </c>
      <c r="V1021" t="s">
        <v>5708</v>
      </c>
      <c r="W1021" t="s">
        <v>5709</v>
      </c>
      <c r="X1021" s="2">
        <f>IFERROR(VLOOKUP(I1021,'Rate Sheet'!$D:$F,3,FALSE),0)</f>
        <v>14.333333333333334</v>
      </c>
      <c r="Y1021" s="2">
        <f>IFERROR(VLOOKUP(J1021,'Rate Sheet'!$D:$F,3,FALSE),0)</f>
        <v>0</v>
      </c>
      <c r="Z1021" s="2">
        <f>IFERROR(VLOOKUP(K1021,'Rate Sheet'!$D:$F,3,FALSE),0)</f>
        <v>0</v>
      </c>
      <c r="AA1021" s="2">
        <f t="shared" si="16"/>
        <v>14.333333333333334</v>
      </c>
      <c r="AB1021">
        <v>1</v>
      </c>
    </row>
    <row r="1022" spans="1:28" x14ac:dyDescent="0.25">
      <c r="A1022" t="s">
        <v>33</v>
      </c>
      <c r="B1022" t="s">
        <v>3869</v>
      </c>
      <c r="C1022" t="s">
        <v>21</v>
      </c>
      <c r="D1022" t="s">
        <v>3869</v>
      </c>
      <c r="E1022" t="s">
        <v>3870</v>
      </c>
      <c r="F1022" t="s">
        <v>1291</v>
      </c>
      <c r="G1022" t="s">
        <v>24</v>
      </c>
      <c r="H1022" t="s">
        <v>3871</v>
      </c>
      <c r="I1022" t="s">
        <v>46</v>
      </c>
      <c r="N1022" t="s">
        <v>38</v>
      </c>
      <c r="S1022" t="s">
        <v>48</v>
      </c>
      <c r="V1022" t="s">
        <v>5582</v>
      </c>
      <c r="W1022" t="s">
        <v>5583</v>
      </c>
      <c r="X1022" s="2">
        <f>IFERROR(VLOOKUP(I1022,'Rate Sheet'!$D:$F,3,FALSE),0)</f>
        <v>14.333333333333334</v>
      </c>
      <c r="Y1022" s="2">
        <f>IFERROR(VLOOKUP(J1022,'Rate Sheet'!$D:$F,3,FALSE),0)</f>
        <v>0</v>
      </c>
      <c r="Z1022" s="2">
        <f>IFERROR(VLOOKUP(K1022,'Rate Sheet'!$D:$F,3,FALSE),0)</f>
        <v>0</v>
      </c>
      <c r="AA1022" s="2">
        <f t="shared" si="16"/>
        <v>14.333333333333334</v>
      </c>
      <c r="AB1022">
        <v>1</v>
      </c>
    </row>
    <row r="1023" spans="1:28" x14ac:dyDescent="0.25">
      <c r="A1023" t="s">
        <v>33</v>
      </c>
      <c r="B1023" t="s">
        <v>3872</v>
      </c>
      <c r="C1023" t="s">
        <v>21</v>
      </c>
      <c r="D1023" t="s">
        <v>3872</v>
      </c>
      <c r="E1023" t="s">
        <v>3873</v>
      </c>
      <c r="F1023" t="s">
        <v>429</v>
      </c>
      <c r="G1023" t="s">
        <v>24</v>
      </c>
      <c r="H1023" t="s">
        <v>3874</v>
      </c>
      <c r="N1023" t="s">
        <v>2014</v>
      </c>
      <c r="X1023" s="2">
        <f>IFERROR(VLOOKUP(I1023,'Rate Sheet'!$D:$F,3,FALSE),0)</f>
        <v>0</v>
      </c>
      <c r="Y1023" s="2">
        <f>IFERROR(VLOOKUP(J1023,'Rate Sheet'!$D:$F,3,FALSE),0)</f>
        <v>0</v>
      </c>
      <c r="Z1023" s="2">
        <f>IFERROR(VLOOKUP(K1023,'Rate Sheet'!$D:$F,3,FALSE),0)</f>
        <v>0</v>
      </c>
      <c r="AA1023" s="2">
        <f t="shared" si="16"/>
        <v>0</v>
      </c>
    </row>
    <row r="1024" spans="1:28" x14ac:dyDescent="0.25">
      <c r="A1024" t="s">
        <v>33</v>
      </c>
      <c r="B1024" t="s">
        <v>3875</v>
      </c>
      <c r="C1024" t="s">
        <v>21</v>
      </c>
      <c r="D1024" t="s">
        <v>3875</v>
      </c>
      <c r="E1024" t="s">
        <v>2090</v>
      </c>
      <c r="F1024" t="s">
        <v>3876</v>
      </c>
      <c r="G1024" t="s">
        <v>24</v>
      </c>
      <c r="H1024" t="s">
        <v>3877</v>
      </c>
      <c r="I1024" t="s">
        <v>46</v>
      </c>
      <c r="N1024" t="s">
        <v>2925</v>
      </c>
      <c r="S1024" t="s">
        <v>48</v>
      </c>
      <c r="V1024" t="s">
        <v>5737</v>
      </c>
      <c r="W1024" t="s">
        <v>5738</v>
      </c>
      <c r="X1024" s="2">
        <f>IFERROR(VLOOKUP(I1024,'Rate Sheet'!$D:$F,3,FALSE),0)</f>
        <v>14.333333333333334</v>
      </c>
      <c r="Y1024" s="2">
        <f>IFERROR(VLOOKUP(J1024,'Rate Sheet'!$D:$F,3,FALSE),0)</f>
        <v>0</v>
      </c>
      <c r="Z1024" s="2">
        <f>IFERROR(VLOOKUP(K1024,'Rate Sheet'!$D:$F,3,FALSE),0)</f>
        <v>0</v>
      </c>
      <c r="AA1024" s="2">
        <f t="shared" si="16"/>
        <v>14.333333333333334</v>
      </c>
      <c r="AB1024">
        <v>1</v>
      </c>
    </row>
    <row r="1025" spans="1:28" x14ac:dyDescent="0.25">
      <c r="A1025" t="s">
        <v>33</v>
      </c>
      <c r="B1025" t="s">
        <v>3878</v>
      </c>
      <c r="C1025" t="s">
        <v>21</v>
      </c>
      <c r="D1025" t="s">
        <v>3878</v>
      </c>
      <c r="E1025" t="s">
        <v>3879</v>
      </c>
      <c r="F1025" t="s">
        <v>3880</v>
      </c>
      <c r="G1025" t="s">
        <v>24</v>
      </c>
      <c r="H1025" t="s">
        <v>3881</v>
      </c>
      <c r="I1025" t="s">
        <v>46</v>
      </c>
      <c r="N1025" t="s">
        <v>138</v>
      </c>
      <c r="S1025" t="s">
        <v>48</v>
      </c>
      <c r="V1025" t="s">
        <v>5696</v>
      </c>
      <c r="W1025" t="s">
        <v>5697</v>
      </c>
      <c r="X1025" s="2">
        <f>IFERROR(VLOOKUP(I1025,'Rate Sheet'!$D:$F,3,FALSE),0)</f>
        <v>14.333333333333334</v>
      </c>
      <c r="Y1025" s="2">
        <f>IFERROR(VLOOKUP(J1025,'Rate Sheet'!$D:$F,3,FALSE),0)</f>
        <v>0</v>
      </c>
      <c r="Z1025" s="2">
        <f>IFERROR(VLOOKUP(K1025,'Rate Sheet'!$D:$F,3,FALSE),0)</f>
        <v>0</v>
      </c>
      <c r="AA1025" s="2">
        <f t="shared" si="16"/>
        <v>14.333333333333334</v>
      </c>
      <c r="AB1025">
        <v>1</v>
      </c>
    </row>
    <row r="1026" spans="1:28" x14ac:dyDescent="0.25">
      <c r="A1026" t="s">
        <v>33</v>
      </c>
      <c r="B1026" t="s">
        <v>3882</v>
      </c>
      <c r="C1026" t="s">
        <v>29</v>
      </c>
      <c r="D1026" t="s">
        <v>3882</v>
      </c>
      <c r="E1026" t="s">
        <v>3883</v>
      </c>
      <c r="F1026" t="s">
        <v>3884</v>
      </c>
      <c r="G1026" t="s">
        <v>24</v>
      </c>
      <c r="H1026" t="s">
        <v>3885</v>
      </c>
      <c r="I1026" t="s">
        <v>46</v>
      </c>
      <c r="N1026" t="s">
        <v>3808</v>
      </c>
      <c r="S1026" t="s">
        <v>48</v>
      </c>
      <c r="V1026" t="s">
        <v>5756</v>
      </c>
      <c r="W1026" t="s">
        <v>3808</v>
      </c>
      <c r="X1026" s="2">
        <f>IFERROR(VLOOKUP(I1026,'Rate Sheet'!$D:$F,3,FALSE),0)</f>
        <v>14.333333333333334</v>
      </c>
      <c r="Y1026" s="2">
        <f>IFERROR(VLOOKUP(J1026,'Rate Sheet'!$D:$F,3,FALSE),0)</f>
        <v>0</v>
      </c>
      <c r="Z1026" s="2">
        <f>IFERROR(VLOOKUP(K1026,'Rate Sheet'!$D:$F,3,FALSE),0)</f>
        <v>0</v>
      </c>
      <c r="AA1026" s="2">
        <f t="shared" si="16"/>
        <v>14.333333333333334</v>
      </c>
      <c r="AB1026">
        <v>1</v>
      </c>
    </row>
    <row r="1027" spans="1:28" x14ac:dyDescent="0.25">
      <c r="A1027" t="s">
        <v>33</v>
      </c>
      <c r="B1027" t="s">
        <v>3886</v>
      </c>
      <c r="C1027" t="s">
        <v>21</v>
      </c>
      <c r="D1027" t="s">
        <v>3886</v>
      </c>
      <c r="E1027" t="s">
        <v>187</v>
      </c>
      <c r="F1027" t="s">
        <v>3887</v>
      </c>
      <c r="G1027" t="s">
        <v>24</v>
      </c>
      <c r="H1027" t="s">
        <v>3888</v>
      </c>
      <c r="I1027" t="s">
        <v>46</v>
      </c>
      <c r="N1027" t="s">
        <v>697</v>
      </c>
      <c r="S1027" t="s">
        <v>48</v>
      </c>
      <c r="V1027" t="s">
        <v>5692</v>
      </c>
      <c r="W1027" t="s">
        <v>5693</v>
      </c>
      <c r="X1027" s="2">
        <f>IFERROR(VLOOKUP(I1027,'Rate Sheet'!$D:$F,3,FALSE),0)</f>
        <v>14.333333333333334</v>
      </c>
      <c r="Y1027" s="2">
        <f>IFERROR(VLOOKUP(J1027,'Rate Sheet'!$D:$F,3,FALSE),0)</f>
        <v>0</v>
      </c>
      <c r="Z1027" s="2">
        <f>IFERROR(VLOOKUP(K1027,'Rate Sheet'!$D:$F,3,FALSE),0)</f>
        <v>0</v>
      </c>
      <c r="AA1027" s="2">
        <f t="shared" si="16"/>
        <v>14.333333333333334</v>
      </c>
      <c r="AB1027">
        <v>1</v>
      </c>
    </row>
    <row r="1028" spans="1:28" x14ac:dyDescent="0.25">
      <c r="A1028" t="s">
        <v>33</v>
      </c>
      <c r="B1028" t="s">
        <v>3889</v>
      </c>
      <c r="C1028" t="s">
        <v>21</v>
      </c>
      <c r="D1028" t="s">
        <v>3890</v>
      </c>
      <c r="E1028" t="s">
        <v>1254</v>
      </c>
      <c r="F1028" t="s">
        <v>1588</v>
      </c>
      <c r="G1028" t="s">
        <v>24</v>
      </c>
      <c r="H1028" t="s">
        <v>3891</v>
      </c>
      <c r="I1028" t="s">
        <v>46</v>
      </c>
      <c r="N1028" t="s">
        <v>2780</v>
      </c>
      <c r="S1028" t="s">
        <v>48</v>
      </c>
      <c r="V1028" t="s">
        <v>5699</v>
      </c>
      <c r="W1028" t="s">
        <v>5700</v>
      </c>
      <c r="X1028" s="2">
        <f>IFERROR(VLOOKUP(I1028,'Rate Sheet'!$D:$F,3,FALSE),0)</f>
        <v>14.333333333333334</v>
      </c>
      <c r="Y1028" s="2">
        <f>IFERROR(VLOOKUP(J1028,'Rate Sheet'!$D:$F,3,FALSE),0)</f>
        <v>0</v>
      </c>
      <c r="Z1028" s="2">
        <f>IFERROR(VLOOKUP(K1028,'Rate Sheet'!$D:$F,3,FALSE),0)</f>
        <v>0</v>
      </c>
      <c r="AA1028" s="2">
        <f t="shared" si="16"/>
        <v>14.333333333333334</v>
      </c>
      <c r="AB1028">
        <v>1</v>
      </c>
    </row>
    <row r="1029" spans="1:28" x14ac:dyDescent="0.25">
      <c r="A1029" t="s">
        <v>33</v>
      </c>
      <c r="B1029" t="s">
        <v>3892</v>
      </c>
      <c r="C1029" t="s">
        <v>21</v>
      </c>
      <c r="D1029" t="s">
        <v>3892</v>
      </c>
      <c r="E1029" t="s">
        <v>3893</v>
      </c>
      <c r="F1029" t="s">
        <v>3894</v>
      </c>
      <c r="G1029" t="s">
        <v>24</v>
      </c>
      <c r="H1029" t="s">
        <v>3895</v>
      </c>
      <c r="I1029" t="s">
        <v>46</v>
      </c>
      <c r="N1029" t="s">
        <v>3896</v>
      </c>
      <c r="S1029" t="s">
        <v>48</v>
      </c>
      <c r="V1029" t="s">
        <v>5757</v>
      </c>
      <c r="W1029" t="s">
        <v>5758</v>
      </c>
      <c r="X1029" s="2">
        <f>IFERROR(VLOOKUP(I1029,'Rate Sheet'!$D:$F,3,FALSE),0)</f>
        <v>14.333333333333334</v>
      </c>
      <c r="Y1029" s="2">
        <f>IFERROR(VLOOKUP(J1029,'Rate Sheet'!$D:$F,3,FALSE),0)</f>
        <v>0</v>
      </c>
      <c r="Z1029" s="2">
        <f>IFERROR(VLOOKUP(K1029,'Rate Sheet'!$D:$F,3,FALSE),0)</f>
        <v>0</v>
      </c>
      <c r="AA1029" s="2">
        <f t="shared" si="16"/>
        <v>14.333333333333334</v>
      </c>
      <c r="AB1029">
        <v>1</v>
      </c>
    </row>
    <row r="1030" spans="1:28" x14ac:dyDescent="0.25">
      <c r="A1030" t="s">
        <v>33</v>
      </c>
      <c r="B1030" t="s">
        <v>3897</v>
      </c>
      <c r="C1030" t="s">
        <v>21</v>
      </c>
      <c r="D1030" t="s">
        <v>3897</v>
      </c>
      <c r="E1030" t="s">
        <v>2941</v>
      </c>
      <c r="F1030" t="s">
        <v>432</v>
      </c>
      <c r="G1030" t="s">
        <v>24</v>
      </c>
      <c r="H1030" t="s">
        <v>3898</v>
      </c>
      <c r="I1030" t="s">
        <v>46</v>
      </c>
      <c r="N1030" t="s">
        <v>389</v>
      </c>
      <c r="S1030" t="s">
        <v>48</v>
      </c>
      <c r="V1030" t="s">
        <v>5759</v>
      </c>
      <c r="W1030" t="s">
        <v>5760</v>
      </c>
      <c r="X1030" s="2">
        <f>IFERROR(VLOOKUP(I1030,'Rate Sheet'!$D:$F,3,FALSE),0)</f>
        <v>14.333333333333334</v>
      </c>
      <c r="Y1030" s="2">
        <f>IFERROR(VLOOKUP(J1030,'Rate Sheet'!$D:$F,3,FALSE),0)</f>
        <v>0</v>
      </c>
      <c r="Z1030" s="2">
        <f>IFERROR(VLOOKUP(K1030,'Rate Sheet'!$D:$F,3,FALSE),0)</f>
        <v>0</v>
      </c>
      <c r="AA1030" s="2">
        <f t="shared" si="16"/>
        <v>14.333333333333334</v>
      </c>
      <c r="AB1030">
        <v>1</v>
      </c>
    </row>
    <row r="1031" spans="1:28" x14ac:dyDescent="0.25">
      <c r="A1031" t="s">
        <v>33</v>
      </c>
      <c r="B1031" t="s">
        <v>3899</v>
      </c>
      <c r="C1031" t="s">
        <v>21</v>
      </c>
      <c r="D1031" t="s">
        <v>3899</v>
      </c>
      <c r="E1031" t="s">
        <v>3900</v>
      </c>
      <c r="F1031" t="s">
        <v>3901</v>
      </c>
      <c r="G1031" t="s">
        <v>24</v>
      </c>
      <c r="H1031" t="s">
        <v>3902</v>
      </c>
      <c r="I1031" t="s">
        <v>46</v>
      </c>
      <c r="N1031" t="s">
        <v>389</v>
      </c>
      <c r="S1031" t="s">
        <v>48</v>
      </c>
      <c r="V1031" t="s">
        <v>5628</v>
      </c>
      <c r="W1031" t="s">
        <v>5629</v>
      </c>
      <c r="X1031" s="2">
        <f>IFERROR(VLOOKUP(I1031,'Rate Sheet'!$D:$F,3,FALSE),0)</f>
        <v>14.333333333333334</v>
      </c>
      <c r="Y1031" s="2">
        <f>IFERROR(VLOOKUP(J1031,'Rate Sheet'!$D:$F,3,FALSE),0)</f>
        <v>0</v>
      </c>
      <c r="Z1031" s="2">
        <f>IFERROR(VLOOKUP(K1031,'Rate Sheet'!$D:$F,3,FALSE),0)</f>
        <v>0</v>
      </c>
      <c r="AA1031" s="2">
        <f t="shared" si="16"/>
        <v>14.333333333333334</v>
      </c>
      <c r="AB1031">
        <v>1</v>
      </c>
    </row>
    <row r="1032" spans="1:28" x14ac:dyDescent="0.25">
      <c r="A1032" t="s">
        <v>33</v>
      </c>
      <c r="B1032" t="s">
        <v>3903</v>
      </c>
      <c r="C1032" t="s">
        <v>21</v>
      </c>
      <c r="D1032" t="s">
        <v>3903</v>
      </c>
      <c r="E1032" t="s">
        <v>3904</v>
      </c>
      <c r="F1032" t="s">
        <v>1004</v>
      </c>
      <c r="G1032" t="s">
        <v>24</v>
      </c>
      <c r="H1032" t="s">
        <v>3905</v>
      </c>
      <c r="N1032" t="s">
        <v>2925</v>
      </c>
      <c r="X1032" s="2">
        <f>IFERROR(VLOOKUP(I1032,'Rate Sheet'!$D:$F,3,FALSE),0)</f>
        <v>0</v>
      </c>
      <c r="Y1032" s="2">
        <f>IFERROR(VLOOKUP(J1032,'Rate Sheet'!$D:$F,3,FALSE),0)</f>
        <v>0</v>
      </c>
      <c r="Z1032" s="2">
        <f>IFERROR(VLOOKUP(K1032,'Rate Sheet'!$D:$F,3,FALSE),0)</f>
        <v>0</v>
      </c>
      <c r="AA1032" s="2">
        <f t="shared" si="16"/>
        <v>0</v>
      </c>
    </row>
    <row r="1033" spans="1:28" x14ac:dyDescent="0.25">
      <c r="A1033" t="s">
        <v>33</v>
      </c>
      <c r="B1033" t="s">
        <v>3906</v>
      </c>
      <c r="C1033" t="s">
        <v>21</v>
      </c>
      <c r="D1033" t="s">
        <v>3906</v>
      </c>
      <c r="E1033" t="s">
        <v>178</v>
      </c>
      <c r="F1033" t="s">
        <v>3907</v>
      </c>
      <c r="G1033" t="s">
        <v>24</v>
      </c>
      <c r="H1033" t="s">
        <v>3908</v>
      </c>
      <c r="N1033" t="s">
        <v>38</v>
      </c>
      <c r="X1033" s="2">
        <f>IFERROR(VLOOKUP(I1033,'Rate Sheet'!$D:$F,3,FALSE),0)</f>
        <v>0</v>
      </c>
      <c r="Y1033" s="2">
        <f>IFERROR(VLOOKUP(J1033,'Rate Sheet'!$D:$F,3,FALSE),0)</f>
        <v>0</v>
      </c>
      <c r="Z1033" s="2">
        <f>IFERROR(VLOOKUP(K1033,'Rate Sheet'!$D:$F,3,FALSE),0)</f>
        <v>0</v>
      </c>
      <c r="AA1033" s="2">
        <f t="shared" si="16"/>
        <v>0</v>
      </c>
    </row>
    <row r="1034" spans="1:28" x14ac:dyDescent="0.25">
      <c r="A1034" t="s">
        <v>33</v>
      </c>
      <c r="B1034" t="s">
        <v>3909</v>
      </c>
      <c r="C1034" t="s">
        <v>21</v>
      </c>
      <c r="D1034" t="s">
        <v>3909</v>
      </c>
      <c r="E1034" t="s">
        <v>1530</v>
      </c>
      <c r="F1034" t="s">
        <v>3910</v>
      </c>
      <c r="G1034" t="s">
        <v>24</v>
      </c>
      <c r="H1034" t="s">
        <v>3911</v>
      </c>
      <c r="I1034" t="s">
        <v>46</v>
      </c>
      <c r="N1034" t="s">
        <v>1061</v>
      </c>
      <c r="S1034" t="s">
        <v>48</v>
      </c>
      <c r="V1034" t="s">
        <v>5679</v>
      </c>
      <c r="W1034" t="s">
        <v>1061</v>
      </c>
      <c r="X1034" s="2">
        <f>IFERROR(VLOOKUP(I1034,'Rate Sheet'!$D:$F,3,FALSE),0)</f>
        <v>14.333333333333334</v>
      </c>
      <c r="Y1034" s="2">
        <f>IFERROR(VLOOKUP(J1034,'Rate Sheet'!$D:$F,3,FALSE),0)</f>
        <v>0</v>
      </c>
      <c r="Z1034" s="2">
        <f>IFERROR(VLOOKUP(K1034,'Rate Sheet'!$D:$F,3,FALSE),0)</f>
        <v>0</v>
      </c>
      <c r="AA1034" s="2">
        <f t="shared" si="16"/>
        <v>14.333333333333334</v>
      </c>
      <c r="AB1034">
        <v>1</v>
      </c>
    </row>
    <row r="1035" spans="1:28" x14ac:dyDescent="0.25">
      <c r="A1035" t="s">
        <v>33</v>
      </c>
      <c r="B1035" t="s">
        <v>3912</v>
      </c>
      <c r="C1035" t="s">
        <v>21</v>
      </c>
      <c r="D1035" t="s">
        <v>3912</v>
      </c>
      <c r="E1035" t="s">
        <v>346</v>
      </c>
      <c r="F1035" t="s">
        <v>154</v>
      </c>
      <c r="G1035" t="s">
        <v>24</v>
      </c>
      <c r="H1035" t="s">
        <v>3913</v>
      </c>
      <c r="I1035" t="s">
        <v>46</v>
      </c>
      <c r="N1035" t="s">
        <v>1013</v>
      </c>
      <c r="S1035" t="s">
        <v>48</v>
      </c>
      <c r="V1035" t="s">
        <v>5701</v>
      </c>
      <c r="W1035" t="s">
        <v>1013</v>
      </c>
      <c r="X1035" s="2">
        <f>IFERROR(VLOOKUP(I1035,'Rate Sheet'!$D:$F,3,FALSE),0)</f>
        <v>14.333333333333334</v>
      </c>
      <c r="Y1035" s="2">
        <f>IFERROR(VLOOKUP(J1035,'Rate Sheet'!$D:$F,3,FALSE),0)</f>
        <v>0</v>
      </c>
      <c r="Z1035" s="2">
        <f>IFERROR(VLOOKUP(K1035,'Rate Sheet'!$D:$F,3,FALSE),0)</f>
        <v>0</v>
      </c>
      <c r="AA1035" s="2">
        <f t="shared" si="16"/>
        <v>14.333333333333334</v>
      </c>
      <c r="AB1035">
        <v>1</v>
      </c>
    </row>
    <row r="1036" spans="1:28" x14ac:dyDescent="0.25">
      <c r="A1036" t="s">
        <v>33</v>
      </c>
      <c r="B1036" t="s">
        <v>3914</v>
      </c>
      <c r="C1036" t="s">
        <v>21</v>
      </c>
      <c r="D1036" t="s">
        <v>3914</v>
      </c>
      <c r="E1036" t="s">
        <v>3915</v>
      </c>
      <c r="F1036" t="s">
        <v>3916</v>
      </c>
      <c r="G1036" t="s">
        <v>24</v>
      </c>
      <c r="H1036" t="s">
        <v>3917</v>
      </c>
      <c r="N1036" t="s">
        <v>914</v>
      </c>
      <c r="X1036" s="2">
        <f>IFERROR(VLOOKUP(I1036,'Rate Sheet'!$D:$F,3,FALSE),0)</f>
        <v>0</v>
      </c>
      <c r="Y1036" s="2">
        <f>IFERROR(VLOOKUP(J1036,'Rate Sheet'!$D:$F,3,FALSE),0)</f>
        <v>0</v>
      </c>
      <c r="Z1036" s="2">
        <f>IFERROR(VLOOKUP(K1036,'Rate Sheet'!$D:$F,3,FALSE),0)</f>
        <v>0</v>
      </c>
      <c r="AA1036" s="2">
        <f t="shared" si="16"/>
        <v>0</v>
      </c>
    </row>
    <row r="1037" spans="1:28" x14ac:dyDescent="0.25">
      <c r="A1037" t="s">
        <v>33</v>
      </c>
      <c r="B1037" t="s">
        <v>3918</v>
      </c>
      <c r="C1037" t="s">
        <v>21</v>
      </c>
      <c r="D1037" t="s">
        <v>3918</v>
      </c>
      <c r="E1037" t="s">
        <v>1290</v>
      </c>
      <c r="F1037" t="s">
        <v>2495</v>
      </c>
      <c r="G1037" t="s">
        <v>24</v>
      </c>
      <c r="H1037" t="s">
        <v>3919</v>
      </c>
      <c r="N1037" t="s">
        <v>2975</v>
      </c>
      <c r="X1037" s="2">
        <f>IFERROR(VLOOKUP(I1037,'Rate Sheet'!$D:$F,3,FALSE),0)</f>
        <v>0</v>
      </c>
      <c r="Y1037" s="2">
        <f>IFERROR(VLOOKUP(J1037,'Rate Sheet'!$D:$F,3,FALSE),0)</f>
        <v>0</v>
      </c>
      <c r="Z1037" s="2">
        <f>IFERROR(VLOOKUP(K1037,'Rate Sheet'!$D:$F,3,FALSE),0)</f>
        <v>0</v>
      </c>
      <c r="AA1037" s="2">
        <f t="shared" si="16"/>
        <v>0</v>
      </c>
    </row>
    <row r="1038" spans="1:28" x14ac:dyDescent="0.25">
      <c r="A1038" t="s">
        <v>33</v>
      </c>
      <c r="B1038" t="s">
        <v>3920</v>
      </c>
      <c r="C1038" t="s">
        <v>21</v>
      </c>
      <c r="D1038" t="s">
        <v>3920</v>
      </c>
      <c r="E1038" t="s">
        <v>2922</v>
      </c>
      <c r="F1038" t="s">
        <v>3921</v>
      </c>
      <c r="G1038" t="s">
        <v>24</v>
      </c>
      <c r="H1038" t="s">
        <v>3922</v>
      </c>
      <c r="N1038" t="s">
        <v>53</v>
      </c>
      <c r="X1038" s="2">
        <f>IFERROR(VLOOKUP(I1038,'Rate Sheet'!$D:$F,3,FALSE),0)</f>
        <v>0</v>
      </c>
      <c r="Y1038" s="2">
        <f>IFERROR(VLOOKUP(J1038,'Rate Sheet'!$D:$F,3,FALSE),0)</f>
        <v>0</v>
      </c>
      <c r="Z1038" s="2">
        <f>IFERROR(VLOOKUP(K1038,'Rate Sheet'!$D:$F,3,FALSE),0)</f>
        <v>0</v>
      </c>
      <c r="AA1038" s="2">
        <f t="shared" si="16"/>
        <v>0</v>
      </c>
    </row>
    <row r="1039" spans="1:28" x14ac:dyDescent="0.25">
      <c r="A1039" t="s">
        <v>33</v>
      </c>
      <c r="B1039" t="s">
        <v>3923</v>
      </c>
      <c r="C1039" t="s">
        <v>29</v>
      </c>
      <c r="D1039" t="s">
        <v>3923</v>
      </c>
      <c r="E1039" t="s">
        <v>678</v>
      </c>
      <c r="F1039" t="s">
        <v>3924</v>
      </c>
      <c r="G1039" t="s">
        <v>24</v>
      </c>
      <c r="H1039" t="s">
        <v>3925</v>
      </c>
      <c r="I1039" t="s">
        <v>46</v>
      </c>
      <c r="N1039" t="s">
        <v>861</v>
      </c>
      <c r="S1039" t="s">
        <v>48</v>
      </c>
      <c r="V1039" s="10" t="s">
        <v>5728</v>
      </c>
      <c r="W1039" s="10" t="s">
        <v>861</v>
      </c>
      <c r="X1039" s="2">
        <f>IFERROR(VLOOKUP(I1039,'Rate Sheet'!$D:$F,3,FALSE),0)</f>
        <v>14.333333333333334</v>
      </c>
      <c r="Y1039" s="2">
        <f>IFERROR(VLOOKUP(J1039,'Rate Sheet'!$D:$F,3,FALSE),0)</f>
        <v>0</v>
      </c>
      <c r="Z1039" s="2">
        <f>IFERROR(VLOOKUP(K1039,'Rate Sheet'!$D:$F,3,FALSE),0)</f>
        <v>0</v>
      </c>
      <c r="AA1039" s="2">
        <f t="shared" si="16"/>
        <v>14.333333333333334</v>
      </c>
      <c r="AB1039">
        <v>1</v>
      </c>
    </row>
    <row r="1040" spans="1:28" x14ac:dyDescent="0.25">
      <c r="A1040" t="s">
        <v>33</v>
      </c>
      <c r="B1040" t="s">
        <v>3926</v>
      </c>
      <c r="C1040" t="s">
        <v>21</v>
      </c>
      <c r="D1040" t="s">
        <v>3926</v>
      </c>
      <c r="E1040" t="s">
        <v>3927</v>
      </c>
      <c r="F1040" t="s">
        <v>3928</v>
      </c>
      <c r="G1040" t="s">
        <v>24</v>
      </c>
      <c r="H1040" t="s">
        <v>3929</v>
      </c>
      <c r="I1040" t="s">
        <v>96</v>
      </c>
      <c r="N1040" t="s">
        <v>148</v>
      </c>
      <c r="S1040" t="s">
        <v>98</v>
      </c>
      <c r="V1040" t="s">
        <v>5689</v>
      </c>
      <c r="W1040" t="s">
        <v>148</v>
      </c>
      <c r="X1040" s="2">
        <f>IFERROR(VLOOKUP(I1040,'Rate Sheet'!$D:$F,3,FALSE),0)</f>
        <v>82.24</v>
      </c>
      <c r="Y1040" s="2">
        <f>IFERROR(VLOOKUP(J1040,'Rate Sheet'!$D:$F,3,FALSE),0)</f>
        <v>0</v>
      </c>
      <c r="Z1040" s="2">
        <f>IFERROR(VLOOKUP(K1040,'Rate Sheet'!$D:$F,3,FALSE),0)</f>
        <v>0</v>
      </c>
      <c r="AA1040" s="2">
        <f t="shared" si="16"/>
        <v>82.24</v>
      </c>
      <c r="AB1040">
        <v>1</v>
      </c>
    </row>
    <row r="1041" spans="1:28" x14ac:dyDescent="0.25">
      <c r="A1041" t="s">
        <v>33</v>
      </c>
      <c r="B1041" t="s">
        <v>3930</v>
      </c>
      <c r="C1041" t="s">
        <v>21</v>
      </c>
      <c r="D1041" t="s">
        <v>3930</v>
      </c>
      <c r="E1041" t="s">
        <v>3931</v>
      </c>
      <c r="F1041" t="s">
        <v>632</v>
      </c>
      <c r="G1041" t="s">
        <v>24</v>
      </c>
      <c r="H1041" t="s">
        <v>3932</v>
      </c>
      <c r="I1041" t="s">
        <v>46</v>
      </c>
      <c r="N1041" t="s">
        <v>1042</v>
      </c>
      <c r="S1041" t="s">
        <v>48</v>
      </c>
      <c r="V1041" t="s">
        <v>5683</v>
      </c>
      <c r="W1041" t="s">
        <v>5684</v>
      </c>
      <c r="X1041" s="2">
        <f>IFERROR(VLOOKUP(I1041,'Rate Sheet'!$D:$F,3,FALSE),0)</f>
        <v>14.333333333333334</v>
      </c>
      <c r="Y1041" s="2">
        <f>IFERROR(VLOOKUP(J1041,'Rate Sheet'!$D:$F,3,FALSE),0)</f>
        <v>0</v>
      </c>
      <c r="Z1041" s="2">
        <f>IFERROR(VLOOKUP(K1041,'Rate Sheet'!$D:$F,3,FALSE),0)</f>
        <v>0</v>
      </c>
      <c r="AA1041" s="2">
        <f t="shared" si="16"/>
        <v>14.333333333333334</v>
      </c>
      <c r="AB1041">
        <v>1</v>
      </c>
    </row>
    <row r="1042" spans="1:28" x14ac:dyDescent="0.25">
      <c r="A1042" t="s">
        <v>33</v>
      </c>
      <c r="B1042" t="s">
        <v>3933</v>
      </c>
      <c r="C1042" t="s">
        <v>21</v>
      </c>
      <c r="D1042" t="s">
        <v>3934</v>
      </c>
      <c r="E1042" t="s">
        <v>3935</v>
      </c>
      <c r="F1042" t="s">
        <v>3936</v>
      </c>
      <c r="G1042" t="s">
        <v>24</v>
      </c>
      <c r="H1042" t="s">
        <v>3937</v>
      </c>
      <c r="I1042" t="s">
        <v>46</v>
      </c>
      <c r="N1042" t="s">
        <v>74</v>
      </c>
      <c r="S1042" t="s">
        <v>48</v>
      </c>
      <c r="V1042" t="s">
        <v>5586</v>
      </c>
      <c r="W1042" t="s">
        <v>5587</v>
      </c>
      <c r="X1042" s="2">
        <f>IFERROR(VLOOKUP(I1042,'Rate Sheet'!$D:$F,3,FALSE),0)</f>
        <v>14.333333333333334</v>
      </c>
      <c r="Y1042" s="2">
        <f>IFERROR(VLOOKUP(J1042,'Rate Sheet'!$D:$F,3,FALSE),0)</f>
        <v>0</v>
      </c>
      <c r="Z1042" s="2">
        <f>IFERROR(VLOOKUP(K1042,'Rate Sheet'!$D:$F,3,FALSE),0)</f>
        <v>0</v>
      </c>
      <c r="AA1042" s="2">
        <f t="shared" si="16"/>
        <v>14.333333333333334</v>
      </c>
      <c r="AB1042">
        <v>1</v>
      </c>
    </row>
    <row r="1043" spans="1:28" x14ac:dyDescent="0.25">
      <c r="A1043" t="s">
        <v>33</v>
      </c>
      <c r="B1043" t="s">
        <v>3938</v>
      </c>
      <c r="C1043" t="s">
        <v>21</v>
      </c>
      <c r="D1043" t="s">
        <v>3938</v>
      </c>
      <c r="E1043" t="s">
        <v>3939</v>
      </c>
      <c r="F1043" t="s">
        <v>3940</v>
      </c>
      <c r="G1043" t="s">
        <v>24</v>
      </c>
      <c r="H1043" t="s">
        <v>3941</v>
      </c>
      <c r="I1043" t="s">
        <v>46</v>
      </c>
      <c r="N1043" t="s">
        <v>1495</v>
      </c>
      <c r="S1043" t="s">
        <v>48</v>
      </c>
      <c r="V1043" t="s">
        <v>5761</v>
      </c>
      <c r="W1043" t="s">
        <v>5762</v>
      </c>
      <c r="X1043" s="2">
        <f>IFERROR(VLOOKUP(I1043,'Rate Sheet'!$D:$F,3,FALSE),0)</f>
        <v>14.333333333333334</v>
      </c>
      <c r="Y1043" s="2">
        <f>IFERROR(VLOOKUP(J1043,'Rate Sheet'!$D:$F,3,FALSE),0)</f>
        <v>0</v>
      </c>
      <c r="Z1043" s="2">
        <f>IFERROR(VLOOKUP(K1043,'Rate Sheet'!$D:$F,3,FALSE),0)</f>
        <v>0</v>
      </c>
      <c r="AA1043" s="2">
        <f t="shared" si="16"/>
        <v>14.333333333333334</v>
      </c>
      <c r="AB1043">
        <v>1</v>
      </c>
    </row>
    <row r="1044" spans="1:28" x14ac:dyDescent="0.25">
      <c r="A1044" t="s">
        <v>33</v>
      </c>
      <c r="B1044" t="s">
        <v>3942</v>
      </c>
      <c r="C1044" t="s">
        <v>21</v>
      </c>
      <c r="D1044" t="s">
        <v>3942</v>
      </c>
      <c r="E1044" t="s">
        <v>1766</v>
      </c>
      <c r="F1044" t="s">
        <v>78</v>
      </c>
      <c r="G1044" t="s">
        <v>24</v>
      </c>
      <c r="H1044" t="s">
        <v>3943</v>
      </c>
      <c r="N1044" t="s">
        <v>1042</v>
      </c>
      <c r="X1044" s="2">
        <f>IFERROR(VLOOKUP(I1044,'Rate Sheet'!$D:$F,3,FALSE),0)</f>
        <v>0</v>
      </c>
      <c r="Y1044" s="2">
        <f>IFERROR(VLOOKUP(J1044,'Rate Sheet'!$D:$F,3,FALSE),0)</f>
        <v>0</v>
      </c>
      <c r="Z1044" s="2">
        <f>IFERROR(VLOOKUP(K1044,'Rate Sheet'!$D:$F,3,FALSE),0)</f>
        <v>0</v>
      </c>
      <c r="AA1044" s="2">
        <f t="shared" si="16"/>
        <v>0</v>
      </c>
    </row>
    <row r="1045" spans="1:28" x14ac:dyDescent="0.25">
      <c r="A1045" t="s">
        <v>33</v>
      </c>
      <c r="B1045" t="s">
        <v>3944</v>
      </c>
      <c r="C1045" t="s">
        <v>92</v>
      </c>
      <c r="D1045" t="s">
        <v>3944</v>
      </c>
      <c r="E1045" t="s">
        <v>1149</v>
      </c>
      <c r="F1045" t="s">
        <v>3945</v>
      </c>
      <c r="G1045" t="s">
        <v>24</v>
      </c>
      <c r="H1045" t="s">
        <v>3946</v>
      </c>
      <c r="I1045" t="s">
        <v>46</v>
      </c>
      <c r="N1045" t="s">
        <v>97</v>
      </c>
      <c r="S1045" t="s">
        <v>48</v>
      </c>
      <c r="V1045" t="s">
        <v>5592</v>
      </c>
      <c r="W1045" t="s">
        <v>97</v>
      </c>
      <c r="X1045" s="2">
        <f>IFERROR(VLOOKUP(I1045,'Rate Sheet'!$D:$F,3,FALSE),0)</f>
        <v>14.333333333333334</v>
      </c>
      <c r="Y1045" s="2">
        <f>IFERROR(VLOOKUP(J1045,'Rate Sheet'!$D:$F,3,FALSE),0)</f>
        <v>0</v>
      </c>
      <c r="Z1045" s="2">
        <f>IFERROR(VLOOKUP(K1045,'Rate Sheet'!$D:$F,3,FALSE),0)</f>
        <v>0</v>
      </c>
      <c r="AA1045" s="2">
        <f t="shared" si="16"/>
        <v>14.333333333333334</v>
      </c>
      <c r="AB1045">
        <v>1</v>
      </c>
    </row>
    <row r="1046" spans="1:28" x14ac:dyDescent="0.25">
      <c r="A1046" t="s">
        <v>33</v>
      </c>
      <c r="B1046" t="s">
        <v>3947</v>
      </c>
      <c r="C1046" t="s">
        <v>21</v>
      </c>
      <c r="D1046" t="s">
        <v>3947</v>
      </c>
      <c r="E1046" t="s">
        <v>3462</v>
      </c>
      <c r="F1046" t="s">
        <v>3948</v>
      </c>
      <c r="G1046" t="s">
        <v>24</v>
      </c>
      <c r="H1046" t="s">
        <v>3949</v>
      </c>
      <c r="I1046" t="s">
        <v>46</v>
      </c>
      <c r="J1046" t="s">
        <v>96</v>
      </c>
      <c r="N1046" t="s">
        <v>2975</v>
      </c>
      <c r="S1046" t="s">
        <v>2399</v>
      </c>
      <c r="V1046" t="s">
        <v>5737</v>
      </c>
      <c r="W1046" t="s">
        <v>5738</v>
      </c>
      <c r="X1046" s="2">
        <f>IFERROR(VLOOKUP(I1046,'Rate Sheet'!$D:$F,3,FALSE),0)</f>
        <v>14.333333333333334</v>
      </c>
      <c r="Y1046" s="2">
        <f>IFERROR(VLOOKUP(J1046,'Rate Sheet'!$D:$F,3,FALSE),0)</f>
        <v>82.24</v>
      </c>
      <c r="Z1046" s="2">
        <f>IFERROR(VLOOKUP(K1046,'Rate Sheet'!$D:$F,3,FALSE),0)</f>
        <v>0</v>
      </c>
      <c r="AA1046" s="2">
        <f t="shared" si="16"/>
        <v>96.573333333333323</v>
      </c>
      <c r="AB1046">
        <v>1</v>
      </c>
    </row>
    <row r="1047" spans="1:28" x14ac:dyDescent="0.25">
      <c r="A1047" t="s">
        <v>33</v>
      </c>
      <c r="B1047" t="s">
        <v>3950</v>
      </c>
      <c r="C1047" t="s">
        <v>21</v>
      </c>
      <c r="D1047" t="s">
        <v>3950</v>
      </c>
      <c r="E1047" t="s">
        <v>3951</v>
      </c>
      <c r="F1047" t="s">
        <v>3952</v>
      </c>
      <c r="G1047" t="s">
        <v>24</v>
      </c>
      <c r="H1047" t="s">
        <v>3953</v>
      </c>
      <c r="X1047" s="2">
        <f>IFERROR(VLOOKUP(I1047,'Rate Sheet'!$D:$F,3,FALSE),0)</f>
        <v>0</v>
      </c>
      <c r="Y1047" s="2">
        <f>IFERROR(VLOOKUP(J1047,'Rate Sheet'!$D:$F,3,FALSE),0)</f>
        <v>0</v>
      </c>
      <c r="Z1047" s="2">
        <f>IFERROR(VLOOKUP(K1047,'Rate Sheet'!$D:$F,3,FALSE),0)</f>
        <v>0</v>
      </c>
      <c r="AA1047" s="2">
        <f t="shared" si="16"/>
        <v>0</v>
      </c>
    </row>
    <row r="1048" spans="1:28" x14ac:dyDescent="0.25">
      <c r="A1048" t="s">
        <v>33</v>
      </c>
      <c r="B1048" t="s">
        <v>3954</v>
      </c>
      <c r="C1048" t="s">
        <v>21</v>
      </c>
      <c r="D1048" t="s">
        <v>3954</v>
      </c>
      <c r="E1048" t="s">
        <v>324</v>
      </c>
      <c r="F1048" t="s">
        <v>3955</v>
      </c>
      <c r="G1048" t="s">
        <v>24</v>
      </c>
      <c r="H1048" t="s">
        <v>3956</v>
      </c>
      <c r="I1048" t="s">
        <v>73</v>
      </c>
      <c r="N1048" t="s">
        <v>38</v>
      </c>
      <c r="S1048" t="s">
        <v>75</v>
      </c>
      <c r="V1048" t="s">
        <v>5582</v>
      </c>
      <c r="W1048" t="s">
        <v>5583</v>
      </c>
      <c r="X1048" s="2">
        <f>IFERROR(VLOOKUP(I1048,'Rate Sheet'!$D:$F,3,FALSE),0)</f>
        <v>8.6983333333333324</v>
      </c>
      <c r="Y1048" s="2">
        <f>IFERROR(VLOOKUP(J1048,'Rate Sheet'!$D:$F,3,FALSE),0)</f>
        <v>0</v>
      </c>
      <c r="Z1048" s="2">
        <f>IFERROR(VLOOKUP(K1048,'Rate Sheet'!$D:$F,3,FALSE),0)</f>
        <v>0</v>
      </c>
      <c r="AA1048" s="2">
        <f t="shared" si="16"/>
        <v>8.6983333333333324</v>
      </c>
      <c r="AB1048">
        <v>1</v>
      </c>
    </row>
    <row r="1049" spans="1:28" x14ac:dyDescent="0.25">
      <c r="A1049" t="s">
        <v>33</v>
      </c>
      <c r="B1049" t="s">
        <v>3957</v>
      </c>
      <c r="C1049" t="s">
        <v>29</v>
      </c>
      <c r="D1049" t="s">
        <v>3957</v>
      </c>
      <c r="E1049" t="s">
        <v>302</v>
      </c>
      <c r="F1049" t="s">
        <v>3958</v>
      </c>
      <c r="G1049" t="s">
        <v>24</v>
      </c>
      <c r="H1049" t="s">
        <v>3959</v>
      </c>
      <c r="I1049" t="s">
        <v>73</v>
      </c>
      <c r="N1049" t="s">
        <v>246</v>
      </c>
      <c r="S1049" t="s">
        <v>75</v>
      </c>
      <c r="V1049" t="s">
        <v>5661</v>
      </c>
      <c r="W1049" t="s">
        <v>246</v>
      </c>
      <c r="X1049" s="2">
        <f>IFERROR(VLOOKUP(I1049,'Rate Sheet'!$D:$F,3,FALSE),0)</f>
        <v>8.6983333333333324</v>
      </c>
      <c r="Y1049" s="2">
        <f>IFERROR(VLOOKUP(J1049,'Rate Sheet'!$D:$F,3,FALSE),0)</f>
        <v>0</v>
      </c>
      <c r="Z1049" s="2">
        <f>IFERROR(VLOOKUP(K1049,'Rate Sheet'!$D:$F,3,FALSE),0)</f>
        <v>0</v>
      </c>
      <c r="AA1049" s="2">
        <f t="shared" si="16"/>
        <v>8.6983333333333324</v>
      </c>
      <c r="AB1049">
        <v>1</v>
      </c>
    </row>
    <row r="1050" spans="1:28" x14ac:dyDescent="0.25">
      <c r="A1050" t="s">
        <v>33</v>
      </c>
      <c r="B1050" t="s">
        <v>3960</v>
      </c>
      <c r="C1050" t="s">
        <v>21</v>
      </c>
      <c r="D1050" t="s">
        <v>3960</v>
      </c>
      <c r="E1050" t="s">
        <v>2404</v>
      </c>
      <c r="F1050" t="s">
        <v>3961</v>
      </c>
      <c r="G1050" t="s">
        <v>24</v>
      </c>
      <c r="H1050" t="s">
        <v>3962</v>
      </c>
      <c r="I1050" t="s">
        <v>46</v>
      </c>
      <c r="N1050" t="s">
        <v>484</v>
      </c>
      <c r="S1050" t="s">
        <v>48</v>
      </c>
      <c r="V1050" t="s">
        <v>5642</v>
      </c>
      <c r="W1050" t="s">
        <v>484</v>
      </c>
      <c r="X1050" s="2">
        <f>IFERROR(VLOOKUP(I1050,'Rate Sheet'!$D:$F,3,FALSE),0)</f>
        <v>14.333333333333334</v>
      </c>
      <c r="Y1050" s="2">
        <f>IFERROR(VLOOKUP(J1050,'Rate Sheet'!$D:$F,3,FALSE),0)</f>
        <v>0</v>
      </c>
      <c r="Z1050" s="2">
        <f>IFERROR(VLOOKUP(K1050,'Rate Sheet'!$D:$F,3,FALSE),0)</f>
        <v>0</v>
      </c>
      <c r="AA1050" s="2">
        <f t="shared" si="16"/>
        <v>14.333333333333334</v>
      </c>
      <c r="AB1050">
        <v>1</v>
      </c>
    </row>
    <row r="1051" spans="1:28" x14ac:dyDescent="0.25">
      <c r="A1051" t="s">
        <v>33</v>
      </c>
      <c r="B1051" t="s">
        <v>3963</v>
      </c>
      <c r="C1051" t="s">
        <v>21</v>
      </c>
      <c r="D1051" t="s">
        <v>3963</v>
      </c>
      <c r="E1051" t="s">
        <v>2864</v>
      </c>
      <c r="F1051" t="s">
        <v>3713</v>
      </c>
      <c r="G1051" t="s">
        <v>24</v>
      </c>
      <c r="H1051" t="s">
        <v>3964</v>
      </c>
      <c r="I1051" t="s">
        <v>46</v>
      </c>
      <c r="N1051" t="s">
        <v>309</v>
      </c>
      <c r="S1051" t="s">
        <v>48</v>
      </c>
      <c r="V1051" t="s">
        <v>5742</v>
      </c>
      <c r="W1051" t="s">
        <v>5743</v>
      </c>
      <c r="X1051" s="2">
        <f>IFERROR(VLOOKUP(I1051,'Rate Sheet'!$D:$F,3,FALSE),0)</f>
        <v>14.333333333333334</v>
      </c>
      <c r="Y1051" s="2">
        <f>IFERROR(VLOOKUP(J1051,'Rate Sheet'!$D:$F,3,FALSE),0)</f>
        <v>0</v>
      </c>
      <c r="Z1051" s="2">
        <f>IFERROR(VLOOKUP(K1051,'Rate Sheet'!$D:$F,3,FALSE),0)</f>
        <v>0</v>
      </c>
      <c r="AA1051" s="2">
        <f t="shared" si="16"/>
        <v>14.333333333333334</v>
      </c>
      <c r="AB1051">
        <v>1</v>
      </c>
    </row>
    <row r="1052" spans="1:28" x14ac:dyDescent="0.25">
      <c r="A1052" t="s">
        <v>33</v>
      </c>
      <c r="B1052" t="s">
        <v>3965</v>
      </c>
      <c r="C1052" t="s">
        <v>92</v>
      </c>
      <c r="D1052" t="s">
        <v>3965</v>
      </c>
      <c r="E1052" t="s">
        <v>583</v>
      </c>
      <c r="F1052" t="b">
        <v>1</v>
      </c>
      <c r="G1052" t="s">
        <v>24</v>
      </c>
      <c r="H1052" t="s">
        <v>3966</v>
      </c>
      <c r="I1052" t="s">
        <v>46</v>
      </c>
      <c r="N1052" t="s">
        <v>97</v>
      </c>
      <c r="S1052" t="s">
        <v>48</v>
      </c>
      <c r="V1052" t="s">
        <v>5592</v>
      </c>
      <c r="W1052" t="s">
        <v>97</v>
      </c>
      <c r="X1052" s="2">
        <f>IFERROR(VLOOKUP(I1052,'Rate Sheet'!$D:$F,3,FALSE),0)</f>
        <v>14.333333333333334</v>
      </c>
      <c r="Y1052" s="2">
        <f>IFERROR(VLOOKUP(J1052,'Rate Sheet'!$D:$F,3,FALSE),0)</f>
        <v>0</v>
      </c>
      <c r="Z1052" s="2">
        <f>IFERROR(VLOOKUP(K1052,'Rate Sheet'!$D:$F,3,FALSE),0)</f>
        <v>0</v>
      </c>
      <c r="AA1052" s="2">
        <f t="shared" si="16"/>
        <v>14.333333333333334</v>
      </c>
      <c r="AB1052">
        <v>1</v>
      </c>
    </row>
    <row r="1053" spans="1:28" x14ac:dyDescent="0.25">
      <c r="A1053" t="s">
        <v>33</v>
      </c>
      <c r="B1053" t="s">
        <v>3967</v>
      </c>
      <c r="C1053" t="s">
        <v>29</v>
      </c>
      <c r="D1053" t="s">
        <v>3967</v>
      </c>
      <c r="E1053" t="s">
        <v>3968</v>
      </c>
      <c r="F1053" t="s">
        <v>3969</v>
      </c>
      <c r="G1053" t="s">
        <v>24</v>
      </c>
      <c r="H1053" t="s">
        <v>3970</v>
      </c>
      <c r="I1053" t="s">
        <v>73</v>
      </c>
      <c r="N1053" t="s">
        <v>190</v>
      </c>
      <c r="S1053" t="s">
        <v>75</v>
      </c>
      <c r="V1053" t="s">
        <v>5612</v>
      </c>
      <c r="W1053" t="s">
        <v>5613</v>
      </c>
      <c r="X1053" s="2">
        <f>IFERROR(VLOOKUP(I1053,'Rate Sheet'!$D:$F,3,FALSE),0)</f>
        <v>8.6983333333333324</v>
      </c>
      <c r="Y1053" s="2">
        <f>IFERROR(VLOOKUP(J1053,'Rate Sheet'!$D:$F,3,FALSE),0)</f>
        <v>0</v>
      </c>
      <c r="Z1053" s="2">
        <f>IFERROR(VLOOKUP(K1053,'Rate Sheet'!$D:$F,3,FALSE),0)</f>
        <v>0</v>
      </c>
      <c r="AA1053" s="2">
        <f t="shared" si="16"/>
        <v>8.6983333333333324</v>
      </c>
      <c r="AB1053">
        <v>1</v>
      </c>
    </row>
    <row r="1054" spans="1:28" x14ac:dyDescent="0.25">
      <c r="A1054" t="s">
        <v>33</v>
      </c>
      <c r="B1054" t="s">
        <v>3971</v>
      </c>
      <c r="C1054" t="s">
        <v>21</v>
      </c>
      <c r="D1054" t="s">
        <v>3971</v>
      </c>
      <c r="E1054" t="s">
        <v>3972</v>
      </c>
      <c r="G1054" t="s">
        <v>24</v>
      </c>
      <c r="H1054" t="s">
        <v>3973</v>
      </c>
      <c r="N1054" t="s">
        <v>697</v>
      </c>
      <c r="X1054" s="2">
        <f>IFERROR(VLOOKUP(I1054,'Rate Sheet'!$D:$F,3,FALSE),0)</f>
        <v>0</v>
      </c>
      <c r="Y1054" s="2">
        <f>IFERROR(VLOOKUP(J1054,'Rate Sheet'!$D:$F,3,FALSE),0)</f>
        <v>0</v>
      </c>
      <c r="Z1054" s="2">
        <f>IFERROR(VLOOKUP(K1054,'Rate Sheet'!$D:$F,3,FALSE),0)</f>
        <v>0</v>
      </c>
      <c r="AA1054" s="2">
        <f t="shared" si="16"/>
        <v>0</v>
      </c>
    </row>
    <row r="1055" spans="1:28" x14ac:dyDescent="0.25">
      <c r="A1055" t="s">
        <v>33</v>
      </c>
      <c r="B1055" t="s">
        <v>3974</v>
      </c>
      <c r="C1055" t="s">
        <v>21</v>
      </c>
      <c r="D1055" t="s">
        <v>3974</v>
      </c>
      <c r="E1055" t="s">
        <v>1068</v>
      </c>
      <c r="F1055" t="s">
        <v>3975</v>
      </c>
      <c r="G1055" t="s">
        <v>24</v>
      </c>
      <c r="H1055" t="s">
        <v>3976</v>
      </c>
      <c r="N1055" t="s">
        <v>185</v>
      </c>
      <c r="X1055" s="2">
        <f>IFERROR(VLOOKUP(I1055,'Rate Sheet'!$D:$F,3,FALSE),0)</f>
        <v>0</v>
      </c>
      <c r="Y1055" s="2">
        <f>IFERROR(VLOOKUP(J1055,'Rate Sheet'!$D:$F,3,FALSE),0)</f>
        <v>0</v>
      </c>
      <c r="Z1055" s="2">
        <f>IFERROR(VLOOKUP(K1055,'Rate Sheet'!$D:$F,3,FALSE),0)</f>
        <v>0</v>
      </c>
      <c r="AA1055" s="2">
        <f t="shared" si="16"/>
        <v>0</v>
      </c>
    </row>
    <row r="1056" spans="1:28" x14ac:dyDescent="0.25">
      <c r="A1056" t="s">
        <v>33</v>
      </c>
      <c r="B1056" t="s">
        <v>3977</v>
      </c>
      <c r="C1056" t="s">
        <v>21</v>
      </c>
      <c r="D1056" t="s">
        <v>3977</v>
      </c>
      <c r="E1056" t="s">
        <v>3978</v>
      </c>
      <c r="F1056" t="s">
        <v>3979</v>
      </c>
      <c r="G1056" t="s">
        <v>24</v>
      </c>
      <c r="H1056" t="s">
        <v>3980</v>
      </c>
      <c r="I1056" t="s">
        <v>73</v>
      </c>
      <c r="J1056" t="s">
        <v>3565</v>
      </c>
      <c r="N1056" t="s">
        <v>47</v>
      </c>
      <c r="S1056" t="s">
        <v>3982</v>
      </c>
      <c r="V1056" t="s">
        <v>5578</v>
      </c>
      <c r="W1056" t="s">
        <v>5579</v>
      </c>
      <c r="X1056" s="2">
        <f>IFERROR(VLOOKUP(I1056,'Rate Sheet'!$D:$F,3,FALSE),0)</f>
        <v>8.6983333333333324</v>
      </c>
      <c r="Y1056" s="2">
        <f>IFERROR(VLOOKUP(J1056,'Rate Sheet'!$D:$F,3,FALSE),0)</f>
        <v>0</v>
      </c>
      <c r="Z1056" s="2">
        <f>IFERROR(VLOOKUP(K1056,'Rate Sheet'!$D:$F,3,FALSE),0)</f>
        <v>0</v>
      </c>
      <c r="AA1056" s="2">
        <f t="shared" si="16"/>
        <v>8.6983333333333324</v>
      </c>
      <c r="AB1056">
        <v>1</v>
      </c>
    </row>
    <row r="1057" spans="1:28" x14ac:dyDescent="0.25">
      <c r="A1057" t="s">
        <v>33</v>
      </c>
      <c r="B1057" t="s">
        <v>3983</v>
      </c>
      <c r="C1057" t="s">
        <v>29</v>
      </c>
      <c r="D1057" t="s">
        <v>3983</v>
      </c>
      <c r="E1057" t="s">
        <v>1946</v>
      </c>
      <c r="F1057" t="s">
        <v>3984</v>
      </c>
      <c r="G1057" t="s">
        <v>24</v>
      </c>
      <c r="H1057" t="s">
        <v>3985</v>
      </c>
      <c r="I1057" t="s">
        <v>46</v>
      </c>
      <c r="N1057" t="s">
        <v>3808</v>
      </c>
      <c r="S1057" t="s">
        <v>48</v>
      </c>
      <c r="V1057" t="s">
        <v>5756</v>
      </c>
      <c r="W1057" t="s">
        <v>3808</v>
      </c>
      <c r="X1057" s="2">
        <f>IFERROR(VLOOKUP(I1057,'Rate Sheet'!$D:$F,3,FALSE),0)</f>
        <v>14.333333333333334</v>
      </c>
      <c r="Y1057" s="2">
        <f>IFERROR(VLOOKUP(J1057,'Rate Sheet'!$D:$F,3,FALSE),0)</f>
        <v>0</v>
      </c>
      <c r="Z1057" s="2">
        <f>IFERROR(VLOOKUP(K1057,'Rate Sheet'!$D:$F,3,FALSE),0)</f>
        <v>0</v>
      </c>
      <c r="AA1057" s="2">
        <f t="shared" si="16"/>
        <v>14.333333333333334</v>
      </c>
      <c r="AB1057">
        <v>1</v>
      </c>
    </row>
    <row r="1058" spans="1:28" x14ac:dyDescent="0.25">
      <c r="A1058" t="s">
        <v>33</v>
      </c>
      <c r="B1058" t="s">
        <v>3986</v>
      </c>
      <c r="C1058" t="s">
        <v>21</v>
      </c>
      <c r="D1058" t="s">
        <v>3986</v>
      </c>
      <c r="E1058" t="s">
        <v>284</v>
      </c>
      <c r="F1058" t="s">
        <v>3987</v>
      </c>
      <c r="G1058" t="s">
        <v>24</v>
      </c>
      <c r="H1058" t="s">
        <v>3988</v>
      </c>
      <c r="N1058" t="s">
        <v>2758</v>
      </c>
      <c r="X1058" s="2">
        <f>IFERROR(VLOOKUP(I1058,'Rate Sheet'!$D:$F,3,FALSE),0)</f>
        <v>0</v>
      </c>
      <c r="Y1058" s="2">
        <f>IFERROR(VLOOKUP(J1058,'Rate Sheet'!$D:$F,3,FALSE),0)</f>
        <v>0</v>
      </c>
      <c r="Z1058" s="2">
        <f>IFERROR(VLOOKUP(K1058,'Rate Sheet'!$D:$F,3,FALSE),0)</f>
        <v>0</v>
      </c>
      <c r="AA1058" s="2">
        <f t="shared" si="16"/>
        <v>0</v>
      </c>
    </row>
    <row r="1059" spans="1:28" x14ac:dyDescent="0.25">
      <c r="A1059" t="s">
        <v>33</v>
      </c>
      <c r="B1059" t="s">
        <v>3989</v>
      </c>
      <c r="C1059" t="s">
        <v>21</v>
      </c>
      <c r="D1059" t="s">
        <v>3990</v>
      </c>
      <c r="E1059" t="s">
        <v>1762</v>
      </c>
      <c r="F1059" t="s">
        <v>3320</v>
      </c>
      <c r="G1059" t="s">
        <v>24</v>
      </c>
      <c r="H1059" t="s">
        <v>3991</v>
      </c>
      <c r="I1059" t="s">
        <v>46</v>
      </c>
      <c r="J1059" t="s">
        <v>5565</v>
      </c>
      <c r="N1059" t="s">
        <v>2925</v>
      </c>
      <c r="S1059" t="s">
        <v>3601</v>
      </c>
      <c r="V1059" t="s">
        <v>5737</v>
      </c>
      <c r="W1059" t="s">
        <v>5738</v>
      </c>
      <c r="X1059" s="2">
        <f>IFERROR(VLOOKUP(I1059,'Rate Sheet'!$D:$F,3,FALSE),0)</f>
        <v>14.333333333333334</v>
      </c>
      <c r="Y1059" s="2">
        <f>IFERROR(VLOOKUP(J1059,'Rate Sheet'!$D:$F,3,FALSE),0)</f>
        <v>0</v>
      </c>
      <c r="Z1059" s="2">
        <f>IFERROR(VLOOKUP(K1059,'Rate Sheet'!$D:$F,3,FALSE),0)</f>
        <v>0</v>
      </c>
      <c r="AA1059" s="2">
        <f t="shared" si="16"/>
        <v>14.333333333333334</v>
      </c>
      <c r="AB1059">
        <v>1</v>
      </c>
    </row>
    <row r="1060" spans="1:28" x14ac:dyDescent="0.25">
      <c r="A1060" t="s">
        <v>33</v>
      </c>
      <c r="B1060" t="s">
        <v>3992</v>
      </c>
      <c r="C1060" t="s">
        <v>21</v>
      </c>
      <c r="D1060" t="s">
        <v>3992</v>
      </c>
      <c r="E1060" t="s">
        <v>449</v>
      </c>
      <c r="F1060" t="s">
        <v>3050</v>
      </c>
      <c r="G1060" t="s">
        <v>24</v>
      </c>
      <c r="H1060" t="s">
        <v>3993</v>
      </c>
      <c r="I1060" t="s">
        <v>46</v>
      </c>
      <c r="N1060" t="s">
        <v>1433</v>
      </c>
      <c r="S1060" t="s">
        <v>48</v>
      </c>
      <c r="V1060" t="s">
        <v>5582</v>
      </c>
      <c r="W1060" t="s">
        <v>5583</v>
      </c>
      <c r="X1060" s="2">
        <f>IFERROR(VLOOKUP(I1060,'Rate Sheet'!$D:$F,3,FALSE),0)</f>
        <v>14.333333333333334</v>
      </c>
      <c r="Y1060" s="2">
        <f>IFERROR(VLOOKUP(J1060,'Rate Sheet'!$D:$F,3,FALSE),0)</f>
        <v>0</v>
      </c>
      <c r="Z1060" s="2">
        <f>IFERROR(VLOOKUP(K1060,'Rate Sheet'!$D:$F,3,FALSE),0)</f>
        <v>0</v>
      </c>
      <c r="AA1060" s="2">
        <f t="shared" si="16"/>
        <v>14.333333333333334</v>
      </c>
      <c r="AB1060">
        <v>1</v>
      </c>
    </row>
    <row r="1061" spans="1:28" x14ac:dyDescent="0.25">
      <c r="A1061" t="s">
        <v>33</v>
      </c>
      <c r="B1061" t="s">
        <v>3994</v>
      </c>
      <c r="C1061" t="s">
        <v>21</v>
      </c>
      <c r="D1061" t="s">
        <v>3994</v>
      </c>
      <c r="E1061" t="s">
        <v>3995</v>
      </c>
      <c r="F1061" t="s">
        <v>3996</v>
      </c>
      <c r="G1061" t="s">
        <v>24</v>
      </c>
      <c r="H1061" t="s">
        <v>3997</v>
      </c>
      <c r="I1061" t="s">
        <v>46</v>
      </c>
      <c r="N1061" t="s">
        <v>181</v>
      </c>
      <c r="S1061" t="s">
        <v>48</v>
      </c>
      <c r="V1061" t="s">
        <v>5609</v>
      </c>
      <c r="W1061" t="s">
        <v>181</v>
      </c>
      <c r="X1061" s="2">
        <f>IFERROR(VLOOKUP(I1061,'Rate Sheet'!$D:$F,3,FALSE),0)</f>
        <v>14.333333333333334</v>
      </c>
      <c r="Y1061" s="2">
        <f>IFERROR(VLOOKUP(J1061,'Rate Sheet'!$D:$F,3,FALSE),0)</f>
        <v>0</v>
      </c>
      <c r="Z1061" s="2">
        <f>IFERROR(VLOOKUP(K1061,'Rate Sheet'!$D:$F,3,FALSE),0)</f>
        <v>0</v>
      </c>
      <c r="AA1061" s="2">
        <f t="shared" si="16"/>
        <v>14.333333333333334</v>
      </c>
      <c r="AB1061">
        <v>1</v>
      </c>
    </row>
    <row r="1062" spans="1:28" x14ac:dyDescent="0.25">
      <c r="A1062" t="s">
        <v>33</v>
      </c>
      <c r="B1062" t="s">
        <v>3998</v>
      </c>
      <c r="C1062" t="s">
        <v>21</v>
      </c>
      <c r="D1062" t="s">
        <v>3998</v>
      </c>
      <c r="E1062" t="s">
        <v>140</v>
      </c>
      <c r="F1062" t="s">
        <v>3999</v>
      </c>
      <c r="G1062" t="s">
        <v>24</v>
      </c>
      <c r="H1062" t="s">
        <v>4000</v>
      </c>
      <c r="N1062" t="s">
        <v>1184</v>
      </c>
      <c r="X1062" s="2">
        <f>IFERROR(VLOOKUP(I1062,'Rate Sheet'!$D:$F,3,FALSE),0)</f>
        <v>0</v>
      </c>
      <c r="Y1062" s="2">
        <f>IFERROR(VLOOKUP(J1062,'Rate Sheet'!$D:$F,3,FALSE),0)</f>
        <v>0</v>
      </c>
      <c r="Z1062" s="2">
        <f>IFERROR(VLOOKUP(K1062,'Rate Sheet'!$D:$F,3,FALSE),0)</f>
        <v>0</v>
      </c>
      <c r="AA1062" s="2">
        <f t="shared" si="16"/>
        <v>0</v>
      </c>
    </row>
    <row r="1063" spans="1:28" x14ac:dyDescent="0.25">
      <c r="A1063" t="s">
        <v>33</v>
      </c>
      <c r="B1063" t="s">
        <v>4001</v>
      </c>
      <c r="C1063" t="s">
        <v>21</v>
      </c>
      <c r="D1063" t="s">
        <v>4001</v>
      </c>
      <c r="E1063" t="s">
        <v>4002</v>
      </c>
      <c r="F1063" t="s">
        <v>4003</v>
      </c>
      <c r="G1063" t="s">
        <v>24</v>
      </c>
      <c r="H1063" t="s">
        <v>4004</v>
      </c>
      <c r="I1063" t="s">
        <v>46</v>
      </c>
      <c r="N1063" t="s">
        <v>273</v>
      </c>
      <c r="S1063" t="s">
        <v>48</v>
      </c>
      <c r="V1063" t="s">
        <v>5621</v>
      </c>
      <c r="W1063" t="s">
        <v>5622</v>
      </c>
      <c r="X1063" s="2">
        <f>IFERROR(VLOOKUP(I1063,'Rate Sheet'!$D:$F,3,FALSE),0)</f>
        <v>14.333333333333334</v>
      </c>
      <c r="Y1063" s="2">
        <f>IFERROR(VLOOKUP(J1063,'Rate Sheet'!$D:$F,3,FALSE),0)</f>
        <v>0</v>
      </c>
      <c r="Z1063" s="2">
        <f>IFERROR(VLOOKUP(K1063,'Rate Sheet'!$D:$F,3,FALSE),0)</f>
        <v>0</v>
      </c>
      <c r="AA1063" s="2">
        <f t="shared" si="16"/>
        <v>14.333333333333334</v>
      </c>
      <c r="AB1063">
        <v>1</v>
      </c>
    </row>
    <row r="1064" spans="1:28" x14ac:dyDescent="0.25">
      <c r="A1064" t="s">
        <v>19</v>
      </c>
      <c r="B1064" t="s">
        <v>4005</v>
      </c>
      <c r="C1064" t="s">
        <v>4006</v>
      </c>
      <c r="D1064" t="s">
        <v>4005</v>
      </c>
      <c r="E1064" t="s">
        <v>1762</v>
      </c>
      <c r="F1064" t="s">
        <v>3320</v>
      </c>
      <c r="G1064" t="s">
        <v>24</v>
      </c>
      <c r="H1064" t="s">
        <v>4007</v>
      </c>
      <c r="N1064" t="s">
        <v>2925</v>
      </c>
      <c r="X1064" s="2">
        <f>IFERROR(VLOOKUP(I1064,'Rate Sheet'!$D:$F,3,FALSE),0)</f>
        <v>0</v>
      </c>
      <c r="Y1064" s="2">
        <f>IFERROR(VLOOKUP(J1064,'Rate Sheet'!$D:$F,3,FALSE),0)</f>
        <v>0</v>
      </c>
      <c r="Z1064" s="2">
        <f>IFERROR(VLOOKUP(K1064,'Rate Sheet'!$D:$F,3,FALSE),0)</f>
        <v>0</v>
      </c>
      <c r="AA1064" s="2">
        <f t="shared" si="16"/>
        <v>0</v>
      </c>
    </row>
    <row r="1065" spans="1:28" x14ac:dyDescent="0.25">
      <c r="A1065" t="s">
        <v>33</v>
      </c>
      <c r="B1065" t="s">
        <v>4008</v>
      </c>
      <c r="C1065" t="s">
        <v>21</v>
      </c>
      <c r="D1065" t="s">
        <v>4009</v>
      </c>
      <c r="E1065" t="s">
        <v>2211</v>
      </c>
      <c r="F1065" t="s">
        <v>4010</v>
      </c>
      <c r="G1065" t="s">
        <v>24</v>
      </c>
      <c r="H1065" t="s">
        <v>4011</v>
      </c>
      <c r="I1065" t="s">
        <v>46</v>
      </c>
      <c r="N1065" t="s">
        <v>914</v>
      </c>
      <c r="S1065" t="s">
        <v>48</v>
      </c>
      <c r="V1065" s="10" t="s">
        <v>5686</v>
      </c>
      <c r="W1065" s="10" t="s">
        <v>5687</v>
      </c>
      <c r="X1065" s="2">
        <f>IFERROR(VLOOKUP(I1065,'Rate Sheet'!$D:$F,3,FALSE),0)</f>
        <v>14.333333333333334</v>
      </c>
      <c r="Y1065" s="2">
        <f>IFERROR(VLOOKUP(J1065,'Rate Sheet'!$D:$F,3,FALSE),0)</f>
        <v>0</v>
      </c>
      <c r="Z1065" s="2">
        <f>IFERROR(VLOOKUP(K1065,'Rate Sheet'!$D:$F,3,FALSE),0)</f>
        <v>0</v>
      </c>
      <c r="AA1065" s="2">
        <f t="shared" si="16"/>
        <v>14.333333333333334</v>
      </c>
      <c r="AB1065">
        <v>1</v>
      </c>
    </row>
    <row r="1066" spans="1:28" x14ac:dyDescent="0.25">
      <c r="A1066" t="s">
        <v>33</v>
      </c>
      <c r="B1066" t="s">
        <v>4012</v>
      </c>
      <c r="C1066" t="s">
        <v>21</v>
      </c>
      <c r="D1066" t="s">
        <v>4012</v>
      </c>
      <c r="E1066" t="s">
        <v>1810</v>
      </c>
      <c r="F1066" t="s">
        <v>4013</v>
      </c>
      <c r="G1066" t="s">
        <v>24</v>
      </c>
      <c r="H1066" t="s">
        <v>4014</v>
      </c>
      <c r="I1066" t="s">
        <v>73</v>
      </c>
      <c r="N1066" t="s">
        <v>692</v>
      </c>
      <c r="S1066" t="s">
        <v>75</v>
      </c>
      <c r="V1066" t="s">
        <v>5640</v>
      </c>
      <c r="W1066" t="s">
        <v>5641</v>
      </c>
      <c r="X1066" s="2">
        <f>IFERROR(VLOOKUP(I1066,'Rate Sheet'!$D:$F,3,FALSE),0)</f>
        <v>8.6983333333333324</v>
      </c>
      <c r="Y1066" s="2">
        <f>IFERROR(VLOOKUP(J1066,'Rate Sheet'!$D:$F,3,FALSE),0)</f>
        <v>0</v>
      </c>
      <c r="Z1066" s="2">
        <f>IFERROR(VLOOKUP(K1066,'Rate Sheet'!$D:$F,3,FALSE),0)</f>
        <v>0</v>
      </c>
      <c r="AA1066" s="2">
        <f t="shared" si="16"/>
        <v>8.6983333333333324</v>
      </c>
      <c r="AB1066">
        <v>1</v>
      </c>
    </row>
    <row r="1067" spans="1:28" x14ac:dyDescent="0.25">
      <c r="A1067" t="s">
        <v>33</v>
      </c>
      <c r="B1067" t="s">
        <v>4015</v>
      </c>
      <c r="C1067" t="s">
        <v>21</v>
      </c>
      <c r="D1067" t="s">
        <v>4015</v>
      </c>
      <c r="E1067" t="s">
        <v>178</v>
      </c>
      <c r="F1067" t="s">
        <v>4016</v>
      </c>
      <c r="G1067" t="s">
        <v>24</v>
      </c>
      <c r="H1067" t="s">
        <v>4017</v>
      </c>
      <c r="I1067" t="s">
        <v>73</v>
      </c>
      <c r="N1067" t="s">
        <v>309</v>
      </c>
      <c r="S1067" t="s">
        <v>75</v>
      </c>
      <c r="V1067" t="s">
        <v>5742</v>
      </c>
      <c r="W1067" t="s">
        <v>5743</v>
      </c>
      <c r="X1067" s="2">
        <f>IFERROR(VLOOKUP(I1067,'Rate Sheet'!$D:$F,3,FALSE),0)</f>
        <v>8.6983333333333324</v>
      </c>
      <c r="Y1067" s="2">
        <f>IFERROR(VLOOKUP(J1067,'Rate Sheet'!$D:$F,3,FALSE),0)</f>
        <v>0</v>
      </c>
      <c r="Z1067" s="2">
        <f>IFERROR(VLOOKUP(K1067,'Rate Sheet'!$D:$F,3,FALSE),0)</f>
        <v>0</v>
      </c>
      <c r="AA1067" s="2">
        <f t="shared" si="16"/>
        <v>8.6983333333333324</v>
      </c>
      <c r="AB1067">
        <v>1</v>
      </c>
    </row>
    <row r="1068" spans="1:28" x14ac:dyDescent="0.25">
      <c r="A1068" t="s">
        <v>33</v>
      </c>
      <c r="B1068" t="s">
        <v>4018</v>
      </c>
      <c r="C1068" t="s">
        <v>21</v>
      </c>
      <c r="D1068" t="s">
        <v>4018</v>
      </c>
      <c r="E1068" t="s">
        <v>2813</v>
      </c>
      <c r="F1068" t="s">
        <v>4019</v>
      </c>
      <c r="G1068" t="s">
        <v>24</v>
      </c>
      <c r="H1068" t="s">
        <v>4020</v>
      </c>
      <c r="I1068" t="s">
        <v>46</v>
      </c>
      <c r="N1068" t="s">
        <v>389</v>
      </c>
      <c r="S1068" t="s">
        <v>48</v>
      </c>
      <c r="V1068" t="s">
        <v>5640</v>
      </c>
      <c r="W1068" t="s">
        <v>5641</v>
      </c>
      <c r="X1068" s="2">
        <f>IFERROR(VLOOKUP(I1068,'Rate Sheet'!$D:$F,3,FALSE),0)</f>
        <v>14.333333333333334</v>
      </c>
      <c r="Y1068" s="2">
        <f>IFERROR(VLOOKUP(J1068,'Rate Sheet'!$D:$F,3,FALSE),0)</f>
        <v>0</v>
      </c>
      <c r="Z1068" s="2">
        <f>IFERROR(VLOOKUP(K1068,'Rate Sheet'!$D:$F,3,FALSE),0)</f>
        <v>0</v>
      </c>
      <c r="AA1068" s="2">
        <f t="shared" si="16"/>
        <v>14.333333333333334</v>
      </c>
      <c r="AB1068">
        <v>1</v>
      </c>
    </row>
    <row r="1069" spans="1:28" x14ac:dyDescent="0.25">
      <c r="A1069" t="s">
        <v>33</v>
      </c>
      <c r="B1069" t="s">
        <v>4021</v>
      </c>
      <c r="C1069" t="s">
        <v>21</v>
      </c>
      <c r="D1069" t="s">
        <v>4021</v>
      </c>
      <c r="E1069" t="s">
        <v>159</v>
      </c>
      <c r="F1069" t="s">
        <v>4022</v>
      </c>
      <c r="G1069" t="s">
        <v>24</v>
      </c>
      <c r="H1069" t="s">
        <v>4023</v>
      </c>
      <c r="I1069" t="s">
        <v>73</v>
      </c>
      <c r="N1069" t="s">
        <v>2014</v>
      </c>
      <c r="S1069" t="s">
        <v>75</v>
      </c>
      <c r="V1069" t="s">
        <v>5707</v>
      </c>
      <c r="W1069" t="s">
        <v>2014</v>
      </c>
      <c r="X1069" s="2">
        <f>IFERROR(VLOOKUP(I1069,'Rate Sheet'!$D:$F,3,FALSE),0)</f>
        <v>8.6983333333333324</v>
      </c>
      <c r="Y1069" s="2">
        <f>IFERROR(VLOOKUP(J1069,'Rate Sheet'!$D:$F,3,FALSE),0)</f>
        <v>0</v>
      </c>
      <c r="Z1069" s="2">
        <f>IFERROR(VLOOKUP(K1069,'Rate Sheet'!$D:$F,3,FALSE),0)</f>
        <v>0</v>
      </c>
      <c r="AA1069" s="2">
        <f t="shared" si="16"/>
        <v>8.6983333333333324</v>
      </c>
      <c r="AB1069">
        <v>1</v>
      </c>
    </row>
    <row r="1070" spans="1:28" x14ac:dyDescent="0.25">
      <c r="A1070" t="s">
        <v>33</v>
      </c>
      <c r="B1070" t="s">
        <v>4024</v>
      </c>
      <c r="C1070" t="s">
        <v>21</v>
      </c>
      <c r="D1070" t="s">
        <v>4024</v>
      </c>
      <c r="E1070" t="s">
        <v>2819</v>
      </c>
      <c r="F1070" t="s">
        <v>3504</v>
      </c>
      <c r="G1070" t="s">
        <v>24</v>
      </c>
      <c r="H1070" t="s">
        <v>4025</v>
      </c>
      <c r="I1070" t="s">
        <v>73</v>
      </c>
      <c r="N1070" t="s">
        <v>138</v>
      </c>
      <c r="S1070" t="s">
        <v>75</v>
      </c>
      <c r="V1070" t="s">
        <v>5696</v>
      </c>
      <c r="W1070" t="s">
        <v>5697</v>
      </c>
      <c r="X1070" s="2">
        <f>IFERROR(VLOOKUP(I1070,'Rate Sheet'!$D:$F,3,FALSE),0)</f>
        <v>8.6983333333333324</v>
      </c>
      <c r="Y1070" s="2">
        <f>IFERROR(VLOOKUP(J1070,'Rate Sheet'!$D:$F,3,FALSE),0)</f>
        <v>0</v>
      </c>
      <c r="Z1070" s="2">
        <f>IFERROR(VLOOKUP(K1070,'Rate Sheet'!$D:$F,3,FALSE),0)</f>
        <v>0</v>
      </c>
      <c r="AA1070" s="2">
        <f t="shared" si="16"/>
        <v>8.6983333333333324</v>
      </c>
      <c r="AB1070">
        <v>1</v>
      </c>
    </row>
    <row r="1071" spans="1:28" x14ac:dyDescent="0.25">
      <c r="A1071" t="s">
        <v>33</v>
      </c>
      <c r="B1071" t="s">
        <v>4026</v>
      </c>
      <c r="C1071" t="s">
        <v>29</v>
      </c>
      <c r="D1071" t="s">
        <v>4026</v>
      </c>
      <c r="E1071" t="s">
        <v>3466</v>
      </c>
      <c r="F1071" t="s">
        <v>2274</v>
      </c>
      <c r="G1071" t="s">
        <v>24</v>
      </c>
      <c r="H1071" t="s">
        <v>4027</v>
      </c>
      <c r="I1071" t="s">
        <v>46</v>
      </c>
      <c r="N1071" t="s">
        <v>246</v>
      </c>
      <c r="S1071" t="s">
        <v>48</v>
      </c>
      <c r="V1071" t="s">
        <v>5661</v>
      </c>
      <c r="W1071" t="s">
        <v>246</v>
      </c>
      <c r="X1071" s="2">
        <f>IFERROR(VLOOKUP(I1071,'Rate Sheet'!$D:$F,3,FALSE),0)</f>
        <v>14.333333333333334</v>
      </c>
      <c r="Y1071" s="2">
        <f>IFERROR(VLOOKUP(J1071,'Rate Sheet'!$D:$F,3,FALSE),0)</f>
        <v>0</v>
      </c>
      <c r="Z1071" s="2">
        <f>IFERROR(VLOOKUP(K1071,'Rate Sheet'!$D:$F,3,FALSE),0)</f>
        <v>0</v>
      </c>
      <c r="AA1071" s="2">
        <f t="shared" si="16"/>
        <v>14.333333333333334</v>
      </c>
      <c r="AB1071">
        <v>1</v>
      </c>
    </row>
    <row r="1072" spans="1:28" x14ac:dyDescent="0.25">
      <c r="A1072" t="s">
        <v>33</v>
      </c>
      <c r="B1072" t="s">
        <v>4028</v>
      </c>
      <c r="C1072" t="s">
        <v>29</v>
      </c>
      <c r="D1072" t="s">
        <v>4029</v>
      </c>
      <c r="E1072" t="s">
        <v>4030</v>
      </c>
      <c r="F1072" t="s">
        <v>4031</v>
      </c>
      <c r="G1072" t="s">
        <v>24</v>
      </c>
      <c r="H1072" t="s">
        <v>4032</v>
      </c>
      <c r="X1072" s="2">
        <f>IFERROR(VLOOKUP(I1072,'Rate Sheet'!$D:$F,3,FALSE),0)</f>
        <v>0</v>
      </c>
      <c r="Y1072" s="2">
        <f>IFERROR(VLOOKUP(J1072,'Rate Sheet'!$D:$F,3,FALSE),0)</f>
        <v>0</v>
      </c>
      <c r="Z1072" s="2">
        <f>IFERROR(VLOOKUP(K1072,'Rate Sheet'!$D:$F,3,FALSE),0)</f>
        <v>0</v>
      </c>
      <c r="AA1072" s="2">
        <f t="shared" si="16"/>
        <v>0</v>
      </c>
    </row>
    <row r="1073" spans="1:28" x14ac:dyDescent="0.25">
      <c r="A1073" t="s">
        <v>33</v>
      </c>
      <c r="B1073" t="s">
        <v>4033</v>
      </c>
      <c r="C1073" t="s">
        <v>29</v>
      </c>
      <c r="D1073" t="s">
        <v>4033</v>
      </c>
      <c r="E1073" t="s">
        <v>4034</v>
      </c>
      <c r="F1073" t="s">
        <v>4035</v>
      </c>
      <c r="G1073" t="s">
        <v>24</v>
      </c>
      <c r="H1073" t="s">
        <v>4036</v>
      </c>
      <c r="I1073" t="s">
        <v>46</v>
      </c>
      <c r="N1073" t="s">
        <v>246</v>
      </c>
      <c r="S1073" t="s">
        <v>48</v>
      </c>
      <c r="V1073" t="s">
        <v>5661</v>
      </c>
      <c r="W1073" t="s">
        <v>246</v>
      </c>
      <c r="X1073" s="2">
        <f>IFERROR(VLOOKUP(I1073,'Rate Sheet'!$D:$F,3,FALSE),0)</f>
        <v>14.333333333333334</v>
      </c>
      <c r="Y1073" s="2">
        <f>IFERROR(VLOOKUP(J1073,'Rate Sheet'!$D:$F,3,FALSE),0)</f>
        <v>0</v>
      </c>
      <c r="Z1073" s="2">
        <f>IFERROR(VLOOKUP(K1073,'Rate Sheet'!$D:$F,3,FALSE),0)</f>
        <v>0</v>
      </c>
      <c r="AA1073" s="2">
        <f t="shared" si="16"/>
        <v>14.333333333333334</v>
      </c>
      <c r="AB1073">
        <v>1</v>
      </c>
    </row>
    <row r="1074" spans="1:28" x14ac:dyDescent="0.25">
      <c r="A1074" t="s">
        <v>33</v>
      </c>
      <c r="B1074" t="s">
        <v>4037</v>
      </c>
      <c r="C1074" t="s">
        <v>21</v>
      </c>
      <c r="D1074" t="s">
        <v>4037</v>
      </c>
      <c r="E1074" t="s">
        <v>4038</v>
      </c>
      <c r="F1074" t="s">
        <v>1847</v>
      </c>
      <c r="G1074" t="s">
        <v>24</v>
      </c>
      <c r="H1074" t="s">
        <v>4039</v>
      </c>
      <c r="I1074" t="s">
        <v>73</v>
      </c>
      <c r="S1074" t="s">
        <v>75</v>
      </c>
      <c r="V1074" t="s">
        <v>5621</v>
      </c>
      <c r="W1074" t="s">
        <v>5622</v>
      </c>
      <c r="X1074" s="2">
        <f>IFERROR(VLOOKUP(I1074,'Rate Sheet'!$D:$F,3,FALSE),0)</f>
        <v>8.6983333333333324</v>
      </c>
      <c r="Y1074" s="2">
        <f>IFERROR(VLOOKUP(J1074,'Rate Sheet'!$D:$F,3,FALSE),0)</f>
        <v>0</v>
      </c>
      <c r="Z1074" s="2">
        <f>IFERROR(VLOOKUP(K1074,'Rate Sheet'!$D:$F,3,FALSE),0)</f>
        <v>0</v>
      </c>
      <c r="AA1074" s="2">
        <f t="shared" ref="AA1074:AA1136" si="17">SUM(X1074:Z1074)</f>
        <v>8.6983333333333324</v>
      </c>
      <c r="AB1074">
        <v>1</v>
      </c>
    </row>
    <row r="1075" spans="1:28" x14ac:dyDescent="0.25">
      <c r="A1075" t="s">
        <v>33</v>
      </c>
      <c r="B1075" t="s">
        <v>4040</v>
      </c>
      <c r="C1075" t="s">
        <v>21</v>
      </c>
      <c r="D1075" t="s">
        <v>4041</v>
      </c>
      <c r="E1075" t="s">
        <v>4042</v>
      </c>
      <c r="F1075" t="s">
        <v>4043</v>
      </c>
      <c r="G1075" t="s">
        <v>24</v>
      </c>
      <c r="H1075" t="s">
        <v>4044</v>
      </c>
      <c r="I1075" t="s">
        <v>46</v>
      </c>
      <c r="J1075" t="s">
        <v>73</v>
      </c>
      <c r="N1075" t="s">
        <v>808</v>
      </c>
      <c r="S1075" t="s">
        <v>4046</v>
      </c>
      <c r="V1075" t="s">
        <v>5667</v>
      </c>
      <c r="W1075" t="s">
        <v>808</v>
      </c>
      <c r="X1075" s="2">
        <f>IFERROR(VLOOKUP(I1075,'Rate Sheet'!$D:$F,3,FALSE),0)</f>
        <v>14.333333333333334</v>
      </c>
      <c r="Y1075" s="2">
        <f>IFERROR(VLOOKUP(J1075,'Rate Sheet'!$D:$F,3,FALSE),0)</f>
        <v>8.6983333333333324</v>
      </c>
      <c r="Z1075" s="2">
        <f>IFERROR(VLOOKUP(K1075,'Rate Sheet'!$D:$F,3,FALSE),0)</f>
        <v>0</v>
      </c>
      <c r="AA1075" s="2">
        <f t="shared" si="17"/>
        <v>23.031666666666666</v>
      </c>
      <c r="AB1075">
        <v>1</v>
      </c>
    </row>
    <row r="1076" spans="1:28" x14ac:dyDescent="0.25">
      <c r="A1076" t="s">
        <v>33</v>
      </c>
      <c r="B1076" t="s">
        <v>4047</v>
      </c>
      <c r="C1076" t="s">
        <v>21</v>
      </c>
      <c r="D1076" t="s">
        <v>4048</v>
      </c>
      <c r="E1076" t="s">
        <v>342</v>
      </c>
      <c r="F1076" t="s">
        <v>1387</v>
      </c>
      <c r="G1076" t="s">
        <v>24</v>
      </c>
      <c r="H1076" t="s">
        <v>4049</v>
      </c>
      <c r="I1076" t="s">
        <v>73</v>
      </c>
      <c r="N1076" t="s">
        <v>47</v>
      </c>
      <c r="S1076" t="s">
        <v>75</v>
      </c>
      <c r="V1076" t="s">
        <v>5578</v>
      </c>
      <c r="W1076" t="s">
        <v>5579</v>
      </c>
      <c r="X1076" s="2">
        <f>IFERROR(VLOOKUP(I1076,'Rate Sheet'!$D:$F,3,FALSE),0)</f>
        <v>8.6983333333333324</v>
      </c>
      <c r="Y1076" s="2">
        <f>IFERROR(VLOOKUP(J1076,'Rate Sheet'!$D:$F,3,FALSE),0)</f>
        <v>0</v>
      </c>
      <c r="Z1076" s="2">
        <f>IFERROR(VLOOKUP(K1076,'Rate Sheet'!$D:$F,3,FALSE),0)</f>
        <v>0</v>
      </c>
      <c r="AA1076" s="2">
        <f t="shared" si="17"/>
        <v>8.6983333333333324</v>
      </c>
      <c r="AB1076">
        <v>1</v>
      </c>
    </row>
    <row r="1077" spans="1:28" x14ac:dyDescent="0.25">
      <c r="A1077" t="s">
        <v>33</v>
      </c>
      <c r="B1077" t="s">
        <v>4050</v>
      </c>
      <c r="C1077" t="s">
        <v>21</v>
      </c>
      <c r="D1077" t="s">
        <v>4050</v>
      </c>
      <c r="E1077" t="s">
        <v>2487</v>
      </c>
      <c r="F1077" t="s">
        <v>4051</v>
      </c>
      <c r="G1077" t="s">
        <v>24</v>
      </c>
      <c r="H1077" t="s">
        <v>4052</v>
      </c>
      <c r="I1077" t="s">
        <v>73</v>
      </c>
      <c r="N1077" t="s">
        <v>287</v>
      </c>
      <c r="S1077" t="s">
        <v>75</v>
      </c>
      <c r="V1077" t="s">
        <v>5623</v>
      </c>
      <c r="W1077" t="s">
        <v>287</v>
      </c>
      <c r="X1077" s="2">
        <f>IFERROR(VLOOKUP(I1077,'Rate Sheet'!$D:$F,3,FALSE),0)</f>
        <v>8.6983333333333324</v>
      </c>
      <c r="Y1077" s="2">
        <f>IFERROR(VLOOKUP(J1077,'Rate Sheet'!$D:$F,3,FALSE),0)</f>
        <v>0</v>
      </c>
      <c r="Z1077" s="2">
        <f>IFERROR(VLOOKUP(K1077,'Rate Sheet'!$D:$F,3,FALSE),0)</f>
        <v>0</v>
      </c>
      <c r="AA1077" s="2">
        <f t="shared" si="17"/>
        <v>8.6983333333333324</v>
      </c>
      <c r="AB1077">
        <v>1</v>
      </c>
    </row>
    <row r="1078" spans="1:28" x14ac:dyDescent="0.25">
      <c r="A1078" t="s">
        <v>33</v>
      </c>
      <c r="B1078" t="s">
        <v>4053</v>
      </c>
      <c r="C1078" t="s">
        <v>92</v>
      </c>
      <c r="D1078" t="s">
        <v>4053</v>
      </c>
      <c r="E1078" t="s">
        <v>4054</v>
      </c>
      <c r="F1078" t="s">
        <v>4055</v>
      </c>
      <c r="G1078" t="s">
        <v>24</v>
      </c>
      <c r="H1078" t="s">
        <v>4056</v>
      </c>
      <c r="N1078" t="s">
        <v>4057</v>
      </c>
      <c r="X1078" s="2">
        <f>IFERROR(VLOOKUP(I1078,'Rate Sheet'!$D:$F,3,FALSE),0)</f>
        <v>0</v>
      </c>
      <c r="Y1078" s="2">
        <f>IFERROR(VLOOKUP(J1078,'Rate Sheet'!$D:$F,3,FALSE),0)</f>
        <v>0</v>
      </c>
      <c r="Z1078" s="2">
        <f>IFERROR(VLOOKUP(K1078,'Rate Sheet'!$D:$F,3,FALSE),0)</f>
        <v>0</v>
      </c>
      <c r="AA1078" s="2">
        <f t="shared" si="17"/>
        <v>0</v>
      </c>
    </row>
    <row r="1079" spans="1:28" x14ac:dyDescent="0.25">
      <c r="A1079" t="s">
        <v>33</v>
      </c>
      <c r="B1079" t="s">
        <v>4058</v>
      </c>
      <c r="C1079" t="s">
        <v>21</v>
      </c>
      <c r="D1079" t="s">
        <v>4058</v>
      </c>
      <c r="E1079" t="s">
        <v>4059</v>
      </c>
      <c r="F1079" t="s">
        <v>4060</v>
      </c>
      <c r="G1079" t="s">
        <v>24</v>
      </c>
      <c r="H1079" t="s">
        <v>4061</v>
      </c>
      <c r="I1079" t="s">
        <v>73</v>
      </c>
      <c r="N1079" t="s">
        <v>63</v>
      </c>
      <c r="S1079" t="s">
        <v>75</v>
      </c>
      <c r="V1079" t="s">
        <v>5584</v>
      </c>
      <c r="W1079" t="s">
        <v>63</v>
      </c>
      <c r="X1079" s="2">
        <f>IFERROR(VLOOKUP(I1079,'Rate Sheet'!$D:$F,3,FALSE),0)</f>
        <v>8.6983333333333324</v>
      </c>
      <c r="Y1079" s="2">
        <f>IFERROR(VLOOKUP(J1079,'Rate Sheet'!$D:$F,3,FALSE),0)</f>
        <v>0</v>
      </c>
      <c r="Z1079" s="2">
        <f>IFERROR(VLOOKUP(K1079,'Rate Sheet'!$D:$F,3,FALSE),0)</f>
        <v>0</v>
      </c>
      <c r="AA1079" s="2">
        <f t="shared" si="17"/>
        <v>8.6983333333333324</v>
      </c>
      <c r="AB1079">
        <v>1</v>
      </c>
    </row>
    <row r="1080" spans="1:28" x14ac:dyDescent="0.25">
      <c r="A1080" t="s">
        <v>33</v>
      </c>
      <c r="B1080" t="s">
        <v>4062</v>
      </c>
      <c r="C1080" t="s">
        <v>21</v>
      </c>
      <c r="D1080" t="s">
        <v>4062</v>
      </c>
      <c r="E1080" t="s">
        <v>4063</v>
      </c>
      <c r="F1080" t="s">
        <v>591</v>
      </c>
      <c r="G1080" t="s">
        <v>24</v>
      </c>
      <c r="H1080" t="s">
        <v>4064</v>
      </c>
      <c r="N1080" t="s">
        <v>878</v>
      </c>
      <c r="X1080" s="2">
        <f>IFERROR(VLOOKUP(I1080,'Rate Sheet'!$D:$F,3,FALSE),0)</f>
        <v>0</v>
      </c>
      <c r="Y1080" s="2">
        <f>IFERROR(VLOOKUP(J1080,'Rate Sheet'!$D:$F,3,FALSE),0)</f>
        <v>0</v>
      </c>
      <c r="Z1080" s="2">
        <f>IFERROR(VLOOKUP(K1080,'Rate Sheet'!$D:$F,3,FALSE),0)</f>
        <v>0</v>
      </c>
      <c r="AA1080" s="2">
        <f t="shared" si="17"/>
        <v>0</v>
      </c>
    </row>
    <row r="1081" spans="1:28" x14ac:dyDescent="0.25">
      <c r="A1081" t="s">
        <v>33</v>
      </c>
      <c r="B1081" t="s">
        <v>4065</v>
      </c>
      <c r="C1081" t="s">
        <v>29</v>
      </c>
      <c r="D1081" t="s">
        <v>4065</v>
      </c>
      <c r="E1081" t="s">
        <v>4066</v>
      </c>
      <c r="F1081" t="s">
        <v>4067</v>
      </c>
      <c r="G1081" t="s">
        <v>24</v>
      </c>
      <c r="H1081" t="s">
        <v>4068</v>
      </c>
      <c r="N1081" t="s">
        <v>511</v>
      </c>
      <c r="X1081" s="2">
        <f>IFERROR(VLOOKUP(I1081,'Rate Sheet'!$D:$F,3,FALSE),0)</f>
        <v>0</v>
      </c>
      <c r="Y1081" s="2">
        <f>IFERROR(VLOOKUP(J1081,'Rate Sheet'!$D:$F,3,FALSE),0)</f>
        <v>0</v>
      </c>
      <c r="Z1081" s="2">
        <f>IFERROR(VLOOKUP(K1081,'Rate Sheet'!$D:$F,3,FALSE),0)</f>
        <v>0</v>
      </c>
      <c r="AA1081" s="2">
        <f t="shared" si="17"/>
        <v>0</v>
      </c>
    </row>
    <row r="1082" spans="1:28" x14ac:dyDescent="0.25">
      <c r="A1082" t="s">
        <v>33</v>
      </c>
      <c r="B1082" t="s">
        <v>4069</v>
      </c>
      <c r="C1082" t="s">
        <v>21</v>
      </c>
      <c r="D1082" t="s">
        <v>4069</v>
      </c>
      <c r="E1082" t="s">
        <v>2052</v>
      </c>
      <c r="F1082" t="s">
        <v>4070</v>
      </c>
      <c r="G1082" t="s">
        <v>24</v>
      </c>
      <c r="H1082" t="s">
        <v>4071</v>
      </c>
      <c r="I1082" t="s">
        <v>73</v>
      </c>
      <c r="N1082" t="s">
        <v>914</v>
      </c>
      <c r="S1082" t="s">
        <v>75</v>
      </c>
      <c r="V1082" t="s">
        <v>5686</v>
      </c>
      <c r="W1082" t="s">
        <v>5687</v>
      </c>
      <c r="X1082" s="2">
        <f>IFERROR(VLOOKUP(I1082,'Rate Sheet'!$D:$F,3,FALSE),0)</f>
        <v>8.6983333333333324</v>
      </c>
      <c r="Y1082" s="2">
        <f>IFERROR(VLOOKUP(J1082,'Rate Sheet'!$D:$F,3,FALSE),0)</f>
        <v>0</v>
      </c>
      <c r="Z1082" s="2">
        <f>IFERROR(VLOOKUP(K1082,'Rate Sheet'!$D:$F,3,FALSE),0)</f>
        <v>0</v>
      </c>
      <c r="AA1082" s="2">
        <f t="shared" si="17"/>
        <v>8.6983333333333324</v>
      </c>
      <c r="AB1082">
        <v>1</v>
      </c>
    </row>
    <row r="1083" spans="1:28" x14ac:dyDescent="0.25">
      <c r="A1083" t="s">
        <v>33</v>
      </c>
      <c r="B1083" t="s">
        <v>4072</v>
      </c>
      <c r="C1083" t="s">
        <v>21</v>
      </c>
      <c r="D1083" t="s">
        <v>4072</v>
      </c>
      <c r="E1083" t="s">
        <v>178</v>
      </c>
      <c r="F1083" t="s">
        <v>391</v>
      </c>
      <c r="G1083" t="s">
        <v>24</v>
      </c>
      <c r="H1083" t="s">
        <v>4073</v>
      </c>
      <c r="I1083" t="s">
        <v>73</v>
      </c>
      <c r="N1083" t="s">
        <v>3868</v>
      </c>
      <c r="S1083" t="s">
        <v>75</v>
      </c>
      <c r="V1083" t="s">
        <v>5708</v>
      </c>
      <c r="W1083" t="s">
        <v>5709</v>
      </c>
      <c r="X1083" s="2">
        <f>IFERROR(VLOOKUP(I1083,'Rate Sheet'!$D:$F,3,FALSE),0)</f>
        <v>8.6983333333333324</v>
      </c>
      <c r="Y1083" s="2">
        <f>IFERROR(VLOOKUP(J1083,'Rate Sheet'!$D:$F,3,FALSE),0)</f>
        <v>0</v>
      </c>
      <c r="Z1083" s="2">
        <f>IFERROR(VLOOKUP(K1083,'Rate Sheet'!$D:$F,3,FALSE),0)</f>
        <v>0</v>
      </c>
      <c r="AA1083" s="2">
        <f t="shared" si="17"/>
        <v>8.6983333333333324</v>
      </c>
      <c r="AB1083">
        <v>1</v>
      </c>
    </row>
    <row r="1084" spans="1:28" x14ac:dyDescent="0.25">
      <c r="A1084" t="s">
        <v>33</v>
      </c>
      <c r="B1084" t="s">
        <v>4074</v>
      </c>
      <c r="C1084" t="s">
        <v>21</v>
      </c>
      <c r="D1084" t="s">
        <v>4074</v>
      </c>
      <c r="E1084" t="s">
        <v>4075</v>
      </c>
      <c r="F1084" t="s">
        <v>4076</v>
      </c>
      <c r="G1084" t="s">
        <v>24</v>
      </c>
      <c r="H1084" t="s">
        <v>4077</v>
      </c>
      <c r="I1084" t="s">
        <v>73</v>
      </c>
      <c r="N1084" t="s">
        <v>3868</v>
      </c>
      <c r="S1084" t="s">
        <v>75</v>
      </c>
      <c r="V1084" t="s">
        <v>5708</v>
      </c>
      <c r="W1084" t="s">
        <v>5709</v>
      </c>
      <c r="X1084" s="2">
        <f>IFERROR(VLOOKUP(I1084,'Rate Sheet'!$D:$F,3,FALSE),0)</f>
        <v>8.6983333333333324</v>
      </c>
      <c r="Y1084" s="2">
        <f>IFERROR(VLOOKUP(J1084,'Rate Sheet'!$D:$F,3,FALSE),0)</f>
        <v>0</v>
      </c>
      <c r="Z1084" s="2">
        <f>IFERROR(VLOOKUP(K1084,'Rate Sheet'!$D:$F,3,FALSE),0)</f>
        <v>0</v>
      </c>
      <c r="AA1084" s="2">
        <f t="shared" si="17"/>
        <v>8.6983333333333324</v>
      </c>
      <c r="AB1084">
        <v>1</v>
      </c>
    </row>
    <row r="1085" spans="1:28" x14ac:dyDescent="0.25">
      <c r="A1085" t="s">
        <v>33</v>
      </c>
      <c r="B1085" t="s">
        <v>4078</v>
      </c>
      <c r="C1085" t="s">
        <v>21</v>
      </c>
      <c r="D1085" t="s">
        <v>4078</v>
      </c>
      <c r="E1085" t="s">
        <v>4079</v>
      </c>
      <c r="F1085" t="s">
        <v>1094</v>
      </c>
      <c r="G1085" t="s">
        <v>24</v>
      </c>
      <c r="H1085" t="s">
        <v>4080</v>
      </c>
      <c r="I1085" t="s">
        <v>73</v>
      </c>
      <c r="N1085" t="s">
        <v>994</v>
      </c>
      <c r="S1085" t="s">
        <v>75</v>
      </c>
      <c r="V1085" t="s">
        <v>5653</v>
      </c>
      <c r="W1085" t="s">
        <v>5654</v>
      </c>
      <c r="X1085" s="2">
        <f>IFERROR(VLOOKUP(I1085,'Rate Sheet'!$D:$F,3,FALSE),0)</f>
        <v>8.6983333333333324</v>
      </c>
      <c r="Y1085" s="2">
        <f>IFERROR(VLOOKUP(J1085,'Rate Sheet'!$D:$F,3,FALSE),0)</f>
        <v>0</v>
      </c>
      <c r="Z1085" s="2">
        <f>IFERROR(VLOOKUP(K1085,'Rate Sheet'!$D:$F,3,FALSE),0)</f>
        <v>0</v>
      </c>
      <c r="AA1085" s="2">
        <f t="shared" si="17"/>
        <v>8.6983333333333324</v>
      </c>
      <c r="AB1085">
        <v>1</v>
      </c>
    </row>
    <row r="1086" spans="1:28" x14ac:dyDescent="0.25">
      <c r="A1086" t="s">
        <v>33</v>
      </c>
      <c r="B1086" t="s">
        <v>4081</v>
      </c>
      <c r="C1086" t="s">
        <v>21</v>
      </c>
      <c r="D1086" t="s">
        <v>4081</v>
      </c>
      <c r="E1086" t="s">
        <v>1146</v>
      </c>
      <c r="F1086" t="s">
        <v>2570</v>
      </c>
      <c r="G1086" t="s">
        <v>24</v>
      </c>
      <c r="H1086" t="s">
        <v>4082</v>
      </c>
      <c r="I1086" t="s">
        <v>73</v>
      </c>
      <c r="N1086" t="s">
        <v>53</v>
      </c>
      <c r="S1086" t="s">
        <v>75</v>
      </c>
      <c r="V1086" t="s">
        <v>5580</v>
      </c>
      <c r="W1086" t="s">
        <v>5581</v>
      </c>
      <c r="X1086" s="2">
        <f>IFERROR(VLOOKUP(I1086,'Rate Sheet'!$D:$F,3,FALSE),0)</f>
        <v>8.6983333333333324</v>
      </c>
      <c r="Y1086" s="2">
        <f>IFERROR(VLOOKUP(J1086,'Rate Sheet'!$D:$F,3,FALSE),0)</f>
        <v>0</v>
      </c>
      <c r="Z1086" s="2">
        <f>IFERROR(VLOOKUP(K1086,'Rate Sheet'!$D:$F,3,FALSE),0)</f>
        <v>0</v>
      </c>
      <c r="AA1086" s="2">
        <f t="shared" si="17"/>
        <v>8.6983333333333324</v>
      </c>
      <c r="AB1086">
        <v>1</v>
      </c>
    </row>
    <row r="1087" spans="1:28" x14ac:dyDescent="0.25">
      <c r="A1087" t="s">
        <v>33</v>
      </c>
      <c r="B1087" t="s">
        <v>4083</v>
      </c>
      <c r="C1087" t="s">
        <v>21</v>
      </c>
      <c r="D1087" t="s">
        <v>4083</v>
      </c>
      <c r="E1087" t="s">
        <v>545</v>
      </c>
      <c r="F1087" t="s">
        <v>4084</v>
      </c>
      <c r="G1087" t="s">
        <v>4085</v>
      </c>
      <c r="H1087" t="s">
        <v>4086</v>
      </c>
      <c r="I1087" t="s">
        <v>46</v>
      </c>
      <c r="S1087" t="s">
        <v>48</v>
      </c>
      <c r="V1087" t="s">
        <v>5624</v>
      </c>
      <c r="W1087" t="s">
        <v>292</v>
      </c>
      <c r="X1087" s="2">
        <f>IFERROR(VLOOKUP(I1087,'Rate Sheet'!$D:$F,3,FALSE),0)</f>
        <v>14.333333333333334</v>
      </c>
      <c r="Y1087" s="2">
        <f>IFERROR(VLOOKUP(J1087,'Rate Sheet'!$D:$F,3,FALSE),0)</f>
        <v>0</v>
      </c>
      <c r="Z1087" s="2">
        <f>IFERROR(VLOOKUP(K1087,'Rate Sheet'!$D:$F,3,FALSE),0)</f>
        <v>0</v>
      </c>
      <c r="AA1087" s="2">
        <f t="shared" si="17"/>
        <v>14.333333333333334</v>
      </c>
      <c r="AB1087">
        <v>1</v>
      </c>
    </row>
    <row r="1088" spans="1:28" x14ac:dyDescent="0.25">
      <c r="A1088" t="s">
        <v>33</v>
      </c>
      <c r="B1088" t="s">
        <v>4087</v>
      </c>
      <c r="C1088" t="s">
        <v>21</v>
      </c>
      <c r="D1088" t="s">
        <v>4087</v>
      </c>
      <c r="E1088" t="s">
        <v>1010</v>
      </c>
      <c r="F1088" t="s">
        <v>4088</v>
      </c>
      <c r="G1088" t="s">
        <v>4085</v>
      </c>
      <c r="H1088" t="s">
        <v>4089</v>
      </c>
      <c r="I1088" t="s">
        <v>46</v>
      </c>
      <c r="S1088" t="s">
        <v>48</v>
      </c>
      <c r="V1088" t="s">
        <v>5624</v>
      </c>
      <c r="W1088" t="s">
        <v>292</v>
      </c>
      <c r="X1088" s="2">
        <f>IFERROR(VLOOKUP(I1088,'Rate Sheet'!$D:$F,3,FALSE),0)</f>
        <v>14.333333333333334</v>
      </c>
      <c r="Y1088" s="2">
        <f>IFERROR(VLOOKUP(J1088,'Rate Sheet'!$D:$F,3,FALSE),0)</f>
        <v>0</v>
      </c>
      <c r="Z1088" s="2">
        <f>IFERROR(VLOOKUP(K1088,'Rate Sheet'!$D:$F,3,FALSE),0)</f>
        <v>0</v>
      </c>
      <c r="AA1088" s="2">
        <f t="shared" si="17"/>
        <v>14.333333333333334</v>
      </c>
      <c r="AB1088">
        <v>1</v>
      </c>
    </row>
    <row r="1089" spans="1:28" x14ac:dyDescent="0.25">
      <c r="A1089" t="s">
        <v>33</v>
      </c>
      <c r="B1089" t="s">
        <v>4093</v>
      </c>
      <c r="C1089" t="s">
        <v>21</v>
      </c>
      <c r="D1089" t="s">
        <v>4093</v>
      </c>
      <c r="E1089" t="s">
        <v>4094</v>
      </c>
      <c r="F1089" t="s">
        <v>4095</v>
      </c>
      <c r="G1089" t="s">
        <v>4085</v>
      </c>
      <c r="H1089" t="s">
        <v>4096</v>
      </c>
      <c r="X1089" s="2">
        <f>IFERROR(VLOOKUP(I1089,'Rate Sheet'!$D:$F,3,FALSE),0)</f>
        <v>0</v>
      </c>
      <c r="Y1089" s="2">
        <f>IFERROR(VLOOKUP(J1089,'Rate Sheet'!$D:$F,3,FALSE),0)</f>
        <v>0</v>
      </c>
      <c r="Z1089" s="2">
        <f>IFERROR(VLOOKUP(K1089,'Rate Sheet'!$D:$F,3,FALSE),0)</f>
        <v>0</v>
      </c>
      <c r="AA1089" s="2">
        <f t="shared" si="17"/>
        <v>0</v>
      </c>
    </row>
    <row r="1090" spans="1:28" x14ac:dyDescent="0.25">
      <c r="A1090" t="s">
        <v>33</v>
      </c>
      <c r="B1090" t="s">
        <v>4097</v>
      </c>
      <c r="C1090" t="s">
        <v>21</v>
      </c>
      <c r="D1090" t="s">
        <v>4097</v>
      </c>
      <c r="E1090" t="s">
        <v>1166</v>
      </c>
      <c r="F1090" t="s">
        <v>4098</v>
      </c>
      <c r="G1090" t="s">
        <v>24</v>
      </c>
      <c r="H1090" t="s">
        <v>4099</v>
      </c>
      <c r="I1090" t="s">
        <v>46</v>
      </c>
      <c r="N1090" t="s">
        <v>90</v>
      </c>
      <c r="S1090" t="s">
        <v>48</v>
      </c>
      <c r="V1090" t="s">
        <v>5591</v>
      </c>
      <c r="W1090" t="s">
        <v>90</v>
      </c>
      <c r="X1090" s="2">
        <f>IFERROR(VLOOKUP(I1090,'Rate Sheet'!$D:$F,3,FALSE),0)</f>
        <v>14.333333333333334</v>
      </c>
      <c r="Y1090" s="2">
        <f>IFERROR(VLOOKUP(J1090,'Rate Sheet'!$D:$F,3,FALSE),0)</f>
        <v>0</v>
      </c>
      <c r="Z1090" s="2">
        <f>IFERROR(VLOOKUP(K1090,'Rate Sheet'!$D:$F,3,FALSE),0)</f>
        <v>0</v>
      </c>
      <c r="AA1090" s="2">
        <f t="shared" si="17"/>
        <v>14.333333333333334</v>
      </c>
      <c r="AB1090">
        <v>1</v>
      </c>
    </row>
    <row r="1091" spans="1:28" x14ac:dyDescent="0.25">
      <c r="A1091" t="s">
        <v>33</v>
      </c>
      <c r="B1091" t="s">
        <v>4100</v>
      </c>
      <c r="C1091" t="s">
        <v>21</v>
      </c>
      <c r="D1091" t="s">
        <v>4100</v>
      </c>
      <c r="E1091" t="s">
        <v>4101</v>
      </c>
      <c r="F1091" t="s">
        <v>4102</v>
      </c>
      <c r="G1091" t="s">
        <v>4085</v>
      </c>
      <c r="H1091" t="s">
        <v>4103</v>
      </c>
      <c r="X1091" s="2">
        <f>IFERROR(VLOOKUP(I1091,'Rate Sheet'!$D:$F,3,FALSE),0)</f>
        <v>0</v>
      </c>
      <c r="Y1091" s="2">
        <f>IFERROR(VLOOKUP(J1091,'Rate Sheet'!$D:$F,3,FALSE),0)</f>
        <v>0</v>
      </c>
      <c r="Z1091" s="2">
        <f>IFERROR(VLOOKUP(K1091,'Rate Sheet'!$D:$F,3,FALSE),0)</f>
        <v>0</v>
      </c>
      <c r="AA1091" s="2">
        <f t="shared" si="17"/>
        <v>0</v>
      </c>
    </row>
    <row r="1092" spans="1:28" x14ac:dyDescent="0.25">
      <c r="A1092" t="s">
        <v>33</v>
      </c>
      <c r="B1092" t="s">
        <v>4104</v>
      </c>
      <c r="C1092" t="s">
        <v>21</v>
      </c>
      <c r="D1092" t="s">
        <v>4104</v>
      </c>
      <c r="E1092" t="s">
        <v>4105</v>
      </c>
      <c r="F1092" t="s">
        <v>1706</v>
      </c>
      <c r="G1092" t="s">
        <v>24</v>
      </c>
      <c r="H1092" t="s">
        <v>4106</v>
      </c>
      <c r="N1092" t="s">
        <v>4107</v>
      </c>
      <c r="X1092" s="2">
        <f>IFERROR(VLOOKUP(I1092,'Rate Sheet'!$D:$F,3,FALSE),0)</f>
        <v>0</v>
      </c>
      <c r="Y1092" s="2">
        <f>IFERROR(VLOOKUP(J1092,'Rate Sheet'!$D:$F,3,FALSE),0)</f>
        <v>0</v>
      </c>
      <c r="Z1092" s="2">
        <f>IFERROR(VLOOKUP(K1092,'Rate Sheet'!$D:$F,3,FALSE),0)</f>
        <v>0</v>
      </c>
      <c r="AA1092" s="2">
        <f t="shared" si="17"/>
        <v>0</v>
      </c>
    </row>
    <row r="1093" spans="1:28" x14ac:dyDescent="0.25">
      <c r="A1093" t="s">
        <v>33</v>
      </c>
      <c r="B1093" t="s">
        <v>4108</v>
      </c>
      <c r="C1093" t="s">
        <v>21</v>
      </c>
      <c r="D1093" t="s">
        <v>4108</v>
      </c>
      <c r="E1093" t="s">
        <v>2052</v>
      </c>
      <c r="F1093" t="s">
        <v>4109</v>
      </c>
      <c r="G1093" t="s">
        <v>4085</v>
      </c>
      <c r="H1093" t="s">
        <v>4110</v>
      </c>
      <c r="L1093" t="s">
        <v>26</v>
      </c>
      <c r="N1093" t="s">
        <v>4111</v>
      </c>
      <c r="X1093" s="2">
        <f>IFERROR(VLOOKUP(I1093,'Rate Sheet'!$D:$F,3,FALSE),0)</f>
        <v>0</v>
      </c>
      <c r="Y1093" s="2">
        <f>IFERROR(VLOOKUP(J1093,'Rate Sheet'!$D:$F,3,FALSE),0)</f>
        <v>0</v>
      </c>
      <c r="Z1093" s="2">
        <f>IFERROR(VLOOKUP(K1093,'Rate Sheet'!$D:$F,3,FALSE),0)</f>
        <v>0</v>
      </c>
      <c r="AA1093" s="2">
        <f t="shared" si="17"/>
        <v>0</v>
      </c>
    </row>
    <row r="1094" spans="1:28" x14ac:dyDescent="0.25">
      <c r="A1094" t="s">
        <v>33</v>
      </c>
      <c r="B1094" t="s">
        <v>4112</v>
      </c>
      <c r="C1094" t="s">
        <v>21</v>
      </c>
      <c r="D1094" t="s">
        <v>4112</v>
      </c>
      <c r="E1094" t="s">
        <v>342</v>
      </c>
      <c r="F1094" t="s">
        <v>4113</v>
      </c>
      <c r="G1094" t="s">
        <v>24</v>
      </c>
      <c r="H1094" t="s">
        <v>4114</v>
      </c>
      <c r="N1094" t="s">
        <v>292</v>
      </c>
      <c r="X1094" s="2">
        <f>IFERROR(VLOOKUP(I1094,'Rate Sheet'!$D:$F,3,FALSE),0)</f>
        <v>0</v>
      </c>
      <c r="Y1094" s="2">
        <f>IFERROR(VLOOKUP(J1094,'Rate Sheet'!$D:$F,3,FALSE),0)</f>
        <v>0</v>
      </c>
      <c r="Z1094" s="2">
        <f>IFERROR(VLOOKUP(K1094,'Rate Sheet'!$D:$F,3,FALSE),0)</f>
        <v>0</v>
      </c>
      <c r="AA1094" s="2">
        <f t="shared" si="17"/>
        <v>0</v>
      </c>
    </row>
    <row r="1095" spans="1:28" x14ac:dyDescent="0.25">
      <c r="A1095" t="s">
        <v>33</v>
      </c>
      <c r="B1095" t="s">
        <v>4115</v>
      </c>
      <c r="C1095" t="s">
        <v>21</v>
      </c>
      <c r="D1095" t="s">
        <v>4115</v>
      </c>
      <c r="E1095" t="s">
        <v>898</v>
      </c>
      <c r="F1095" t="s">
        <v>4116</v>
      </c>
      <c r="G1095" t="s">
        <v>24</v>
      </c>
      <c r="H1095" t="s">
        <v>4117</v>
      </c>
      <c r="I1095" t="s">
        <v>46</v>
      </c>
      <c r="N1095" t="s">
        <v>3254</v>
      </c>
      <c r="S1095" t="s">
        <v>48</v>
      </c>
      <c r="V1095" t="s">
        <v>5765</v>
      </c>
      <c r="W1095" t="s">
        <v>3254</v>
      </c>
      <c r="X1095" s="2">
        <f>IFERROR(VLOOKUP(I1095,'Rate Sheet'!$D:$F,3,FALSE),0)</f>
        <v>14.333333333333334</v>
      </c>
      <c r="Y1095" s="2">
        <f>IFERROR(VLOOKUP(J1095,'Rate Sheet'!$D:$F,3,FALSE),0)</f>
        <v>0</v>
      </c>
      <c r="Z1095" s="2">
        <f>IFERROR(VLOOKUP(K1095,'Rate Sheet'!$D:$F,3,FALSE),0)</f>
        <v>0</v>
      </c>
      <c r="AA1095" s="2">
        <f t="shared" si="17"/>
        <v>14.333333333333334</v>
      </c>
      <c r="AB1095">
        <v>1</v>
      </c>
    </row>
    <row r="1096" spans="1:28" x14ac:dyDescent="0.25">
      <c r="A1096" t="s">
        <v>33</v>
      </c>
      <c r="B1096" t="s">
        <v>4118</v>
      </c>
      <c r="C1096" t="s">
        <v>21</v>
      </c>
      <c r="D1096" t="s">
        <v>4118</v>
      </c>
      <c r="E1096" t="s">
        <v>377</v>
      </c>
      <c r="F1096" t="s">
        <v>4119</v>
      </c>
      <c r="G1096" t="s">
        <v>4085</v>
      </c>
      <c r="H1096" t="s">
        <v>4120</v>
      </c>
      <c r="N1096" t="s">
        <v>4111</v>
      </c>
      <c r="X1096" s="2">
        <f>IFERROR(VLOOKUP(I1096,'Rate Sheet'!$D:$F,3,FALSE),0)</f>
        <v>0</v>
      </c>
      <c r="Y1096" s="2">
        <f>IFERROR(VLOOKUP(J1096,'Rate Sheet'!$D:$F,3,FALSE),0)</f>
        <v>0</v>
      </c>
      <c r="Z1096" s="2">
        <f>IFERROR(VLOOKUP(K1096,'Rate Sheet'!$D:$F,3,FALSE),0)</f>
        <v>0</v>
      </c>
      <c r="AA1096" s="2">
        <f t="shared" si="17"/>
        <v>0</v>
      </c>
    </row>
    <row r="1097" spans="1:28" x14ac:dyDescent="0.25">
      <c r="A1097" t="s">
        <v>33</v>
      </c>
      <c r="B1097" t="s">
        <v>4121</v>
      </c>
      <c r="C1097" t="s">
        <v>21</v>
      </c>
      <c r="D1097" t="s">
        <v>4121</v>
      </c>
      <c r="E1097" t="s">
        <v>1424</v>
      </c>
      <c r="F1097" t="s">
        <v>4122</v>
      </c>
      <c r="G1097" t="s">
        <v>4085</v>
      </c>
      <c r="H1097" t="s">
        <v>4123</v>
      </c>
      <c r="N1097" t="s">
        <v>90</v>
      </c>
      <c r="X1097" s="2">
        <f>IFERROR(VLOOKUP(I1097,'Rate Sheet'!$D:$F,3,FALSE),0)</f>
        <v>0</v>
      </c>
      <c r="Y1097" s="2">
        <f>IFERROR(VLOOKUP(J1097,'Rate Sheet'!$D:$F,3,FALSE),0)</f>
        <v>0</v>
      </c>
      <c r="Z1097" s="2">
        <f>IFERROR(VLOOKUP(K1097,'Rate Sheet'!$D:$F,3,FALSE),0)</f>
        <v>0</v>
      </c>
      <c r="AA1097" s="2">
        <f t="shared" si="17"/>
        <v>0</v>
      </c>
    </row>
    <row r="1098" spans="1:28" x14ac:dyDescent="0.25">
      <c r="A1098" t="s">
        <v>33</v>
      </c>
      <c r="B1098" t="s">
        <v>4124</v>
      </c>
      <c r="C1098" t="s">
        <v>21</v>
      </c>
      <c r="D1098" t="s">
        <v>4124</v>
      </c>
      <c r="E1098" t="s">
        <v>275</v>
      </c>
      <c r="F1098" t="s">
        <v>4125</v>
      </c>
      <c r="G1098" t="s">
        <v>24</v>
      </c>
      <c r="H1098" t="s">
        <v>4126</v>
      </c>
      <c r="I1098" t="s">
        <v>46</v>
      </c>
      <c r="L1098" t="s">
        <v>26</v>
      </c>
      <c r="N1098" t="s">
        <v>4111</v>
      </c>
      <c r="S1098" t="s">
        <v>48</v>
      </c>
      <c r="V1098" t="s">
        <v>5763</v>
      </c>
      <c r="W1098" t="s">
        <v>5764</v>
      </c>
      <c r="X1098" s="2">
        <f>IFERROR(VLOOKUP(I1098,'Rate Sheet'!$D:$F,3,FALSE),0)</f>
        <v>14.333333333333334</v>
      </c>
      <c r="Y1098" s="2">
        <f>IFERROR(VLOOKUP(J1098,'Rate Sheet'!$D:$F,3,FALSE),0)</f>
        <v>0</v>
      </c>
      <c r="Z1098" s="2">
        <f>IFERROR(VLOOKUP(K1098,'Rate Sheet'!$D:$F,3,FALSE),0)</f>
        <v>0</v>
      </c>
      <c r="AA1098" s="2">
        <f t="shared" si="17"/>
        <v>14.333333333333334</v>
      </c>
      <c r="AB1098">
        <v>1</v>
      </c>
    </row>
    <row r="1099" spans="1:28" x14ac:dyDescent="0.25">
      <c r="A1099" t="s">
        <v>33</v>
      </c>
      <c r="B1099" t="s">
        <v>4127</v>
      </c>
      <c r="C1099" t="s">
        <v>21</v>
      </c>
      <c r="D1099" t="s">
        <v>4127</v>
      </c>
      <c r="E1099" t="s">
        <v>4128</v>
      </c>
      <c r="F1099" t="s">
        <v>4129</v>
      </c>
      <c r="G1099" t="s">
        <v>24</v>
      </c>
      <c r="H1099" t="s">
        <v>4130</v>
      </c>
      <c r="I1099" t="s">
        <v>73</v>
      </c>
      <c r="N1099" t="s">
        <v>3868</v>
      </c>
      <c r="S1099" t="s">
        <v>75</v>
      </c>
      <c r="V1099" t="s">
        <v>5708</v>
      </c>
      <c r="W1099" t="s">
        <v>5709</v>
      </c>
      <c r="X1099" s="2">
        <f>IFERROR(VLOOKUP(I1099,'Rate Sheet'!$D:$F,3,FALSE),0)</f>
        <v>8.6983333333333324</v>
      </c>
      <c r="Y1099" s="2">
        <f>IFERROR(VLOOKUP(J1099,'Rate Sheet'!$D:$F,3,FALSE),0)</f>
        <v>0</v>
      </c>
      <c r="Z1099" s="2">
        <f>IFERROR(VLOOKUP(K1099,'Rate Sheet'!$D:$F,3,FALSE),0)</f>
        <v>0</v>
      </c>
      <c r="AA1099" s="2">
        <f t="shared" si="17"/>
        <v>8.6983333333333324</v>
      </c>
      <c r="AB1099">
        <v>1</v>
      </c>
    </row>
    <row r="1100" spans="1:28" x14ac:dyDescent="0.25">
      <c r="A1100" t="s">
        <v>33</v>
      </c>
      <c r="B1100" t="s">
        <v>4131</v>
      </c>
      <c r="C1100" t="s">
        <v>21</v>
      </c>
      <c r="D1100" t="s">
        <v>4131</v>
      </c>
      <c r="E1100" t="s">
        <v>4132</v>
      </c>
      <c r="F1100" t="s">
        <v>4133</v>
      </c>
      <c r="G1100" t="s">
        <v>24</v>
      </c>
      <c r="H1100" t="s">
        <v>4134</v>
      </c>
      <c r="I1100" t="s">
        <v>73</v>
      </c>
      <c r="N1100" t="s">
        <v>3868</v>
      </c>
      <c r="S1100" t="s">
        <v>75</v>
      </c>
      <c r="V1100" t="s">
        <v>5708</v>
      </c>
      <c r="W1100" t="s">
        <v>5709</v>
      </c>
      <c r="X1100" s="2">
        <f>IFERROR(VLOOKUP(I1100,'Rate Sheet'!$D:$F,3,FALSE),0)</f>
        <v>8.6983333333333324</v>
      </c>
      <c r="Y1100" s="2">
        <f>IFERROR(VLOOKUP(J1100,'Rate Sheet'!$D:$F,3,FALSE),0)</f>
        <v>0</v>
      </c>
      <c r="Z1100" s="2">
        <f>IFERROR(VLOOKUP(K1100,'Rate Sheet'!$D:$F,3,FALSE),0)</f>
        <v>0</v>
      </c>
      <c r="AA1100" s="2">
        <f t="shared" si="17"/>
        <v>8.6983333333333324</v>
      </c>
      <c r="AB1100">
        <v>1</v>
      </c>
    </row>
    <row r="1101" spans="1:28" x14ac:dyDescent="0.25">
      <c r="A1101" t="s">
        <v>33</v>
      </c>
      <c r="B1101" t="s">
        <v>4135</v>
      </c>
      <c r="C1101" t="s">
        <v>21</v>
      </c>
      <c r="D1101" t="s">
        <v>4135</v>
      </c>
      <c r="E1101" t="s">
        <v>1557</v>
      </c>
      <c r="F1101" t="s">
        <v>2130</v>
      </c>
      <c r="G1101" t="s">
        <v>24</v>
      </c>
      <c r="H1101" t="s">
        <v>4136</v>
      </c>
      <c r="I1101" t="s">
        <v>73</v>
      </c>
      <c r="N1101" t="s">
        <v>3868</v>
      </c>
      <c r="S1101" t="s">
        <v>75</v>
      </c>
      <c r="V1101" t="s">
        <v>5708</v>
      </c>
      <c r="W1101" t="s">
        <v>5709</v>
      </c>
      <c r="X1101" s="2">
        <f>IFERROR(VLOOKUP(I1101,'Rate Sheet'!$D:$F,3,FALSE),0)</f>
        <v>8.6983333333333324</v>
      </c>
      <c r="Y1101" s="2">
        <f>IFERROR(VLOOKUP(J1101,'Rate Sheet'!$D:$F,3,FALSE),0)</f>
        <v>0</v>
      </c>
      <c r="Z1101" s="2">
        <f>IFERROR(VLOOKUP(K1101,'Rate Sheet'!$D:$F,3,FALSE),0)</f>
        <v>0</v>
      </c>
      <c r="AA1101" s="2">
        <f t="shared" si="17"/>
        <v>8.6983333333333324</v>
      </c>
      <c r="AB1101">
        <v>1</v>
      </c>
    </row>
    <row r="1102" spans="1:28" x14ac:dyDescent="0.25">
      <c r="A1102" t="s">
        <v>33</v>
      </c>
      <c r="B1102" t="s">
        <v>4137</v>
      </c>
      <c r="C1102" t="s">
        <v>21</v>
      </c>
      <c r="D1102" t="s">
        <v>4137</v>
      </c>
      <c r="E1102" t="s">
        <v>377</v>
      </c>
      <c r="F1102" t="s">
        <v>4138</v>
      </c>
      <c r="G1102" t="s">
        <v>24</v>
      </c>
      <c r="H1102" t="s">
        <v>4139</v>
      </c>
      <c r="I1102" t="s">
        <v>46</v>
      </c>
      <c r="N1102" t="s">
        <v>565</v>
      </c>
      <c r="S1102" t="s">
        <v>48</v>
      </c>
      <c r="V1102" t="s">
        <v>5652</v>
      </c>
      <c r="W1102" t="s">
        <v>565</v>
      </c>
      <c r="X1102" s="2">
        <f>IFERROR(VLOOKUP(I1102,'Rate Sheet'!$D:$F,3,FALSE),0)</f>
        <v>14.333333333333334</v>
      </c>
      <c r="Y1102" s="2">
        <f>IFERROR(VLOOKUP(J1102,'Rate Sheet'!$D:$F,3,FALSE),0)</f>
        <v>0</v>
      </c>
      <c r="Z1102" s="2">
        <f>IFERROR(VLOOKUP(K1102,'Rate Sheet'!$D:$F,3,FALSE),0)</f>
        <v>0</v>
      </c>
      <c r="AA1102" s="2">
        <f t="shared" si="17"/>
        <v>14.333333333333334</v>
      </c>
      <c r="AB1102">
        <v>1</v>
      </c>
    </row>
    <row r="1103" spans="1:28" x14ac:dyDescent="0.25">
      <c r="A1103" t="s">
        <v>33</v>
      </c>
      <c r="B1103" t="s">
        <v>4140</v>
      </c>
      <c r="C1103" t="s">
        <v>21</v>
      </c>
      <c r="D1103" t="s">
        <v>4140</v>
      </c>
      <c r="E1103" t="s">
        <v>4141</v>
      </c>
      <c r="F1103" t="s">
        <v>4142</v>
      </c>
      <c r="G1103" t="s">
        <v>24</v>
      </c>
      <c r="H1103" t="s">
        <v>4143</v>
      </c>
      <c r="I1103" t="s">
        <v>46</v>
      </c>
      <c r="N1103" t="s">
        <v>2975</v>
      </c>
      <c r="S1103" t="s">
        <v>48</v>
      </c>
      <c r="V1103" t="s">
        <v>5737</v>
      </c>
      <c r="W1103" t="s">
        <v>5738</v>
      </c>
      <c r="X1103" s="2">
        <f>IFERROR(VLOOKUP(I1103,'Rate Sheet'!$D:$F,3,FALSE),0)</f>
        <v>14.333333333333334</v>
      </c>
      <c r="Y1103" s="2">
        <f>IFERROR(VLOOKUP(J1103,'Rate Sheet'!$D:$F,3,FALSE),0)</f>
        <v>0</v>
      </c>
      <c r="Z1103" s="2">
        <f>IFERROR(VLOOKUP(K1103,'Rate Sheet'!$D:$F,3,FALSE),0)</f>
        <v>0</v>
      </c>
      <c r="AA1103" s="2">
        <f t="shared" si="17"/>
        <v>14.333333333333334</v>
      </c>
      <c r="AB1103">
        <v>1</v>
      </c>
    </row>
    <row r="1104" spans="1:28" x14ac:dyDescent="0.25">
      <c r="A1104" t="s">
        <v>33</v>
      </c>
      <c r="B1104" t="s">
        <v>4144</v>
      </c>
      <c r="C1104" t="s">
        <v>21</v>
      </c>
      <c r="D1104" t="s">
        <v>4144</v>
      </c>
      <c r="E1104" t="s">
        <v>4145</v>
      </c>
      <c r="F1104" t="s">
        <v>4146</v>
      </c>
      <c r="G1104" t="s">
        <v>24</v>
      </c>
      <c r="H1104" t="s">
        <v>4147</v>
      </c>
      <c r="N1104" t="s">
        <v>444</v>
      </c>
      <c r="X1104" s="2">
        <f>IFERROR(VLOOKUP(I1104,'Rate Sheet'!$D:$F,3,FALSE),0)</f>
        <v>0</v>
      </c>
      <c r="Y1104" s="2">
        <f>IFERROR(VLOOKUP(J1104,'Rate Sheet'!$D:$F,3,FALSE),0)</f>
        <v>0</v>
      </c>
      <c r="Z1104" s="2">
        <f>IFERROR(VLOOKUP(K1104,'Rate Sheet'!$D:$F,3,FALSE),0)</f>
        <v>0</v>
      </c>
      <c r="AA1104" s="2">
        <f t="shared" si="17"/>
        <v>0</v>
      </c>
    </row>
    <row r="1105" spans="1:28" x14ac:dyDescent="0.25">
      <c r="A1105" t="s">
        <v>33</v>
      </c>
      <c r="B1105" t="s">
        <v>4148</v>
      </c>
      <c r="C1105" t="s">
        <v>21</v>
      </c>
      <c r="D1105" t="s">
        <v>4149</v>
      </c>
      <c r="E1105" t="s">
        <v>4150</v>
      </c>
      <c r="F1105" t="s">
        <v>4151</v>
      </c>
      <c r="G1105" t="s">
        <v>24</v>
      </c>
      <c r="H1105" t="s">
        <v>4152</v>
      </c>
      <c r="I1105" t="s">
        <v>73</v>
      </c>
      <c r="N1105" t="s">
        <v>287</v>
      </c>
      <c r="S1105" t="s">
        <v>75</v>
      </c>
      <c r="V1105" s="10" t="s">
        <v>5623</v>
      </c>
      <c r="W1105" s="10" t="s">
        <v>287</v>
      </c>
      <c r="X1105" s="2">
        <f>IFERROR(VLOOKUP(I1105,'Rate Sheet'!$D:$F,3,FALSE),0)</f>
        <v>8.6983333333333324</v>
      </c>
      <c r="Y1105" s="2">
        <f>IFERROR(VLOOKUP(J1105,'Rate Sheet'!$D:$F,3,FALSE),0)</f>
        <v>0</v>
      </c>
      <c r="Z1105" s="2">
        <f>IFERROR(VLOOKUP(K1105,'Rate Sheet'!$D:$F,3,FALSE),0)</f>
        <v>0</v>
      </c>
      <c r="AA1105" s="2">
        <f t="shared" si="17"/>
        <v>8.6983333333333324</v>
      </c>
      <c r="AB1105">
        <v>1</v>
      </c>
    </row>
    <row r="1106" spans="1:28" x14ac:dyDescent="0.25">
      <c r="A1106" t="s">
        <v>33</v>
      </c>
      <c r="B1106" t="s">
        <v>4153</v>
      </c>
      <c r="C1106" t="s">
        <v>21</v>
      </c>
      <c r="D1106" t="s">
        <v>4153</v>
      </c>
      <c r="E1106" t="s">
        <v>1254</v>
      </c>
      <c r="F1106" t="s">
        <v>4154</v>
      </c>
      <c r="G1106" t="s">
        <v>24</v>
      </c>
      <c r="H1106" t="s">
        <v>4155</v>
      </c>
      <c r="I1106" t="s">
        <v>46</v>
      </c>
      <c r="N1106" t="s">
        <v>38</v>
      </c>
      <c r="S1106" t="s">
        <v>48</v>
      </c>
      <c r="V1106" t="s">
        <v>5582</v>
      </c>
      <c r="W1106" t="s">
        <v>5583</v>
      </c>
      <c r="X1106" s="2">
        <f>IFERROR(VLOOKUP(I1106,'Rate Sheet'!$D:$F,3,FALSE),0)</f>
        <v>14.333333333333334</v>
      </c>
      <c r="Y1106" s="2">
        <f>IFERROR(VLOOKUP(J1106,'Rate Sheet'!$D:$F,3,FALSE),0)</f>
        <v>0</v>
      </c>
      <c r="Z1106" s="2">
        <f>IFERROR(VLOOKUP(K1106,'Rate Sheet'!$D:$F,3,FALSE),0)</f>
        <v>0</v>
      </c>
      <c r="AA1106" s="2">
        <f t="shared" si="17"/>
        <v>14.333333333333334</v>
      </c>
      <c r="AB1106">
        <v>1</v>
      </c>
    </row>
    <row r="1107" spans="1:28" x14ac:dyDescent="0.25">
      <c r="A1107" t="s">
        <v>33</v>
      </c>
      <c r="B1107" t="s">
        <v>4156</v>
      </c>
      <c r="C1107" t="s">
        <v>29</v>
      </c>
      <c r="D1107" t="s">
        <v>4156</v>
      </c>
      <c r="E1107" t="s">
        <v>917</v>
      </c>
      <c r="F1107" t="s">
        <v>4157</v>
      </c>
      <c r="G1107" t="s">
        <v>24</v>
      </c>
      <c r="H1107" t="s">
        <v>4158</v>
      </c>
      <c r="I1107" t="s">
        <v>73</v>
      </c>
      <c r="N1107" t="s">
        <v>4159</v>
      </c>
      <c r="S1107" t="s">
        <v>75</v>
      </c>
      <c r="V1107" t="s">
        <v>5766</v>
      </c>
      <c r="W1107" t="s">
        <v>4159</v>
      </c>
      <c r="X1107" s="2">
        <f>IFERROR(VLOOKUP(I1107,'Rate Sheet'!$D:$F,3,FALSE),0)</f>
        <v>8.6983333333333324</v>
      </c>
      <c r="Y1107" s="2">
        <f>IFERROR(VLOOKUP(J1107,'Rate Sheet'!$D:$F,3,FALSE),0)</f>
        <v>0</v>
      </c>
      <c r="Z1107" s="2">
        <f>IFERROR(VLOOKUP(K1107,'Rate Sheet'!$D:$F,3,FALSE),0)</f>
        <v>0</v>
      </c>
      <c r="AA1107" s="2">
        <f t="shared" si="17"/>
        <v>8.6983333333333324</v>
      </c>
      <c r="AB1107">
        <v>1</v>
      </c>
    </row>
    <row r="1108" spans="1:28" x14ac:dyDescent="0.25">
      <c r="A1108" t="s">
        <v>33</v>
      </c>
      <c r="B1108" t="s">
        <v>4160</v>
      </c>
      <c r="C1108" t="s">
        <v>21</v>
      </c>
      <c r="D1108" t="s">
        <v>4160</v>
      </c>
      <c r="E1108" t="s">
        <v>3031</v>
      </c>
      <c r="F1108" t="s">
        <v>4161</v>
      </c>
      <c r="G1108" t="s">
        <v>24</v>
      </c>
      <c r="H1108" t="s">
        <v>4162</v>
      </c>
      <c r="I1108" t="s">
        <v>73</v>
      </c>
      <c r="N1108" t="s">
        <v>38</v>
      </c>
      <c r="S1108" t="s">
        <v>75</v>
      </c>
      <c r="V1108" t="s">
        <v>5582</v>
      </c>
      <c r="W1108" t="s">
        <v>5583</v>
      </c>
      <c r="X1108" s="2">
        <f>IFERROR(VLOOKUP(I1108,'Rate Sheet'!$D:$F,3,FALSE),0)</f>
        <v>8.6983333333333324</v>
      </c>
      <c r="Y1108" s="2">
        <f>IFERROR(VLOOKUP(J1108,'Rate Sheet'!$D:$F,3,FALSE),0)</f>
        <v>0</v>
      </c>
      <c r="Z1108" s="2">
        <f>IFERROR(VLOOKUP(K1108,'Rate Sheet'!$D:$F,3,FALSE),0)</f>
        <v>0</v>
      </c>
      <c r="AA1108" s="2">
        <f t="shared" si="17"/>
        <v>8.6983333333333324</v>
      </c>
      <c r="AB1108">
        <v>1</v>
      </c>
    </row>
    <row r="1109" spans="1:28" x14ac:dyDescent="0.25">
      <c r="A1109" t="s">
        <v>33</v>
      </c>
      <c r="B1109" t="s">
        <v>4163</v>
      </c>
      <c r="C1109" t="s">
        <v>21</v>
      </c>
      <c r="D1109" t="s">
        <v>4163</v>
      </c>
      <c r="E1109" t="s">
        <v>22</v>
      </c>
      <c r="F1109" t="s">
        <v>4164</v>
      </c>
      <c r="G1109" t="s">
        <v>24</v>
      </c>
      <c r="H1109" t="s">
        <v>4165</v>
      </c>
      <c r="I1109" t="s">
        <v>73</v>
      </c>
      <c r="N1109" t="s">
        <v>1552</v>
      </c>
      <c r="S1109" t="s">
        <v>75</v>
      </c>
      <c r="V1109" t="s">
        <v>5703</v>
      </c>
      <c r="W1109" t="s">
        <v>5704</v>
      </c>
      <c r="X1109" s="2">
        <f>IFERROR(VLOOKUP(I1109,'Rate Sheet'!$D:$F,3,FALSE),0)</f>
        <v>8.6983333333333324</v>
      </c>
      <c r="Y1109" s="2">
        <f>IFERROR(VLOOKUP(J1109,'Rate Sheet'!$D:$F,3,FALSE),0)</f>
        <v>0</v>
      </c>
      <c r="Z1109" s="2">
        <f>IFERROR(VLOOKUP(K1109,'Rate Sheet'!$D:$F,3,FALSE),0)</f>
        <v>0</v>
      </c>
      <c r="AA1109" s="2">
        <f t="shared" si="17"/>
        <v>8.6983333333333324</v>
      </c>
      <c r="AB1109">
        <v>1</v>
      </c>
    </row>
    <row r="1110" spans="1:28" x14ac:dyDescent="0.25">
      <c r="A1110" t="s">
        <v>33</v>
      </c>
      <c r="B1110" t="s">
        <v>4166</v>
      </c>
      <c r="C1110" t="s">
        <v>29</v>
      </c>
      <c r="D1110" t="s">
        <v>4166</v>
      </c>
      <c r="E1110" t="s">
        <v>126</v>
      </c>
      <c r="F1110" t="s">
        <v>826</v>
      </c>
      <c r="G1110" t="s">
        <v>24</v>
      </c>
      <c r="H1110" t="s">
        <v>4167</v>
      </c>
      <c r="I1110" t="s">
        <v>73</v>
      </c>
      <c r="N1110" t="s">
        <v>246</v>
      </c>
      <c r="S1110" t="s">
        <v>75</v>
      </c>
      <c r="V1110" t="s">
        <v>5661</v>
      </c>
      <c r="W1110" t="s">
        <v>246</v>
      </c>
      <c r="X1110" s="2">
        <f>IFERROR(VLOOKUP(I1110,'Rate Sheet'!$D:$F,3,FALSE),0)</f>
        <v>8.6983333333333324</v>
      </c>
      <c r="Y1110" s="2">
        <f>IFERROR(VLOOKUP(J1110,'Rate Sheet'!$D:$F,3,FALSE),0)</f>
        <v>0</v>
      </c>
      <c r="Z1110" s="2">
        <f>IFERROR(VLOOKUP(K1110,'Rate Sheet'!$D:$F,3,FALSE),0)</f>
        <v>0</v>
      </c>
      <c r="AA1110" s="2">
        <f t="shared" si="17"/>
        <v>8.6983333333333324</v>
      </c>
      <c r="AB1110">
        <v>1</v>
      </c>
    </row>
    <row r="1111" spans="1:28" x14ac:dyDescent="0.25">
      <c r="A1111" t="s">
        <v>33</v>
      </c>
      <c r="B1111" t="s">
        <v>4168</v>
      </c>
      <c r="C1111" t="s">
        <v>21</v>
      </c>
      <c r="D1111" t="s">
        <v>4168</v>
      </c>
      <c r="E1111" t="s">
        <v>1933</v>
      </c>
      <c r="F1111" t="s">
        <v>4169</v>
      </c>
      <c r="G1111" t="s">
        <v>24</v>
      </c>
      <c r="H1111" t="s">
        <v>4170</v>
      </c>
      <c r="N1111" t="s">
        <v>2806</v>
      </c>
      <c r="X1111" s="2">
        <f>IFERROR(VLOOKUP(I1111,'Rate Sheet'!$D:$F,3,FALSE),0)</f>
        <v>0</v>
      </c>
      <c r="Y1111" s="2">
        <f>IFERROR(VLOOKUP(J1111,'Rate Sheet'!$D:$F,3,FALSE),0)</f>
        <v>0</v>
      </c>
      <c r="Z1111" s="2">
        <f>IFERROR(VLOOKUP(K1111,'Rate Sheet'!$D:$F,3,FALSE),0)</f>
        <v>0</v>
      </c>
      <c r="AA1111" s="2">
        <f t="shared" si="17"/>
        <v>0</v>
      </c>
    </row>
    <row r="1112" spans="1:28" x14ac:dyDescent="0.25">
      <c r="A1112" t="s">
        <v>33</v>
      </c>
      <c r="B1112" t="s">
        <v>4171</v>
      </c>
      <c r="C1112" t="s">
        <v>21</v>
      </c>
      <c r="D1112" t="s">
        <v>4171</v>
      </c>
      <c r="E1112" t="s">
        <v>4172</v>
      </c>
      <c r="F1112" t="s">
        <v>4173</v>
      </c>
      <c r="G1112" t="s">
        <v>24</v>
      </c>
      <c r="H1112" s="1" t="s">
        <v>4174</v>
      </c>
      <c r="I1112" t="s">
        <v>73</v>
      </c>
      <c r="N1112" t="s">
        <v>2975</v>
      </c>
      <c r="S1112" t="s">
        <v>75</v>
      </c>
      <c r="V1112" t="s">
        <v>5737</v>
      </c>
      <c r="W1112" t="s">
        <v>5738</v>
      </c>
      <c r="X1112" s="2">
        <f>IFERROR(VLOOKUP(I1112,'Rate Sheet'!$D:$F,3,FALSE),0)</f>
        <v>8.6983333333333324</v>
      </c>
      <c r="Y1112" s="2">
        <f>IFERROR(VLOOKUP(J1112,'Rate Sheet'!$D:$F,3,FALSE),0)</f>
        <v>0</v>
      </c>
      <c r="Z1112" s="2">
        <f>IFERROR(VLOOKUP(K1112,'Rate Sheet'!$D:$F,3,FALSE),0)</f>
        <v>0</v>
      </c>
      <c r="AA1112" s="2">
        <f t="shared" si="17"/>
        <v>8.6983333333333324</v>
      </c>
      <c r="AB1112">
        <v>1</v>
      </c>
    </row>
    <row r="1113" spans="1:28" x14ac:dyDescent="0.25">
      <c r="A1113" t="s">
        <v>33</v>
      </c>
      <c r="B1113" t="s">
        <v>4175</v>
      </c>
      <c r="C1113" t="s">
        <v>21</v>
      </c>
      <c r="D1113" t="s">
        <v>4175</v>
      </c>
      <c r="E1113" t="s">
        <v>342</v>
      </c>
      <c r="F1113" t="s">
        <v>4176</v>
      </c>
      <c r="G1113" t="s">
        <v>24</v>
      </c>
      <c r="H1113" t="s">
        <v>4177</v>
      </c>
      <c r="I1113" t="s">
        <v>46</v>
      </c>
      <c r="N1113" t="s">
        <v>2975</v>
      </c>
      <c r="S1113" t="s">
        <v>48</v>
      </c>
      <c r="V1113" t="s">
        <v>5737</v>
      </c>
      <c r="W1113" t="s">
        <v>5738</v>
      </c>
      <c r="X1113" s="2">
        <f>IFERROR(VLOOKUP(I1113,'Rate Sheet'!$D:$F,3,FALSE),0)</f>
        <v>14.333333333333334</v>
      </c>
      <c r="Y1113" s="2">
        <f>IFERROR(VLOOKUP(J1113,'Rate Sheet'!$D:$F,3,FALSE),0)</f>
        <v>0</v>
      </c>
      <c r="Z1113" s="2">
        <f>IFERROR(VLOOKUP(K1113,'Rate Sheet'!$D:$F,3,FALSE),0)</f>
        <v>0</v>
      </c>
      <c r="AA1113" s="2">
        <f t="shared" si="17"/>
        <v>14.333333333333334</v>
      </c>
      <c r="AB1113">
        <v>1</v>
      </c>
    </row>
    <row r="1114" spans="1:28" x14ac:dyDescent="0.25">
      <c r="A1114" t="s">
        <v>33</v>
      </c>
      <c r="B1114" t="s">
        <v>4178</v>
      </c>
      <c r="C1114" t="s">
        <v>21</v>
      </c>
      <c r="D1114" t="s">
        <v>4178</v>
      </c>
      <c r="E1114" t="s">
        <v>4179</v>
      </c>
      <c r="F1114" t="s">
        <v>4180</v>
      </c>
      <c r="G1114" t="s">
        <v>24</v>
      </c>
      <c r="H1114" t="s">
        <v>4181</v>
      </c>
      <c r="I1114" t="s">
        <v>96</v>
      </c>
      <c r="N1114" t="s">
        <v>53</v>
      </c>
      <c r="S1114" t="s">
        <v>98</v>
      </c>
      <c r="V1114" t="s">
        <v>5580</v>
      </c>
      <c r="W1114" t="s">
        <v>5581</v>
      </c>
      <c r="X1114" s="2">
        <f>IFERROR(VLOOKUP(I1114,'Rate Sheet'!$D:$F,3,FALSE),0)</f>
        <v>82.24</v>
      </c>
      <c r="Y1114" s="2">
        <f>IFERROR(VLOOKUP(J1114,'Rate Sheet'!$D:$F,3,FALSE),0)</f>
        <v>0</v>
      </c>
      <c r="Z1114" s="2">
        <f>IFERROR(VLOOKUP(K1114,'Rate Sheet'!$D:$F,3,FALSE),0)</f>
        <v>0</v>
      </c>
      <c r="AA1114" s="2">
        <f t="shared" si="17"/>
        <v>82.24</v>
      </c>
      <c r="AB1114">
        <v>1</v>
      </c>
    </row>
    <row r="1115" spans="1:28" x14ac:dyDescent="0.25">
      <c r="A1115" t="s">
        <v>33</v>
      </c>
      <c r="B1115" t="s">
        <v>4182</v>
      </c>
      <c r="C1115" t="s">
        <v>29</v>
      </c>
      <c r="D1115" t="s">
        <v>4182</v>
      </c>
      <c r="E1115" t="s">
        <v>1149</v>
      </c>
      <c r="F1115" t="s">
        <v>4183</v>
      </c>
      <c r="G1115" t="s">
        <v>24</v>
      </c>
      <c r="H1115" t="s">
        <v>4184</v>
      </c>
      <c r="N1115" t="s">
        <v>511</v>
      </c>
      <c r="X1115" s="2">
        <f>IFERROR(VLOOKUP(I1115,'Rate Sheet'!$D:$F,3,FALSE),0)</f>
        <v>0</v>
      </c>
      <c r="Y1115" s="2">
        <f>IFERROR(VLOOKUP(J1115,'Rate Sheet'!$D:$F,3,FALSE),0)</f>
        <v>0</v>
      </c>
      <c r="Z1115" s="2">
        <f>IFERROR(VLOOKUP(K1115,'Rate Sheet'!$D:$F,3,FALSE),0)</f>
        <v>0</v>
      </c>
      <c r="AA1115" s="2">
        <f t="shared" si="17"/>
        <v>0</v>
      </c>
    </row>
    <row r="1116" spans="1:28" x14ac:dyDescent="0.25">
      <c r="A1116" t="s">
        <v>33</v>
      </c>
      <c r="B1116" t="s">
        <v>4185</v>
      </c>
      <c r="C1116" t="s">
        <v>21</v>
      </c>
      <c r="D1116" t="s">
        <v>4185</v>
      </c>
      <c r="E1116" t="s">
        <v>60</v>
      </c>
      <c r="F1116" t="s">
        <v>4186</v>
      </c>
      <c r="G1116" t="s">
        <v>24</v>
      </c>
      <c r="H1116" t="s">
        <v>4187</v>
      </c>
      <c r="I1116" t="s">
        <v>46</v>
      </c>
      <c r="N1116" t="s">
        <v>2975</v>
      </c>
      <c r="S1116" t="s">
        <v>48</v>
      </c>
      <c r="V1116" t="s">
        <v>5737</v>
      </c>
      <c r="W1116" t="s">
        <v>5738</v>
      </c>
      <c r="X1116" s="2">
        <f>IFERROR(VLOOKUP(I1116,'Rate Sheet'!$D:$F,3,FALSE),0)</f>
        <v>14.333333333333334</v>
      </c>
      <c r="Y1116" s="2">
        <f>IFERROR(VLOOKUP(J1116,'Rate Sheet'!$D:$F,3,FALSE),0)</f>
        <v>0</v>
      </c>
      <c r="Z1116" s="2">
        <f>IFERROR(VLOOKUP(K1116,'Rate Sheet'!$D:$F,3,FALSE),0)</f>
        <v>0</v>
      </c>
      <c r="AA1116" s="2">
        <f t="shared" si="17"/>
        <v>14.333333333333334</v>
      </c>
      <c r="AB1116">
        <v>1</v>
      </c>
    </row>
    <row r="1117" spans="1:28" x14ac:dyDescent="0.25">
      <c r="A1117" t="s">
        <v>33</v>
      </c>
      <c r="B1117" t="s">
        <v>4188</v>
      </c>
      <c r="C1117" t="s">
        <v>29</v>
      </c>
      <c r="D1117" t="s">
        <v>4188</v>
      </c>
      <c r="E1117" t="s">
        <v>4145</v>
      </c>
      <c r="F1117" t="s">
        <v>4146</v>
      </c>
      <c r="G1117" t="s">
        <v>24</v>
      </c>
      <c r="H1117" t="s">
        <v>4189</v>
      </c>
      <c r="I1117" t="s">
        <v>46</v>
      </c>
      <c r="S1117" t="s">
        <v>48</v>
      </c>
      <c r="V1117" t="s">
        <v>5636</v>
      </c>
      <c r="W1117" t="s">
        <v>5637</v>
      </c>
      <c r="X1117" s="2">
        <f>IFERROR(VLOOKUP(I1117,'Rate Sheet'!$D:$F,3,FALSE),0)</f>
        <v>14.333333333333334</v>
      </c>
      <c r="Y1117" s="2">
        <f>IFERROR(VLOOKUP(J1117,'Rate Sheet'!$D:$F,3,FALSE),0)</f>
        <v>0</v>
      </c>
      <c r="Z1117" s="2">
        <f>IFERROR(VLOOKUP(K1117,'Rate Sheet'!$D:$F,3,FALSE),0)</f>
        <v>0</v>
      </c>
      <c r="AA1117" s="2">
        <f t="shared" si="17"/>
        <v>14.333333333333334</v>
      </c>
      <c r="AB1117">
        <v>1</v>
      </c>
    </row>
    <row r="1118" spans="1:28" x14ac:dyDescent="0.25">
      <c r="A1118" t="s">
        <v>33</v>
      </c>
      <c r="B1118" t="s">
        <v>4190</v>
      </c>
      <c r="C1118" t="s">
        <v>21</v>
      </c>
      <c r="D1118" t="s">
        <v>4190</v>
      </c>
      <c r="E1118" t="s">
        <v>678</v>
      </c>
      <c r="F1118" t="s">
        <v>3153</v>
      </c>
      <c r="G1118" t="s">
        <v>24</v>
      </c>
      <c r="H1118" s="1" t="s">
        <v>4191</v>
      </c>
      <c r="N1118" t="s">
        <v>914</v>
      </c>
      <c r="X1118" s="2">
        <f>IFERROR(VLOOKUP(I1118,'Rate Sheet'!$D:$F,3,FALSE),0)</f>
        <v>0</v>
      </c>
      <c r="Y1118" s="2">
        <f>IFERROR(VLOOKUP(J1118,'Rate Sheet'!$D:$F,3,FALSE),0)</f>
        <v>0</v>
      </c>
      <c r="Z1118" s="2">
        <f>IFERROR(VLOOKUP(K1118,'Rate Sheet'!$D:$F,3,FALSE),0)</f>
        <v>0</v>
      </c>
      <c r="AA1118" s="2">
        <f t="shared" si="17"/>
        <v>0</v>
      </c>
    </row>
    <row r="1119" spans="1:28" x14ac:dyDescent="0.25">
      <c r="A1119" t="s">
        <v>33</v>
      </c>
      <c r="B1119" t="s">
        <v>4192</v>
      </c>
      <c r="C1119" t="s">
        <v>21</v>
      </c>
      <c r="D1119" t="s">
        <v>4193</v>
      </c>
      <c r="E1119" t="s">
        <v>4194</v>
      </c>
      <c r="F1119" t="s">
        <v>4195</v>
      </c>
      <c r="G1119" t="s">
        <v>24</v>
      </c>
      <c r="H1119" t="s">
        <v>4196</v>
      </c>
      <c r="I1119" t="s">
        <v>46</v>
      </c>
      <c r="J1119" t="s">
        <v>5562</v>
      </c>
      <c r="N1119" t="s">
        <v>2975</v>
      </c>
      <c r="S1119" t="s">
        <v>4198</v>
      </c>
      <c r="V1119" t="s">
        <v>5737</v>
      </c>
      <c r="W1119" t="s">
        <v>5738</v>
      </c>
      <c r="X1119" s="2">
        <f>IFERROR(VLOOKUP(I1119,'Rate Sheet'!$D:$F,3,FALSE),0)</f>
        <v>14.333333333333334</v>
      </c>
      <c r="Y1119" s="2">
        <f>IFERROR(VLOOKUP(J1119,'Rate Sheet'!$D:$F,3,FALSE),0)</f>
        <v>34.873750000000001</v>
      </c>
      <c r="Z1119" s="2">
        <f>IFERROR(VLOOKUP(K1119,'Rate Sheet'!$D:$F,3,FALSE),0)</f>
        <v>0</v>
      </c>
      <c r="AA1119" s="2">
        <f t="shared" si="17"/>
        <v>49.207083333333337</v>
      </c>
      <c r="AB1119">
        <v>1</v>
      </c>
    </row>
    <row r="1120" spans="1:28" x14ac:dyDescent="0.25">
      <c r="A1120" t="s">
        <v>33</v>
      </c>
      <c r="B1120" t="s">
        <v>4199</v>
      </c>
      <c r="C1120" t="s">
        <v>21</v>
      </c>
      <c r="D1120" t="s">
        <v>4199</v>
      </c>
      <c r="E1120" t="s">
        <v>1315</v>
      </c>
      <c r="F1120" t="s">
        <v>154</v>
      </c>
      <c r="G1120" t="s">
        <v>24</v>
      </c>
      <c r="H1120" t="s">
        <v>4200</v>
      </c>
      <c r="I1120" t="s">
        <v>46</v>
      </c>
      <c r="N1120" t="s">
        <v>53</v>
      </c>
      <c r="S1120" t="s">
        <v>48</v>
      </c>
      <c r="V1120" t="s">
        <v>5580</v>
      </c>
      <c r="W1120" t="s">
        <v>5581</v>
      </c>
      <c r="X1120" s="2">
        <f>IFERROR(VLOOKUP(I1120,'Rate Sheet'!$D:$F,3,FALSE),0)</f>
        <v>14.333333333333334</v>
      </c>
      <c r="Y1120" s="2">
        <f>IFERROR(VLOOKUP(J1120,'Rate Sheet'!$D:$F,3,FALSE),0)</f>
        <v>0</v>
      </c>
      <c r="Z1120" s="2">
        <f>IFERROR(VLOOKUP(K1120,'Rate Sheet'!$D:$F,3,FALSE),0)</f>
        <v>0</v>
      </c>
      <c r="AA1120" s="2">
        <f t="shared" si="17"/>
        <v>14.333333333333334</v>
      </c>
      <c r="AB1120">
        <v>1</v>
      </c>
    </row>
    <row r="1121" spans="1:28" x14ac:dyDescent="0.25">
      <c r="A1121" t="s">
        <v>33</v>
      </c>
      <c r="B1121" t="s">
        <v>4201</v>
      </c>
      <c r="C1121" t="s">
        <v>29</v>
      </c>
      <c r="D1121" t="s">
        <v>4201</v>
      </c>
      <c r="E1121" t="s">
        <v>213</v>
      </c>
      <c r="F1121" t="s">
        <v>3447</v>
      </c>
      <c r="G1121" t="s">
        <v>24</v>
      </c>
      <c r="H1121" t="s">
        <v>4202</v>
      </c>
      <c r="I1121" t="s">
        <v>46</v>
      </c>
      <c r="N1121" t="s">
        <v>511</v>
      </c>
      <c r="S1121" t="s">
        <v>48</v>
      </c>
      <c r="V1121" t="s">
        <v>5617</v>
      </c>
      <c r="W1121" t="s">
        <v>511</v>
      </c>
      <c r="X1121" s="2">
        <f>IFERROR(VLOOKUP(I1121,'Rate Sheet'!$D:$F,3,FALSE),0)</f>
        <v>14.333333333333334</v>
      </c>
      <c r="Y1121" s="2">
        <f>IFERROR(VLOOKUP(J1121,'Rate Sheet'!$D:$F,3,FALSE),0)</f>
        <v>0</v>
      </c>
      <c r="Z1121" s="2">
        <f>IFERROR(VLOOKUP(K1121,'Rate Sheet'!$D:$F,3,FALSE),0)</f>
        <v>0</v>
      </c>
      <c r="AA1121" s="2">
        <f t="shared" si="17"/>
        <v>14.333333333333334</v>
      </c>
      <c r="AB1121">
        <v>1</v>
      </c>
    </row>
    <row r="1122" spans="1:28" x14ac:dyDescent="0.25">
      <c r="A1122" t="s">
        <v>33</v>
      </c>
      <c r="B1122" t="s">
        <v>4203</v>
      </c>
      <c r="C1122" t="s">
        <v>29</v>
      </c>
      <c r="D1122" t="s">
        <v>4203</v>
      </c>
      <c r="E1122" t="s">
        <v>796</v>
      </c>
      <c r="F1122" t="s">
        <v>4204</v>
      </c>
      <c r="G1122" t="s">
        <v>24</v>
      </c>
      <c r="H1122" t="s">
        <v>4205</v>
      </c>
      <c r="X1122" s="2">
        <f>IFERROR(VLOOKUP(I1122,'Rate Sheet'!$D:$F,3,FALSE),0)</f>
        <v>0</v>
      </c>
      <c r="Y1122" s="2">
        <f>IFERROR(VLOOKUP(J1122,'Rate Sheet'!$D:$F,3,FALSE),0)</f>
        <v>0</v>
      </c>
      <c r="Z1122" s="2">
        <f>IFERROR(VLOOKUP(K1122,'Rate Sheet'!$D:$F,3,FALSE),0)</f>
        <v>0</v>
      </c>
      <c r="AA1122" s="2">
        <f t="shared" si="17"/>
        <v>0</v>
      </c>
    </row>
    <row r="1123" spans="1:28" x14ac:dyDescent="0.25">
      <c r="A1123" t="s">
        <v>33</v>
      </c>
      <c r="B1123" t="s">
        <v>4206</v>
      </c>
      <c r="C1123" t="s">
        <v>29</v>
      </c>
      <c r="D1123" t="s">
        <v>4206</v>
      </c>
      <c r="E1123" t="s">
        <v>4207</v>
      </c>
      <c r="F1123" t="s">
        <v>4208</v>
      </c>
      <c r="G1123" t="s">
        <v>24</v>
      </c>
      <c r="H1123" t="s">
        <v>4209</v>
      </c>
      <c r="I1123" t="s">
        <v>73</v>
      </c>
      <c r="S1123" t="s">
        <v>75</v>
      </c>
      <c r="V1123" t="s">
        <v>5617</v>
      </c>
      <c r="W1123" t="s">
        <v>511</v>
      </c>
      <c r="X1123" s="2">
        <f>IFERROR(VLOOKUP(I1123,'Rate Sheet'!$D:$F,3,FALSE),0)</f>
        <v>8.6983333333333324</v>
      </c>
      <c r="Y1123" s="2">
        <f>IFERROR(VLOOKUP(J1123,'Rate Sheet'!$D:$F,3,FALSE),0)</f>
        <v>0</v>
      </c>
      <c r="Z1123" s="2">
        <f>IFERROR(VLOOKUP(K1123,'Rate Sheet'!$D:$F,3,FALSE),0)</f>
        <v>0</v>
      </c>
      <c r="AA1123" s="2">
        <f t="shared" si="17"/>
        <v>8.6983333333333324</v>
      </c>
      <c r="AB1123">
        <v>1</v>
      </c>
    </row>
    <row r="1124" spans="1:28" x14ac:dyDescent="0.25">
      <c r="A1124" t="s">
        <v>33</v>
      </c>
      <c r="B1124" t="s">
        <v>4210</v>
      </c>
      <c r="C1124" t="s">
        <v>21</v>
      </c>
      <c r="D1124" t="s">
        <v>4210</v>
      </c>
      <c r="E1124" t="s">
        <v>4211</v>
      </c>
      <c r="F1124" t="s">
        <v>4212</v>
      </c>
      <c r="G1124" t="s">
        <v>24</v>
      </c>
      <c r="H1124" t="s">
        <v>4213</v>
      </c>
      <c r="I1124" t="s">
        <v>46</v>
      </c>
      <c r="N1124" t="s">
        <v>994</v>
      </c>
      <c r="S1124" t="s">
        <v>48</v>
      </c>
      <c r="V1124" t="s">
        <v>5653</v>
      </c>
      <c r="W1124" t="s">
        <v>5654</v>
      </c>
      <c r="X1124" s="2">
        <f>IFERROR(VLOOKUP(I1124,'Rate Sheet'!$D:$F,3,FALSE),0)</f>
        <v>14.333333333333334</v>
      </c>
      <c r="Y1124" s="2">
        <f>IFERROR(VLOOKUP(J1124,'Rate Sheet'!$D:$F,3,FALSE),0)</f>
        <v>0</v>
      </c>
      <c r="Z1124" s="2">
        <f>IFERROR(VLOOKUP(K1124,'Rate Sheet'!$D:$F,3,FALSE),0)</f>
        <v>0</v>
      </c>
      <c r="AA1124" s="2">
        <f t="shared" si="17"/>
        <v>14.333333333333334</v>
      </c>
      <c r="AB1124">
        <v>1</v>
      </c>
    </row>
    <row r="1125" spans="1:28" x14ac:dyDescent="0.25">
      <c r="A1125" t="s">
        <v>33</v>
      </c>
      <c r="B1125" t="s">
        <v>4214</v>
      </c>
      <c r="C1125" t="s">
        <v>21</v>
      </c>
      <c r="D1125" t="s">
        <v>4214</v>
      </c>
      <c r="E1125" t="s">
        <v>992</v>
      </c>
      <c r="F1125" t="s">
        <v>4215</v>
      </c>
      <c r="G1125" t="s">
        <v>24</v>
      </c>
      <c r="H1125" t="s">
        <v>4216</v>
      </c>
      <c r="I1125" t="s">
        <v>46</v>
      </c>
      <c r="N1125" t="s">
        <v>2975</v>
      </c>
      <c r="S1125" t="s">
        <v>48</v>
      </c>
      <c r="V1125" t="s">
        <v>5767</v>
      </c>
      <c r="W1125" t="s">
        <v>5768</v>
      </c>
      <c r="X1125" s="2">
        <f>IFERROR(VLOOKUP(I1125,'Rate Sheet'!$D:$F,3,FALSE),0)</f>
        <v>14.333333333333334</v>
      </c>
      <c r="Y1125" s="2">
        <f>IFERROR(VLOOKUP(J1125,'Rate Sheet'!$D:$F,3,FALSE),0)</f>
        <v>0</v>
      </c>
      <c r="Z1125" s="2">
        <f>IFERROR(VLOOKUP(K1125,'Rate Sheet'!$D:$F,3,FALSE),0)</f>
        <v>0</v>
      </c>
      <c r="AA1125" s="2">
        <f t="shared" si="17"/>
        <v>14.333333333333334</v>
      </c>
      <c r="AB1125">
        <v>1</v>
      </c>
    </row>
    <row r="1126" spans="1:28" x14ac:dyDescent="0.25">
      <c r="A1126" t="s">
        <v>33</v>
      </c>
      <c r="B1126" t="s">
        <v>4217</v>
      </c>
      <c r="C1126" t="s">
        <v>21</v>
      </c>
      <c r="D1126" t="s">
        <v>4218</v>
      </c>
      <c r="E1126" t="s">
        <v>4219</v>
      </c>
      <c r="F1126" t="s">
        <v>4220</v>
      </c>
      <c r="G1126" t="s">
        <v>24</v>
      </c>
      <c r="H1126" t="s">
        <v>4221</v>
      </c>
      <c r="I1126" t="s">
        <v>46</v>
      </c>
      <c r="N1126" t="s">
        <v>2975</v>
      </c>
      <c r="S1126" t="s">
        <v>48</v>
      </c>
      <c r="V1126" t="s">
        <v>5737</v>
      </c>
      <c r="W1126" t="s">
        <v>5738</v>
      </c>
      <c r="X1126" s="2">
        <f>IFERROR(VLOOKUP(I1126,'Rate Sheet'!$D:$F,3,FALSE),0)</f>
        <v>14.333333333333334</v>
      </c>
      <c r="Y1126" s="2">
        <f>IFERROR(VLOOKUP(J1126,'Rate Sheet'!$D:$F,3,FALSE),0)</f>
        <v>0</v>
      </c>
      <c r="Z1126" s="2">
        <f>IFERROR(VLOOKUP(K1126,'Rate Sheet'!$D:$F,3,FALSE),0)</f>
        <v>0</v>
      </c>
      <c r="AA1126" s="2">
        <f t="shared" si="17"/>
        <v>14.333333333333334</v>
      </c>
      <c r="AB1126">
        <v>1</v>
      </c>
    </row>
    <row r="1127" spans="1:28" x14ac:dyDescent="0.25">
      <c r="A1127" t="s">
        <v>33</v>
      </c>
      <c r="B1127" t="s">
        <v>4222</v>
      </c>
      <c r="C1127" t="s">
        <v>29</v>
      </c>
      <c r="D1127" t="s">
        <v>4222</v>
      </c>
      <c r="E1127" t="s">
        <v>1015</v>
      </c>
      <c r="F1127" t="s">
        <v>4223</v>
      </c>
      <c r="G1127" t="s">
        <v>24</v>
      </c>
      <c r="H1127" t="s">
        <v>4224</v>
      </c>
      <c r="X1127" s="2">
        <f>IFERROR(VLOOKUP(I1127,'Rate Sheet'!$D:$F,3,FALSE),0)</f>
        <v>0</v>
      </c>
      <c r="Y1127" s="2">
        <f>IFERROR(VLOOKUP(J1127,'Rate Sheet'!$D:$F,3,FALSE),0)</f>
        <v>0</v>
      </c>
      <c r="Z1127" s="2">
        <f>IFERROR(VLOOKUP(K1127,'Rate Sheet'!$D:$F,3,FALSE),0)</f>
        <v>0</v>
      </c>
      <c r="AA1127" s="2">
        <f t="shared" si="17"/>
        <v>0</v>
      </c>
    </row>
    <row r="1128" spans="1:28" x14ac:dyDescent="0.25">
      <c r="A1128" t="s">
        <v>33</v>
      </c>
      <c r="B1128" t="s">
        <v>4225</v>
      </c>
      <c r="C1128" t="s">
        <v>21</v>
      </c>
      <c r="D1128" t="s">
        <v>4225</v>
      </c>
      <c r="E1128" t="s">
        <v>4226</v>
      </c>
      <c r="F1128" t="s">
        <v>4227</v>
      </c>
      <c r="G1128" t="s">
        <v>24</v>
      </c>
      <c r="H1128" t="s">
        <v>4228</v>
      </c>
      <c r="I1128" t="s">
        <v>46</v>
      </c>
      <c r="N1128" t="s">
        <v>4229</v>
      </c>
      <c r="S1128" t="s">
        <v>48</v>
      </c>
      <c r="V1128" t="s">
        <v>5708</v>
      </c>
      <c r="W1128" t="s">
        <v>5709</v>
      </c>
      <c r="X1128" s="2">
        <f>IFERROR(VLOOKUP(I1128,'Rate Sheet'!$D:$F,3,FALSE),0)</f>
        <v>14.333333333333334</v>
      </c>
      <c r="Y1128" s="2">
        <f>IFERROR(VLOOKUP(J1128,'Rate Sheet'!$D:$F,3,FALSE),0)</f>
        <v>0</v>
      </c>
      <c r="Z1128" s="2">
        <f>IFERROR(VLOOKUP(K1128,'Rate Sheet'!$D:$F,3,FALSE),0)</f>
        <v>0</v>
      </c>
      <c r="AA1128" s="2">
        <f t="shared" si="17"/>
        <v>14.333333333333334</v>
      </c>
      <c r="AB1128">
        <v>1</v>
      </c>
    </row>
    <row r="1129" spans="1:28" x14ac:dyDescent="0.25">
      <c r="A1129" t="s">
        <v>33</v>
      </c>
      <c r="B1129" t="s">
        <v>4230</v>
      </c>
      <c r="C1129" t="s">
        <v>21</v>
      </c>
      <c r="D1129" t="s">
        <v>4230</v>
      </c>
      <c r="E1129" t="s">
        <v>4231</v>
      </c>
      <c r="F1129" t="s">
        <v>4232</v>
      </c>
      <c r="G1129" t="s">
        <v>24</v>
      </c>
      <c r="H1129" t="s">
        <v>4233</v>
      </c>
      <c r="I1129" t="s">
        <v>46</v>
      </c>
      <c r="N1129" t="s">
        <v>3868</v>
      </c>
      <c r="S1129" t="s">
        <v>48</v>
      </c>
      <c r="V1129" t="s">
        <v>5708</v>
      </c>
      <c r="W1129" t="s">
        <v>5709</v>
      </c>
      <c r="X1129" s="2">
        <f>IFERROR(VLOOKUP(I1129,'Rate Sheet'!$D:$F,3,FALSE),0)</f>
        <v>14.333333333333334</v>
      </c>
      <c r="Y1129" s="2">
        <f>IFERROR(VLOOKUP(J1129,'Rate Sheet'!$D:$F,3,FALSE),0)</f>
        <v>0</v>
      </c>
      <c r="Z1129" s="2">
        <f>IFERROR(VLOOKUP(K1129,'Rate Sheet'!$D:$F,3,FALSE),0)</f>
        <v>0</v>
      </c>
      <c r="AA1129" s="2">
        <f t="shared" si="17"/>
        <v>14.333333333333334</v>
      </c>
      <c r="AB1129">
        <v>1</v>
      </c>
    </row>
    <row r="1130" spans="1:28" x14ac:dyDescent="0.25">
      <c r="A1130" t="s">
        <v>33</v>
      </c>
      <c r="B1130" t="s">
        <v>4234</v>
      </c>
      <c r="C1130" t="s">
        <v>21</v>
      </c>
      <c r="D1130" t="s">
        <v>4234</v>
      </c>
      <c r="E1130" t="s">
        <v>4235</v>
      </c>
      <c r="F1130" t="s">
        <v>4236</v>
      </c>
      <c r="G1130" t="s">
        <v>24</v>
      </c>
      <c r="H1130" t="s">
        <v>4237</v>
      </c>
      <c r="X1130" s="2">
        <f>IFERROR(VLOOKUP(I1130,'Rate Sheet'!$D:$F,3,FALSE),0)</f>
        <v>0</v>
      </c>
      <c r="Y1130" s="2">
        <f>IFERROR(VLOOKUP(J1130,'Rate Sheet'!$D:$F,3,FALSE),0)</f>
        <v>0</v>
      </c>
      <c r="Z1130" s="2">
        <f>IFERROR(VLOOKUP(K1130,'Rate Sheet'!$D:$F,3,FALSE),0)</f>
        <v>0</v>
      </c>
      <c r="AA1130" s="2">
        <f t="shared" si="17"/>
        <v>0</v>
      </c>
    </row>
    <row r="1131" spans="1:28" x14ac:dyDescent="0.25">
      <c r="A1131" t="s">
        <v>33</v>
      </c>
      <c r="B1131" t="s">
        <v>4238</v>
      </c>
      <c r="C1131" t="s">
        <v>21</v>
      </c>
      <c r="D1131" t="s">
        <v>4238</v>
      </c>
      <c r="E1131" t="s">
        <v>4219</v>
      </c>
      <c r="F1131" t="s">
        <v>1767</v>
      </c>
      <c r="G1131" t="s">
        <v>24</v>
      </c>
      <c r="H1131" t="s">
        <v>4239</v>
      </c>
      <c r="I1131" t="s">
        <v>46</v>
      </c>
      <c r="N1131" t="s">
        <v>3868</v>
      </c>
      <c r="S1131" t="s">
        <v>48</v>
      </c>
      <c r="V1131" t="s">
        <v>5708</v>
      </c>
      <c r="W1131" t="s">
        <v>5709</v>
      </c>
      <c r="X1131" s="2">
        <f>IFERROR(VLOOKUP(I1131,'Rate Sheet'!$D:$F,3,FALSE),0)</f>
        <v>14.333333333333334</v>
      </c>
      <c r="Y1131" s="2">
        <f>IFERROR(VLOOKUP(J1131,'Rate Sheet'!$D:$F,3,FALSE),0)</f>
        <v>0</v>
      </c>
      <c r="Z1131" s="2">
        <f>IFERROR(VLOOKUP(K1131,'Rate Sheet'!$D:$F,3,FALSE),0)</f>
        <v>0</v>
      </c>
      <c r="AA1131" s="2">
        <f t="shared" si="17"/>
        <v>14.333333333333334</v>
      </c>
      <c r="AB1131">
        <v>1</v>
      </c>
    </row>
    <row r="1132" spans="1:28" x14ac:dyDescent="0.25">
      <c r="A1132" t="s">
        <v>33</v>
      </c>
      <c r="B1132" t="s">
        <v>4240</v>
      </c>
      <c r="C1132" t="s">
        <v>21</v>
      </c>
      <c r="D1132" t="s">
        <v>4240</v>
      </c>
      <c r="E1132" t="s">
        <v>1117</v>
      </c>
      <c r="F1132" t="s">
        <v>595</v>
      </c>
      <c r="G1132" t="s">
        <v>24</v>
      </c>
      <c r="H1132" t="s">
        <v>4241</v>
      </c>
      <c r="I1132" t="s">
        <v>73</v>
      </c>
      <c r="N1132" t="s">
        <v>3868</v>
      </c>
      <c r="S1132" t="s">
        <v>75</v>
      </c>
      <c r="V1132" t="s">
        <v>5708</v>
      </c>
      <c r="W1132" t="s">
        <v>5709</v>
      </c>
      <c r="X1132" s="2">
        <f>IFERROR(VLOOKUP(I1132,'Rate Sheet'!$D:$F,3,FALSE),0)</f>
        <v>8.6983333333333324</v>
      </c>
      <c r="Y1132" s="2">
        <f>IFERROR(VLOOKUP(J1132,'Rate Sheet'!$D:$F,3,FALSE),0)</f>
        <v>0</v>
      </c>
      <c r="Z1132" s="2">
        <f>IFERROR(VLOOKUP(K1132,'Rate Sheet'!$D:$F,3,FALSE),0)</f>
        <v>0</v>
      </c>
      <c r="AA1132" s="2">
        <f t="shared" si="17"/>
        <v>8.6983333333333324</v>
      </c>
      <c r="AB1132">
        <v>1</v>
      </c>
    </row>
    <row r="1133" spans="1:28" x14ac:dyDescent="0.25">
      <c r="A1133" t="s">
        <v>33</v>
      </c>
      <c r="B1133" t="s">
        <v>4242</v>
      </c>
      <c r="C1133" t="s">
        <v>21</v>
      </c>
      <c r="D1133" t="s">
        <v>4243</v>
      </c>
      <c r="E1133" t="s">
        <v>3222</v>
      </c>
      <c r="F1133" t="s">
        <v>4244</v>
      </c>
      <c r="G1133" t="s">
        <v>24</v>
      </c>
      <c r="H1133" t="s">
        <v>4245</v>
      </c>
      <c r="I1133" t="s">
        <v>46</v>
      </c>
      <c r="N1133" t="s">
        <v>2975</v>
      </c>
      <c r="S1133" t="s">
        <v>48</v>
      </c>
      <c r="V1133" t="s">
        <v>5737</v>
      </c>
      <c r="W1133" t="s">
        <v>5738</v>
      </c>
      <c r="X1133" s="2">
        <f>IFERROR(VLOOKUP(I1133,'Rate Sheet'!$D:$F,3,FALSE),0)</f>
        <v>14.333333333333334</v>
      </c>
      <c r="Y1133" s="2">
        <f>IFERROR(VLOOKUP(J1133,'Rate Sheet'!$D:$F,3,FALSE),0)</f>
        <v>0</v>
      </c>
      <c r="Z1133" s="2">
        <f>IFERROR(VLOOKUP(K1133,'Rate Sheet'!$D:$F,3,FALSE),0)</f>
        <v>0</v>
      </c>
      <c r="AA1133" s="2">
        <f t="shared" si="17"/>
        <v>14.333333333333334</v>
      </c>
      <c r="AB1133">
        <v>1</v>
      </c>
    </row>
    <row r="1134" spans="1:28" x14ac:dyDescent="0.25">
      <c r="A1134" t="s">
        <v>33</v>
      </c>
      <c r="B1134" t="s">
        <v>4246</v>
      </c>
      <c r="C1134" t="s">
        <v>29</v>
      </c>
      <c r="D1134" t="s">
        <v>4247</v>
      </c>
      <c r="E1134" t="s">
        <v>4248</v>
      </c>
      <c r="F1134" t="s">
        <v>4249</v>
      </c>
      <c r="G1134" t="s">
        <v>24</v>
      </c>
      <c r="H1134" t="s">
        <v>4250</v>
      </c>
      <c r="I1134" t="s">
        <v>46</v>
      </c>
      <c r="N1134" t="s">
        <v>4251</v>
      </c>
      <c r="S1134" t="s">
        <v>48</v>
      </c>
      <c r="V1134" t="s">
        <v>5612</v>
      </c>
      <c r="W1134" t="s">
        <v>5613</v>
      </c>
      <c r="X1134" s="2">
        <f>IFERROR(VLOOKUP(I1134,'Rate Sheet'!$D:$F,3,FALSE),0)</f>
        <v>14.333333333333334</v>
      </c>
      <c r="Y1134" s="2">
        <f>IFERROR(VLOOKUP(J1134,'Rate Sheet'!$D:$F,3,FALSE),0)</f>
        <v>0</v>
      </c>
      <c r="Z1134" s="2">
        <f>IFERROR(VLOOKUP(K1134,'Rate Sheet'!$D:$F,3,FALSE),0)</f>
        <v>0</v>
      </c>
      <c r="AA1134" s="2">
        <f t="shared" si="17"/>
        <v>14.333333333333334</v>
      </c>
      <c r="AB1134">
        <v>1</v>
      </c>
    </row>
    <row r="1135" spans="1:28" x14ac:dyDescent="0.25">
      <c r="A1135" t="s">
        <v>33</v>
      </c>
      <c r="B1135" t="s">
        <v>4252</v>
      </c>
      <c r="C1135" t="s">
        <v>21</v>
      </c>
      <c r="D1135" t="s">
        <v>4252</v>
      </c>
      <c r="E1135" t="s">
        <v>367</v>
      </c>
      <c r="F1135" t="s">
        <v>4253</v>
      </c>
      <c r="G1135" t="s">
        <v>24</v>
      </c>
      <c r="H1135" t="s">
        <v>4254</v>
      </c>
      <c r="N1135" t="s">
        <v>2975</v>
      </c>
      <c r="X1135" s="2">
        <f>IFERROR(VLOOKUP(I1135,'Rate Sheet'!$D:$F,3,FALSE),0)</f>
        <v>0</v>
      </c>
      <c r="Y1135" s="2">
        <f>IFERROR(VLOOKUP(J1135,'Rate Sheet'!$D:$F,3,FALSE),0)</f>
        <v>0</v>
      </c>
      <c r="Z1135" s="2">
        <f>IFERROR(VLOOKUP(K1135,'Rate Sheet'!$D:$F,3,FALSE),0)</f>
        <v>0</v>
      </c>
      <c r="AA1135" s="2">
        <f t="shared" si="17"/>
        <v>0</v>
      </c>
    </row>
    <row r="1136" spans="1:28" x14ac:dyDescent="0.25">
      <c r="A1136" t="s">
        <v>19</v>
      </c>
      <c r="B1136" t="s">
        <v>4255</v>
      </c>
      <c r="C1136" t="s">
        <v>4256</v>
      </c>
      <c r="D1136" t="s">
        <v>4255</v>
      </c>
      <c r="E1136" t="s">
        <v>4257</v>
      </c>
      <c r="F1136" t="s">
        <v>845</v>
      </c>
      <c r="G1136" t="s">
        <v>4085</v>
      </c>
      <c r="H1136" t="s">
        <v>4258</v>
      </c>
      <c r="X1136" s="2">
        <f>IFERROR(VLOOKUP(I1136,'Rate Sheet'!$D:$F,3,FALSE),0)</f>
        <v>0</v>
      </c>
      <c r="Y1136" s="2">
        <f>IFERROR(VLOOKUP(J1136,'Rate Sheet'!$D:$F,3,FALSE),0)</f>
        <v>0</v>
      </c>
      <c r="Z1136" s="2">
        <f>IFERROR(VLOOKUP(K1136,'Rate Sheet'!$D:$F,3,FALSE),0)</f>
        <v>0</v>
      </c>
      <c r="AA1136" s="2">
        <f t="shared" si="17"/>
        <v>0</v>
      </c>
    </row>
    <row r="1137" spans="1:28" x14ac:dyDescent="0.25">
      <c r="A1137" t="s">
        <v>19</v>
      </c>
      <c r="B1137" t="s">
        <v>4259</v>
      </c>
      <c r="C1137" t="s">
        <v>4256</v>
      </c>
      <c r="D1137" t="s">
        <v>4259</v>
      </c>
      <c r="E1137" t="s">
        <v>2475</v>
      </c>
      <c r="F1137" t="s">
        <v>4260</v>
      </c>
      <c r="G1137" t="s">
        <v>4085</v>
      </c>
      <c r="H1137" t="s">
        <v>4261</v>
      </c>
      <c r="X1137" s="2">
        <f>IFERROR(VLOOKUP(I1137,'Rate Sheet'!$D:$F,3,FALSE),0)</f>
        <v>0</v>
      </c>
      <c r="Y1137" s="2">
        <f>IFERROR(VLOOKUP(J1137,'Rate Sheet'!$D:$F,3,FALSE),0)</f>
        <v>0</v>
      </c>
      <c r="Z1137" s="2">
        <f>IFERROR(VLOOKUP(K1137,'Rate Sheet'!$D:$F,3,FALSE),0)</f>
        <v>0</v>
      </c>
      <c r="AA1137" s="2">
        <f t="shared" ref="AA1137:AA1200" si="18">SUM(X1137:Z1137)</f>
        <v>0</v>
      </c>
    </row>
    <row r="1138" spans="1:28" x14ac:dyDescent="0.25">
      <c r="A1138" t="s">
        <v>19</v>
      </c>
      <c r="B1138" t="s">
        <v>4262</v>
      </c>
      <c r="C1138" t="s">
        <v>4256</v>
      </c>
      <c r="D1138" t="s">
        <v>4262</v>
      </c>
      <c r="E1138" t="s">
        <v>302</v>
      </c>
      <c r="F1138" t="s">
        <v>110</v>
      </c>
      <c r="G1138" t="s">
        <v>4085</v>
      </c>
      <c r="H1138" t="s">
        <v>4263</v>
      </c>
      <c r="X1138" s="2">
        <f>IFERROR(VLOOKUP(I1138,'Rate Sheet'!$D:$F,3,FALSE),0)</f>
        <v>0</v>
      </c>
      <c r="Y1138" s="2">
        <f>IFERROR(VLOOKUP(J1138,'Rate Sheet'!$D:$F,3,FALSE),0)</f>
        <v>0</v>
      </c>
      <c r="Z1138" s="2">
        <f>IFERROR(VLOOKUP(K1138,'Rate Sheet'!$D:$F,3,FALSE),0)</f>
        <v>0</v>
      </c>
      <c r="AA1138" s="2">
        <f t="shared" si="18"/>
        <v>0</v>
      </c>
    </row>
    <row r="1139" spans="1:28" x14ac:dyDescent="0.25">
      <c r="A1139" t="s">
        <v>33</v>
      </c>
      <c r="B1139" t="s">
        <v>4264</v>
      </c>
      <c r="C1139" t="s">
        <v>21</v>
      </c>
      <c r="D1139" t="s">
        <v>4264</v>
      </c>
      <c r="E1139" t="s">
        <v>324</v>
      </c>
      <c r="F1139" t="s">
        <v>4265</v>
      </c>
      <c r="G1139" t="s">
        <v>24</v>
      </c>
      <c r="H1139" t="s">
        <v>4266</v>
      </c>
      <c r="I1139" t="s">
        <v>73</v>
      </c>
      <c r="N1139" t="s">
        <v>273</v>
      </c>
      <c r="S1139" t="s">
        <v>75</v>
      </c>
      <c r="V1139" t="s">
        <v>5621</v>
      </c>
      <c r="W1139" t="s">
        <v>5622</v>
      </c>
      <c r="X1139" s="2">
        <f>IFERROR(VLOOKUP(I1139,'Rate Sheet'!$D:$F,3,FALSE),0)</f>
        <v>8.6983333333333324</v>
      </c>
      <c r="Y1139" s="2">
        <f>IFERROR(VLOOKUP(J1139,'Rate Sheet'!$D:$F,3,FALSE),0)</f>
        <v>0</v>
      </c>
      <c r="Z1139" s="2">
        <f>IFERROR(VLOOKUP(K1139,'Rate Sheet'!$D:$F,3,FALSE),0)</f>
        <v>0</v>
      </c>
      <c r="AA1139" s="2">
        <f t="shared" si="18"/>
        <v>8.6983333333333324</v>
      </c>
      <c r="AB1139">
        <v>1</v>
      </c>
    </row>
    <row r="1140" spans="1:28" x14ac:dyDescent="0.25">
      <c r="A1140" t="s">
        <v>33</v>
      </c>
      <c r="B1140" t="s">
        <v>4267</v>
      </c>
      <c r="C1140" t="s">
        <v>21</v>
      </c>
      <c r="D1140" t="s">
        <v>4268</v>
      </c>
      <c r="E1140" t="s">
        <v>4269</v>
      </c>
      <c r="F1140" t="s">
        <v>4270</v>
      </c>
      <c r="G1140" t="s">
        <v>24</v>
      </c>
      <c r="H1140" t="s">
        <v>4271</v>
      </c>
      <c r="I1140" t="s">
        <v>46</v>
      </c>
      <c r="S1140" t="s">
        <v>48</v>
      </c>
      <c r="V1140" t="s">
        <v>5582</v>
      </c>
      <c r="W1140" t="s">
        <v>5583</v>
      </c>
      <c r="X1140" s="2">
        <f>IFERROR(VLOOKUP(I1140,'Rate Sheet'!$D:$F,3,FALSE),0)</f>
        <v>14.333333333333334</v>
      </c>
      <c r="Y1140" s="2">
        <f>IFERROR(VLOOKUP(J1140,'Rate Sheet'!$D:$F,3,FALSE),0)</f>
        <v>0</v>
      </c>
      <c r="Z1140" s="2">
        <f>IFERROR(VLOOKUP(K1140,'Rate Sheet'!$D:$F,3,FALSE),0)</f>
        <v>0</v>
      </c>
      <c r="AA1140" s="2">
        <f t="shared" si="18"/>
        <v>14.333333333333334</v>
      </c>
      <c r="AB1140">
        <v>1</v>
      </c>
    </row>
    <row r="1141" spans="1:28" x14ac:dyDescent="0.25">
      <c r="A1141" t="s">
        <v>33</v>
      </c>
      <c r="B1141" t="s">
        <v>4272</v>
      </c>
      <c r="C1141" t="s">
        <v>29</v>
      </c>
      <c r="D1141" t="s">
        <v>4273</v>
      </c>
      <c r="E1141" t="s">
        <v>3733</v>
      </c>
      <c r="F1141" t="s">
        <v>1431</v>
      </c>
      <c r="G1141" t="s">
        <v>24</v>
      </c>
      <c r="H1141" t="s">
        <v>4274</v>
      </c>
      <c r="I1141" t="s">
        <v>46</v>
      </c>
      <c r="N1141" t="s">
        <v>246</v>
      </c>
      <c r="S1141" t="s">
        <v>48</v>
      </c>
      <c r="V1141" t="s">
        <v>5661</v>
      </c>
      <c r="W1141" t="s">
        <v>246</v>
      </c>
      <c r="X1141" s="2">
        <f>IFERROR(VLOOKUP(I1141,'Rate Sheet'!$D:$F,3,FALSE),0)</f>
        <v>14.333333333333334</v>
      </c>
      <c r="Y1141" s="2">
        <f>IFERROR(VLOOKUP(J1141,'Rate Sheet'!$D:$F,3,FALSE),0)</f>
        <v>0</v>
      </c>
      <c r="Z1141" s="2">
        <f>IFERROR(VLOOKUP(K1141,'Rate Sheet'!$D:$F,3,FALSE),0)</f>
        <v>0</v>
      </c>
      <c r="AA1141" s="2">
        <f t="shared" si="18"/>
        <v>14.333333333333334</v>
      </c>
      <c r="AB1141">
        <v>1</v>
      </c>
    </row>
    <row r="1142" spans="1:28" x14ac:dyDescent="0.25">
      <c r="A1142" t="s">
        <v>33</v>
      </c>
      <c r="B1142" t="s">
        <v>4275</v>
      </c>
      <c r="C1142" t="s">
        <v>29</v>
      </c>
      <c r="D1142" t="s">
        <v>4275</v>
      </c>
      <c r="E1142" t="s">
        <v>1720</v>
      </c>
      <c r="F1142" t="s">
        <v>3463</v>
      </c>
      <c r="G1142" t="s">
        <v>24</v>
      </c>
      <c r="H1142" t="s">
        <v>4276</v>
      </c>
      <c r="X1142" s="2">
        <f>IFERROR(VLOOKUP(I1142,'Rate Sheet'!$D:$F,3,FALSE),0)</f>
        <v>0</v>
      </c>
      <c r="Y1142" s="2">
        <f>IFERROR(VLOOKUP(J1142,'Rate Sheet'!$D:$F,3,FALSE),0)</f>
        <v>0</v>
      </c>
      <c r="Z1142" s="2">
        <f>IFERROR(VLOOKUP(K1142,'Rate Sheet'!$D:$F,3,FALSE),0)</f>
        <v>0</v>
      </c>
      <c r="AA1142" s="2">
        <f t="shared" si="18"/>
        <v>0</v>
      </c>
    </row>
    <row r="1143" spans="1:28" x14ac:dyDescent="0.25">
      <c r="A1143" t="s">
        <v>33</v>
      </c>
      <c r="B1143" t="s">
        <v>4277</v>
      </c>
      <c r="C1143" t="s">
        <v>21</v>
      </c>
      <c r="D1143" t="s">
        <v>4277</v>
      </c>
      <c r="E1143" t="s">
        <v>140</v>
      </c>
      <c r="F1143" t="s">
        <v>4278</v>
      </c>
      <c r="G1143" t="s">
        <v>24</v>
      </c>
      <c r="H1143" t="s">
        <v>4279</v>
      </c>
      <c r="I1143" t="s">
        <v>46</v>
      </c>
      <c r="N1143" t="s">
        <v>3868</v>
      </c>
      <c r="S1143" t="s">
        <v>48</v>
      </c>
      <c r="V1143" s="10" t="s">
        <v>5708</v>
      </c>
      <c r="W1143" s="10" t="s">
        <v>5709</v>
      </c>
      <c r="X1143" s="2">
        <f>IFERROR(VLOOKUP(I1143,'Rate Sheet'!$D:$F,3,FALSE),0)</f>
        <v>14.333333333333334</v>
      </c>
      <c r="Y1143" s="2">
        <f>IFERROR(VLOOKUP(J1143,'Rate Sheet'!$D:$F,3,FALSE),0)</f>
        <v>0</v>
      </c>
      <c r="Z1143" s="2">
        <f>IFERROR(VLOOKUP(K1143,'Rate Sheet'!$D:$F,3,FALSE),0)</f>
        <v>0</v>
      </c>
      <c r="AA1143" s="2">
        <f t="shared" si="18"/>
        <v>14.333333333333334</v>
      </c>
      <c r="AB1143">
        <v>1</v>
      </c>
    </row>
    <row r="1144" spans="1:28" x14ac:dyDescent="0.25">
      <c r="A1144" t="s">
        <v>33</v>
      </c>
      <c r="B1144" t="s">
        <v>4280</v>
      </c>
      <c r="C1144" t="s">
        <v>21</v>
      </c>
      <c r="D1144" t="s">
        <v>4280</v>
      </c>
      <c r="E1144" t="s">
        <v>1731</v>
      </c>
      <c r="F1144" t="s">
        <v>4281</v>
      </c>
      <c r="G1144" t="s">
        <v>24</v>
      </c>
      <c r="H1144" t="s">
        <v>4282</v>
      </c>
      <c r="I1144" t="s">
        <v>46</v>
      </c>
      <c r="N1144" t="s">
        <v>1923</v>
      </c>
      <c r="S1144" t="s">
        <v>48</v>
      </c>
      <c r="V1144" t="s">
        <v>5666</v>
      </c>
      <c r="W1144" t="s">
        <v>1923</v>
      </c>
      <c r="X1144" s="2">
        <f>IFERROR(VLOOKUP(I1144,'Rate Sheet'!$D:$F,3,FALSE),0)</f>
        <v>14.333333333333334</v>
      </c>
      <c r="Y1144" s="2">
        <f>IFERROR(VLOOKUP(J1144,'Rate Sheet'!$D:$F,3,FALSE),0)</f>
        <v>0</v>
      </c>
      <c r="Z1144" s="2">
        <f>IFERROR(VLOOKUP(K1144,'Rate Sheet'!$D:$F,3,FALSE),0)</f>
        <v>0</v>
      </c>
      <c r="AA1144" s="2">
        <f t="shared" si="18"/>
        <v>14.333333333333334</v>
      </c>
      <c r="AB1144">
        <v>1</v>
      </c>
    </row>
    <row r="1145" spans="1:28" x14ac:dyDescent="0.25">
      <c r="A1145" t="s">
        <v>33</v>
      </c>
      <c r="B1145" t="s">
        <v>4283</v>
      </c>
      <c r="C1145" t="s">
        <v>21</v>
      </c>
      <c r="D1145" t="s">
        <v>4284</v>
      </c>
      <c r="E1145" t="s">
        <v>3296</v>
      </c>
      <c r="F1145" t="s">
        <v>935</v>
      </c>
      <c r="G1145" t="s">
        <v>24</v>
      </c>
      <c r="H1145" t="s">
        <v>4285</v>
      </c>
      <c r="I1145" t="s">
        <v>46</v>
      </c>
      <c r="N1145" t="s">
        <v>4229</v>
      </c>
      <c r="S1145" t="s">
        <v>48</v>
      </c>
      <c r="V1145" s="10" t="s">
        <v>5708</v>
      </c>
      <c r="W1145" s="10" t="s">
        <v>5709</v>
      </c>
      <c r="X1145" s="2">
        <f>IFERROR(VLOOKUP(I1145,'Rate Sheet'!$D:$F,3,FALSE),0)</f>
        <v>14.333333333333334</v>
      </c>
      <c r="Y1145" s="2">
        <f>IFERROR(VLOOKUP(J1145,'Rate Sheet'!$D:$F,3,FALSE),0)</f>
        <v>0</v>
      </c>
      <c r="Z1145" s="2">
        <f>IFERROR(VLOOKUP(K1145,'Rate Sheet'!$D:$F,3,FALSE),0)</f>
        <v>0</v>
      </c>
      <c r="AA1145" s="2">
        <f t="shared" si="18"/>
        <v>14.333333333333334</v>
      </c>
      <c r="AB1145">
        <v>1</v>
      </c>
    </row>
    <row r="1146" spans="1:28" x14ac:dyDescent="0.25">
      <c r="A1146" t="s">
        <v>33</v>
      </c>
      <c r="B1146" t="s">
        <v>4286</v>
      </c>
      <c r="C1146" t="s">
        <v>21</v>
      </c>
      <c r="D1146" t="s">
        <v>4286</v>
      </c>
      <c r="E1146" t="s">
        <v>2104</v>
      </c>
      <c r="F1146" t="s">
        <v>4287</v>
      </c>
      <c r="G1146" t="s">
        <v>24</v>
      </c>
      <c r="H1146" t="s">
        <v>4288</v>
      </c>
      <c r="I1146" t="s">
        <v>46</v>
      </c>
      <c r="N1146" t="s">
        <v>3868</v>
      </c>
      <c r="S1146" t="s">
        <v>48</v>
      </c>
      <c r="V1146" t="s">
        <v>5708</v>
      </c>
      <c r="W1146" t="s">
        <v>5709</v>
      </c>
      <c r="X1146" s="2">
        <f>IFERROR(VLOOKUP(I1146,'Rate Sheet'!$D:$F,3,FALSE),0)</f>
        <v>14.333333333333334</v>
      </c>
      <c r="Y1146" s="2">
        <f>IFERROR(VLOOKUP(J1146,'Rate Sheet'!$D:$F,3,FALSE),0)</f>
        <v>0</v>
      </c>
      <c r="Z1146" s="2">
        <f>IFERROR(VLOOKUP(K1146,'Rate Sheet'!$D:$F,3,FALSE),0)</f>
        <v>0</v>
      </c>
      <c r="AA1146" s="2">
        <f t="shared" si="18"/>
        <v>14.333333333333334</v>
      </c>
      <c r="AB1146">
        <v>1</v>
      </c>
    </row>
    <row r="1147" spans="1:28" x14ac:dyDescent="0.25">
      <c r="A1147" t="s">
        <v>33</v>
      </c>
      <c r="B1147" t="s">
        <v>4289</v>
      </c>
      <c r="C1147" t="s">
        <v>21</v>
      </c>
      <c r="D1147" t="s">
        <v>4290</v>
      </c>
      <c r="E1147" t="s">
        <v>4291</v>
      </c>
      <c r="F1147" t="s">
        <v>330</v>
      </c>
      <c r="G1147" t="s">
        <v>24</v>
      </c>
      <c r="H1147" t="s">
        <v>4292</v>
      </c>
      <c r="I1147" t="s">
        <v>46</v>
      </c>
      <c r="N1147" t="s">
        <v>3868</v>
      </c>
      <c r="S1147" t="s">
        <v>48</v>
      </c>
      <c r="V1147" s="10" t="s">
        <v>5708</v>
      </c>
      <c r="W1147" s="10" t="s">
        <v>5709</v>
      </c>
      <c r="X1147" s="2">
        <f>IFERROR(VLOOKUP(I1147,'Rate Sheet'!$D:$F,3,FALSE),0)</f>
        <v>14.333333333333334</v>
      </c>
      <c r="Y1147" s="2">
        <f>IFERROR(VLOOKUP(J1147,'Rate Sheet'!$D:$F,3,FALSE),0)</f>
        <v>0</v>
      </c>
      <c r="Z1147" s="2">
        <f>IFERROR(VLOOKUP(K1147,'Rate Sheet'!$D:$F,3,FALSE),0)</f>
        <v>0</v>
      </c>
      <c r="AA1147" s="2">
        <f t="shared" si="18"/>
        <v>14.333333333333334</v>
      </c>
      <c r="AB1147">
        <v>1</v>
      </c>
    </row>
    <row r="1148" spans="1:28" x14ac:dyDescent="0.25">
      <c r="A1148" t="s">
        <v>33</v>
      </c>
      <c r="B1148" t="s">
        <v>4293</v>
      </c>
      <c r="C1148" t="s">
        <v>21</v>
      </c>
      <c r="D1148" t="s">
        <v>4293</v>
      </c>
      <c r="E1148" t="s">
        <v>4294</v>
      </c>
      <c r="F1148" t="s">
        <v>3123</v>
      </c>
      <c r="G1148" t="s">
        <v>24</v>
      </c>
      <c r="H1148" t="s">
        <v>4295</v>
      </c>
      <c r="I1148" t="s">
        <v>46</v>
      </c>
      <c r="N1148" t="s">
        <v>3868</v>
      </c>
      <c r="S1148" t="s">
        <v>48</v>
      </c>
      <c r="V1148" t="s">
        <v>5708</v>
      </c>
      <c r="W1148" t="s">
        <v>5709</v>
      </c>
      <c r="X1148" s="2">
        <f>IFERROR(VLOOKUP(I1148,'Rate Sheet'!$D:$F,3,FALSE),0)</f>
        <v>14.333333333333334</v>
      </c>
      <c r="Y1148" s="2">
        <f>IFERROR(VLOOKUP(J1148,'Rate Sheet'!$D:$F,3,FALSE),0)</f>
        <v>0</v>
      </c>
      <c r="Z1148" s="2">
        <f>IFERROR(VLOOKUP(K1148,'Rate Sheet'!$D:$F,3,FALSE),0)</f>
        <v>0</v>
      </c>
      <c r="AA1148" s="2">
        <f t="shared" si="18"/>
        <v>14.333333333333334</v>
      </c>
      <c r="AB1148">
        <v>1</v>
      </c>
    </row>
    <row r="1149" spans="1:28" x14ac:dyDescent="0.25">
      <c r="A1149" t="s">
        <v>33</v>
      </c>
      <c r="B1149" t="s">
        <v>4296</v>
      </c>
      <c r="C1149" t="s">
        <v>21</v>
      </c>
      <c r="D1149" t="s">
        <v>4296</v>
      </c>
      <c r="E1149" t="s">
        <v>178</v>
      </c>
      <c r="F1149" t="s">
        <v>4297</v>
      </c>
      <c r="G1149" t="s">
        <v>24</v>
      </c>
      <c r="H1149" t="s">
        <v>4298</v>
      </c>
      <c r="N1149" t="s">
        <v>273</v>
      </c>
      <c r="X1149" s="2">
        <f>IFERROR(VLOOKUP(I1149,'Rate Sheet'!$D:$F,3,FALSE),0)</f>
        <v>0</v>
      </c>
      <c r="Y1149" s="2">
        <f>IFERROR(VLOOKUP(J1149,'Rate Sheet'!$D:$F,3,FALSE),0)</f>
        <v>0</v>
      </c>
      <c r="Z1149" s="2">
        <f>IFERROR(VLOOKUP(K1149,'Rate Sheet'!$D:$F,3,FALSE),0)</f>
        <v>0</v>
      </c>
      <c r="AA1149" s="2">
        <f t="shared" si="18"/>
        <v>0</v>
      </c>
    </row>
    <row r="1150" spans="1:28" x14ac:dyDescent="0.25">
      <c r="A1150" t="s">
        <v>33</v>
      </c>
      <c r="B1150" t="s">
        <v>4299</v>
      </c>
      <c r="C1150" t="s">
        <v>21</v>
      </c>
      <c r="D1150" t="s">
        <v>4299</v>
      </c>
      <c r="E1150" t="s">
        <v>4300</v>
      </c>
      <c r="F1150" t="s">
        <v>330</v>
      </c>
      <c r="G1150" t="s">
        <v>24</v>
      </c>
      <c r="H1150" t="s">
        <v>4301</v>
      </c>
      <c r="I1150" t="s">
        <v>46</v>
      </c>
      <c r="N1150" t="s">
        <v>4302</v>
      </c>
      <c r="S1150" t="s">
        <v>48</v>
      </c>
      <c r="V1150" t="s">
        <v>5742</v>
      </c>
      <c r="W1150" t="s">
        <v>5743</v>
      </c>
      <c r="X1150" s="2">
        <f>IFERROR(VLOOKUP(I1150,'Rate Sheet'!$D:$F,3,FALSE),0)</f>
        <v>14.333333333333334</v>
      </c>
      <c r="Y1150" s="2">
        <f>IFERROR(VLOOKUP(J1150,'Rate Sheet'!$D:$F,3,FALSE),0)</f>
        <v>0</v>
      </c>
      <c r="Z1150" s="2">
        <f>IFERROR(VLOOKUP(K1150,'Rate Sheet'!$D:$F,3,FALSE),0)</f>
        <v>0</v>
      </c>
      <c r="AA1150" s="2">
        <f t="shared" si="18"/>
        <v>14.333333333333334</v>
      </c>
      <c r="AB1150">
        <v>1</v>
      </c>
    </row>
    <row r="1151" spans="1:28" x14ac:dyDescent="0.25">
      <c r="A1151" t="s">
        <v>33</v>
      </c>
      <c r="B1151" t="s">
        <v>4303</v>
      </c>
      <c r="C1151" t="s">
        <v>21</v>
      </c>
      <c r="D1151" t="s">
        <v>4303</v>
      </c>
      <c r="E1151" t="s">
        <v>4304</v>
      </c>
      <c r="F1151" t="s">
        <v>4305</v>
      </c>
      <c r="G1151" t="s">
        <v>24</v>
      </c>
      <c r="H1151" t="s">
        <v>4306</v>
      </c>
      <c r="I1151" t="s">
        <v>46</v>
      </c>
      <c r="N1151" t="s">
        <v>878</v>
      </c>
      <c r="S1151" t="s">
        <v>48</v>
      </c>
      <c r="V1151" t="s">
        <v>5749</v>
      </c>
      <c r="W1151" t="s">
        <v>5750</v>
      </c>
      <c r="X1151" s="2">
        <f>IFERROR(VLOOKUP(I1151,'Rate Sheet'!$D:$F,3,FALSE),0)</f>
        <v>14.333333333333334</v>
      </c>
      <c r="Y1151" s="2">
        <f>IFERROR(VLOOKUP(J1151,'Rate Sheet'!$D:$F,3,FALSE),0)</f>
        <v>0</v>
      </c>
      <c r="Z1151" s="2">
        <f>IFERROR(VLOOKUP(K1151,'Rate Sheet'!$D:$F,3,FALSE),0)</f>
        <v>0</v>
      </c>
      <c r="AA1151" s="2">
        <f t="shared" si="18"/>
        <v>14.333333333333334</v>
      </c>
      <c r="AB1151">
        <v>1</v>
      </c>
    </row>
    <row r="1152" spans="1:28" x14ac:dyDescent="0.25">
      <c r="A1152" t="s">
        <v>33</v>
      </c>
      <c r="B1152" t="s">
        <v>4307</v>
      </c>
      <c r="C1152" t="s">
        <v>21</v>
      </c>
      <c r="D1152" t="s">
        <v>4307</v>
      </c>
      <c r="E1152" t="s">
        <v>4308</v>
      </c>
      <c r="F1152" t="s">
        <v>4309</v>
      </c>
      <c r="G1152" t="s">
        <v>24</v>
      </c>
      <c r="H1152" t="s">
        <v>4310</v>
      </c>
      <c r="I1152" t="s">
        <v>46</v>
      </c>
      <c r="N1152" t="s">
        <v>3653</v>
      </c>
      <c r="S1152" t="s">
        <v>48</v>
      </c>
      <c r="V1152" t="s">
        <v>5769</v>
      </c>
      <c r="W1152" t="s">
        <v>5770</v>
      </c>
      <c r="X1152" s="2">
        <f>IFERROR(VLOOKUP(I1152,'Rate Sheet'!$D:$F,3,FALSE),0)</f>
        <v>14.333333333333334</v>
      </c>
      <c r="Y1152" s="2">
        <f>IFERROR(VLOOKUP(J1152,'Rate Sheet'!$D:$F,3,FALSE),0)</f>
        <v>0</v>
      </c>
      <c r="Z1152" s="2">
        <f>IFERROR(VLOOKUP(K1152,'Rate Sheet'!$D:$F,3,FALSE),0)</f>
        <v>0</v>
      </c>
      <c r="AA1152" s="2">
        <f t="shared" si="18"/>
        <v>14.333333333333334</v>
      </c>
      <c r="AB1152">
        <v>1</v>
      </c>
    </row>
    <row r="1153" spans="1:28" x14ac:dyDescent="0.25">
      <c r="A1153" t="s">
        <v>33</v>
      </c>
      <c r="B1153" t="s">
        <v>4311</v>
      </c>
      <c r="C1153" t="s">
        <v>29</v>
      </c>
      <c r="D1153" t="s">
        <v>4312</v>
      </c>
      <c r="E1153" t="s">
        <v>4313</v>
      </c>
      <c r="F1153" t="s">
        <v>4314</v>
      </c>
      <c r="G1153" t="s">
        <v>24</v>
      </c>
      <c r="H1153" s="1" t="s">
        <v>4315</v>
      </c>
      <c r="I1153" t="s">
        <v>46</v>
      </c>
      <c r="N1153" t="s">
        <v>246</v>
      </c>
      <c r="S1153" t="s">
        <v>48</v>
      </c>
      <c r="V1153" t="s">
        <v>5661</v>
      </c>
      <c r="W1153" t="s">
        <v>246</v>
      </c>
      <c r="X1153" s="2">
        <f>IFERROR(VLOOKUP(I1153,'Rate Sheet'!$D:$F,3,FALSE),0)</f>
        <v>14.333333333333334</v>
      </c>
      <c r="Y1153" s="2">
        <f>IFERROR(VLOOKUP(J1153,'Rate Sheet'!$D:$F,3,FALSE),0)</f>
        <v>0</v>
      </c>
      <c r="Z1153" s="2">
        <f>IFERROR(VLOOKUP(K1153,'Rate Sheet'!$D:$F,3,FALSE),0)</f>
        <v>0</v>
      </c>
      <c r="AA1153" s="2">
        <f t="shared" si="18"/>
        <v>14.333333333333334</v>
      </c>
      <c r="AB1153">
        <v>1</v>
      </c>
    </row>
    <row r="1154" spans="1:28" x14ac:dyDescent="0.25">
      <c r="A1154" t="s">
        <v>33</v>
      </c>
      <c r="B1154" t="s">
        <v>4316</v>
      </c>
      <c r="C1154" t="s">
        <v>29</v>
      </c>
      <c r="D1154" t="s">
        <v>4316</v>
      </c>
      <c r="E1154" t="s">
        <v>2922</v>
      </c>
      <c r="F1154" t="s">
        <v>4317</v>
      </c>
      <c r="G1154" t="s">
        <v>24</v>
      </c>
      <c r="H1154" t="s">
        <v>4318</v>
      </c>
      <c r="I1154" t="s">
        <v>46</v>
      </c>
      <c r="N1154" t="s">
        <v>3808</v>
      </c>
      <c r="S1154" t="s">
        <v>48</v>
      </c>
      <c r="V1154" t="s">
        <v>5756</v>
      </c>
      <c r="W1154" t="s">
        <v>3808</v>
      </c>
      <c r="X1154" s="2">
        <f>IFERROR(VLOOKUP(I1154,'Rate Sheet'!$D:$F,3,FALSE),0)</f>
        <v>14.333333333333334</v>
      </c>
      <c r="Y1154" s="2">
        <f>IFERROR(VLOOKUP(J1154,'Rate Sheet'!$D:$F,3,FALSE),0)</f>
        <v>0</v>
      </c>
      <c r="Z1154" s="2">
        <f>IFERROR(VLOOKUP(K1154,'Rate Sheet'!$D:$F,3,FALSE),0)</f>
        <v>0</v>
      </c>
      <c r="AA1154" s="2">
        <f t="shared" si="18"/>
        <v>14.333333333333334</v>
      </c>
      <c r="AB1154">
        <v>1</v>
      </c>
    </row>
    <row r="1155" spans="1:28" x14ac:dyDescent="0.25">
      <c r="A1155" t="s">
        <v>33</v>
      </c>
      <c r="B1155" t="s">
        <v>4319</v>
      </c>
      <c r="C1155" t="s">
        <v>21</v>
      </c>
      <c r="D1155" t="s">
        <v>4319</v>
      </c>
      <c r="E1155" t="s">
        <v>4320</v>
      </c>
      <c r="F1155" t="s">
        <v>4321</v>
      </c>
      <c r="G1155" t="s">
        <v>24</v>
      </c>
      <c r="H1155" t="s">
        <v>4322</v>
      </c>
      <c r="I1155" t="s">
        <v>46</v>
      </c>
      <c r="N1155" t="s">
        <v>3868</v>
      </c>
      <c r="S1155" t="s">
        <v>48</v>
      </c>
      <c r="V1155" t="s">
        <v>5708</v>
      </c>
      <c r="W1155" t="s">
        <v>5709</v>
      </c>
      <c r="X1155" s="2">
        <f>IFERROR(VLOOKUP(I1155,'Rate Sheet'!$D:$F,3,FALSE),0)</f>
        <v>14.333333333333334</v>
      </c>
      <c r="Y1155" s="2">
        <f>IFERROR(VLOOKUP(J1155,'Rate Sheet'!$D:$F,3,FALSE),0)</f>
        <v>0</v>
      </c>
      <c r="Z1155" s="2">
        <f>IFERROR(VLOOKUP(K1155,'Rate Sheet'!$D:$F,3,FALSE),0)</f>
        <v>0</v>
      </c>
      <c r="AA1155" s="2">
        <f t="shared" si="18"/>
        <v>14.333333333333334</v>
      </c>
      <c r="AB1155">
        <v>1</v>
      </c>
    </row>
    <row r="1156" spans="1:28" x14ac:dyDescent="0.25">
      <c r="A1156" t="s">
        <v>33</v>
      </c>
      <c r="B1156" t="s">
        <v>4323</v>
      </c>
      <c r="C1156" t="s">
        <v>21</v>
      </c>
      <c r="D1156" t="s">
        <v>4323</v>
      </c>
      <c r="E1156" t="s">
        <v>3597</v>
      </c>
      <c r="F1156" t="s">
        <v>4324</v>
      </c>
      <c r="G1156" t="s">
        <v>24</v>
      </c>
      <c r="H1156" t="s">
        <v>4325</v>
      </c>
      <c r="X1156" s="2">
        <f>IFERROR(VLOOKUP(I1156,'Rate Sheet'!$D:$F,3,FALSE),0)</f>
        <v>0</v>
      </c>
      <c r="Y1156" s="2">
        <f>IFERROR(VLOOKUP(J1156,'Rate Sheet'!$D:$F,3,FALSE),0)</f>
        <v>0</v>
      </c>
      <c r="Z1156" s="2">
        <f>IFERROR(VLOOKUP(K1156,'Rate Sheet'!$D:$F,3,FALSE),0)</f>
        <v>0</v>
      </c>
      <c r="AA1156" s="2">
        <f t="shared" si="18"/>
        <v>0</v>
      </c>
    </row>
    <row r="1157" spans="1:28" x14ac:dyDescent="0.25">
      <c r="A1157" t="s">
        <v>33</v>
      </c>
      <c r="B1157" t="s">
        <v>4326</v>
      </c>
      <c r="C1157" t="s">
        <v>21</v>
      </c>
      <c r="D1157" t="s">
        <v>4326</v>
      </c>
      <c r="E1157" t="s">
        <v>449</v>
      </c>
      <c r="F1157" t="s">
        <v>4327</v>
      </c>
      <c r="G1157" t="s">
        <v>24</v>
      </c>
      <c r="H1157" t="s">
        <v>4328</v>
      </c>
      <c r="I1157" t="s">
        <v>46</v>
      </c>
      <c r="N1157" t="s">
        <v>53</v>
      </c>
      <c r="S1157" t="s">
        <v>48</v>
      </c>
      <c r="V1157" t="s">
        <v>5580</v>
      </c>
      <c r="W1157" t="s">
        <v>5581</v>
      </c>
      <c r="X1157" s="2">
        <f>IFERROR(VLOOKUP(I1157,'Rate Sheet'!$D:$F,3,FALSE),0)</f>
        <v>14.333333333333334</v>
      </c>
      <c r="Y1157" s="2">
        <f>IFERROR(VLOOKUP(J1157,'Rate Sheet'!$D:$F,3,FALSE),0)</f>
        <v>0</v>
      </c>
      <c r="Z1157" s="2">
        <f>IFERROR(VLOOKUP(K1157,'Rate Sheet'!$D:$F,3,FALSE),0)</f>
        <v>0</v>
      </c>
      <c r="AA1157" s="2">
        <f t="shared" si="18"/>
        <v>14.333333333333334</v>
      </c>
      <c r="AB1157">
        <v>1</v>
      </c>
    </row>
    <row r="1158" spans="1:28" x14ac:dyDescent="0.25">
      <c r="A1158" t="s">
        <v>33</v>
      </c>
      <c r="B1158" t="s">
        <v>4329</v>
      </c>
      <c r="C1158" t="s">
        <v>21</v>
      </c>
      <c r="D1158" t="s">
        <v>4330</v>
      </c>
      <c r="E1158" t="s">
        <v>1010</v>
      </c>
      <c r="F1158" t="s">
        <v>4331</v>
      </c>
      <c r="G1158" t="s">
        <v>24</v>
      </c>
      <c r="H1158" t="s">
        <v>4332</v>
      </c>
      <c r="I1158" t="s">
        <v>46</v>
      </c>
      <c r="N1158" t="s">
        <v>4333</v>
      </c>
      <c r="S1158" t="s">
        <v>48</v>
      </c>
      <c r="V1158" t="s">
        <v>5630</v>
      </c>
      <c r="W1158" t="s">
        <v>5631</v>
      </c>
      <c r="X1158" s="2">
        <f>IFERROR(VLOOKUP(I1158,'Rate Sheet'!$D:$F,3,FALSE),0)</f>
        <v>14.333333333333334</v>
      </c>
      <c r="Y1158" s="2">
        <f>IFERROR(VLOOKUP(J1158,'Rate Sheet'!$D:$F,3,FALSE),0)</f>
        <v>0</v>
      </c>
      <c r="Z1158" s="2">
        <f>IFERROR(VLOOKUP(K1158,'Rate Sheet'!$D:$F,3,FALSE),0)</f>
        <v>0</v>
      </c>
      <c r="AA1158" s="2">
        <f t="shared" si="18"/>
        <v>14.333333333333334</v>
      </c>
      <c r="AB1158">
        <v>1</v>
      </c>
    </row>
    <row r="1159" spans="1:28" x14ac:dyDescent="0.25">
      <c r="A1159" t="s">
        <v>33</v>
      </c>
      <c r="B1159" t="s">
        <v>4334</v>
      </c>
      <c r="C1159" t="s">
        <v>21</v>
      </c>
      <c r="D1159" t="s">
        <v>4334</v>
      </c>
      <c r="E1159" t="s">
        <v>3435</v>
      </c>
      <c r="F1159" t="s">
        <v>4133</v>
      </c>
      <c r="G1159" t="s">
        <v>24</v>
      </c>
      <c r="H1159" t="s">
        <v>4335</v>
      </c>
      <c r="I1159" t="s">
        <v>46</v>
      </c>
      <c r="N1159" t="s">
        <v>4229</v>
      </c>
      <c r="S1159" t="s">
        <v>48</v>
      </c>
      <c r="V1159" t="s">
        <v>5708</v>
      </c>
      <c r="W1159" t="s">
        <v>5709</v>
      </c>
      <c r="X1159" s="2">
        <f>IFERROR(VLOOKUP(I1159,'Rate Sheet'!$D:$F,3,FALSE),0)</f>
        <v>14.333333333333334</v>
      </c>
      <c r="Y1159" s="2">
        <f>IFERROR(VLOOKUP(J1159,'Rate Sheet'!$D:$F,3,FALSE),0)</f>
        <v>0</v>
      </c>
      <c r="Z1159" s="2">
        <f>IFERROR(VLOOKUP(K1159,'Rate Sheet'!$D:$F,3,FALSE),0)</f>
        <v>0</v>
      </c>
      <c r="AA1159" s="2">
        <f t="shared" si="18"/>
        <v>14.333333333333334</v>
      </c>
      <c r="AB1159">
        <v>1</v>
      </c>
    </row>
    <row r="1160" spans="1:28" x14ac:dyDescent="0.25">
      <c r="A1160" t="s">
        <v>33</v>
      </c>
      <c r="B1160" t="s">
        <v>4336</v>
      </c>
      <c r="C1160" t="s">
        <v>29</v>
      </c>
      <c r="D1160" t="s">
        <v>4336</v>
      </c>
      <c r="E1160" t="s">
        <v>3008</v>
      </c>
      <c r="F1160" t="s">
        <v>603</v>
      </c>
      <c r="G1160" t="s">
        <v>24</v>
      </c>
      <c r="H1160" t="s">
        <v>4337</v>
      </c>
      <c r="N1160" t="s">
        <v>246</v>
      </c>
      <c r="X1160" s="2">
        <f>IFERROR(VLOOKUP(I1160,'Rate Sheet'!$D:$F,3,FALSE),0)</f>
        <v>0</v>
      </c>
      <c r="Y1160" s="2">
        <f>IFERROR(VLOOKUP(J1160,'Rate Sheet'!$D:$F,3,FALSE),0)</f>
        <v>0</v>
      </c>
      <c r="Z1160" s="2">
        <f>IFERROR(VLOOKUP(K1160,'Rate Sheet'!$D:$F,3,FALSE),0)</f>
        <v>0</v>
      </c>
      <c r="AA1160" s="2">
        <f t="shared" si="18"/>
        <v>0</v>
      </c>
    </row>
    <row r="1161" spans="1:28" x14ac:dyDescent="0.25">
      <c r="A1161" t="s">
        <v>33</v>
      </c>
      <c r="B1161" t="s">
        <v>4338</v>
      </c>
      <c r="C1161" t="s">
        <v>21</v>
      </c>
      <c r="D1161" t="s">
        <v>4338</v>
      </c>
      <c r="E1161" t="s">
        <v>65</v>
      </c>
      <c r="F1161" t="s">
        <v>4339</v>
      </c>
      <c r="G1161" t="s">
        <v>24</v>
      </c>
      <c r="H1161" t="s">
        <v>4340</v>
      </c>
      <c r="X1161" s="2">
        <f>IFERROR(VLOOKUP(I1161,'Rate Sheet'!$D:$F,3,FALSE),0)</f>
        <v>0</v>
      </c>
      <c r="Y1161" s="2">
        <f>IFERROR(VLOOKUP(J1161,'Rate Sheet'!$D:$F,3,FALSE),0)</f>
        <v>0</v>
      </c>
      <c r="Z1161" s="2">
        <f>IFERROR(VLOOKUP(K1161,'Rate Sheet'!$D:$F,3,FALSE),0)</f>
        <v>0</v>
      </c>
      <c r="AA1161" s="2">
        <f t="shared" si="18"/>
        <v>0</v>
      </c>
    </row>
    <row r="1162" spans="1:28" x14ac:dyDescent="0.25">
      <c r="A1162" t="s">
        <v>33</v>
      </c>
      <c r="B1162" t="s">
        <v>4341</v>
      </c>
      <c r="C1162" t="s">
        <v>21</v>
      </c>
      <c r="D1162" t="s">
        <v>4342</v>
      </c>
      <c r="E1162" t="s">
        <v>3394</v>
      </c>
      <c r="F1162" t="s">
        <v>4343</v>
      </c>
      <c r="G1162" t="s">
        <v>24</v>
      </c>
      <c r="H1162" t="s">
        <v>4344</v>
      </c>
      <c r="I1162" t="s">
        <v>46</v>
      </c>
      <c r="N1162" t="s">
        <v>3653</v>
      </c>
      <c r="S1162" t="s">
        <v>48</v>
      </c>
      <c r="V1162" t="s">
        <v>5769</v>
      </c>
      <c r="W1162" t="s">
        <v>5770</v>
      </c>
      <c r="X1162" s="2">
        <f>IFERROR(VLOOKUP(I1162,'Rate Sheet'!$D:$F,3,FALSE),0)</f>
        <v>14.333333333333334</v>
      </c>
      <c r="Y1162" s="2">
        <f>IFERROR(VLOOKUP(J1162,'Rate Sheet'!$D:$F,3,FALSE),0)</f>
        <v>0</v>
      </c>
      <c r="Z1162" s="2">
        <f>IFERROR(VLOOKUP(K1162,'Rate Sheet'!$D:$F,3,FALSE),0)</f>
        <v>0</v>
      </c>
      <c r="AA1162" s="2">
        <f t="shared" si="18"/>
        <v>14.333333333333334</v>
      </c>
      <c r="AB1162">
        <v>1</v>
      </c>
    </row>
    <row r="1163" spans="1:28" x14ac:dyDescent="0.25">
      <c r="A1163" t="s">
        <v>33</v>
      </c>
      <c r="B1163" t="s">
        <v>4345</v>
      </c>
      <c r="C1163" t="s">
        <v>29</v>
      </c>
      <c r="D1163" t="s">
        <v>4345</v>
      </c>
      <c r="E1163" t="s">
        <v>367</v>
      </c>
      <c r="F1163" t="s">
        <v>285</v>
      </c>
      <c r="G1163" t="s">
        <v>24</v>
      </c>
      <c r="H1163" t="s">
        <v>4346</v>
      </c>
      <c r="I1163" t="s">
        <v>46</v>
      </c>
      <c r="N1163" t="s">
        <v>246</v>
      </c>
      <c r="S1163" t="s">
        <v>48</v>
      </c>
      <c r="V1163" t="s">
        <v>5661</v>
      </c>
      <c r="W1163" t="s">
        <v>246</v>
      </c>
      <c r="X1163" s="2">
        <f>IFERROR(VLOOKUP(I1163,'Rate Sheet'!$D:$F,3,FALSE),0)</f>
        <v>14.333333333333334</v>
      </c>
      <c r="Y1163" s="2">
        <f>IFERROR(VLOOKUP(J1163,'Rate Sheet'!$D:$F,3,FALSE),0)</f>
        <v>0</v>
      </c>
      <c r="Z1163" s="2">
        <f>IFERROR(VLOOKUP(K1163,'Rate Sheet'!$D:$F,3,FALSE),0)</f>
        <v>0</v>
      </c>
      <c r="AA1163" s="2">
        <f t="shared" si="18"/>
        <v>14.333333333333334</v>
      </c>
      <c r="AB1163">
        <v>1</v>
      </c>
    </row>
    <row r="1164" spans="1:28" x14ac:dyDescent="0.25">
      <c r="A1164" t="s">
        <v>33</v>
      </c>
      <c r="B1164" t="s">
        <v>4347</v>
      </c>
      <c r="C1164" t="s">
        <v>21</v>
      </c>
      <c r="D1164" t="s">
        <v>4347</v>
      </c>
      <c r="E1164" t="s">
        <v>4348</v>
      </c>
      <c r="F1164" t="s">
        <v>4349</v>
      </c>
      <c r="G1164" t="s">
        <v>24</v>
      </c>
      <c r="H1164" t="s">
        <v>4350</v>
      </c>
      <c r="I1164" t="s">
        <v>73</v>
      </c>
      <c r="N1164" t="s">
        <v>3868</v>
      </c>
      <c r="S1164" t="s">
        <v>75</v>
      </c>
      <c r="V1164" t="s">
        <v>5708</v>
      </c>
      <c r="W1164" t="s">
        <v>5709</v>
      </c>
      <c r="X1164" s="2">
        <f>IFERROR(VLOOKUP(I1164,'Rate Sheet'!$D:$F,3,FALSE),0)</f>
        <v>8.6983333333333324</v>
      </c>
      <c r="Y1164" s="2">
        <f>IFERROR(VLOOKUP(J1164,'Rate Sheet'!$D:$F,3,FALSE),0)</f>
        <v>0</v>
      </c>
      <c r="Z1164" s="2">
        <f>IFERROR(VLOOKUP(K1164,'Rate Sheet'!$D:$F,3,FALSE),0)</f>
        <v>0</v>
      </c>
      <c r="AA1164" s="2">
        <f t="shared" si="18"/>
        <v>8.6983333333333324</v>
      </c>
      <c r="AB1164">
        <v>1</v>
      </c>
    </row>
    <row r="1165" spans="1:28" x14ac:dyDescent="0.25">
      <c r="A1165" t="s">
        <v>33</v>
      </c>
      <c r="B1165" t="s">
        <v>4351</v>
      </c>
      <c r="C1165" t="s">
        <v>21</v>
      </c>
      <c r="D1165" t="s">
        <v>4352</v>
      </c>
      <c r="E1165" t="s">
        <v>4353</v>
      </c>
      <c r="F1165" t="s">
        <v>4354</v>
      </c>
      <c r="G1165" t="s">
        <v>24</v>
      </c>
      <c r="H1165" t="s">
        <v>4355</v>
      </c>
      <c r="I1165" t="s">
        <v>46</v>
      </c>
      <c r="N1165" t="s">
        <v>1061</v>
      </c>
      <c r="S1165" t="s">
        <v>48</v>
      </c>
      <c r="V1165" s="10" t="s">
        <v>5679</v>
      </c>
      <c r="W1165" s="10" t="s">
        <v>1061</v>
      </c>
      <c r="X1165" s="2">
        <f>IFERROR(VLOOKUP(I1165,'Rate Sheet'!$D:$F,3,FALSE),0)</f>
        <v>14.333333333333334</v>
      </c>
      <c r="Y1165" s="2">
        <f>IFERROR(VLOOKUP(J1165,'Rate Sheet'!$D:$F,3,FALSE),0)</f>
        <v>0</v>
      </c>
      <c r="Z1165" s="2">
        <f>IFERROR(VLOOKUP(K1165,'Rate Sheet'!$D:$F,3,FALSE),0)</f>
        <v>0</v>
      </c>
      <c r="AA1165" s="2">
        <f t="shared" si="18"/>
        <v>14.333333333333334</v>
      </c>
      <c r="AB1165">
        <v>1</v>
      </c>
    </row>
    <row r="1166" spans="1:28" x14ac:dyDescent="0.25">
      <c r="A1166" t="s">
        <v>33</v>
      </c>
      <c r="B1166" t="s">
        <v>4356</v>
      </c>
      <c r="C1166" t="s">
        <v>21</v>
      </c>
      <c r="D1166" t="s">
        <v>4356</v>
      </c>
      <c r="E1166" t="s">
        <v>4357</v>
      </c>
      <c r="F1166" t="s">
        <v>4358</v>
      </c>
      <c r="G1166" t="s">
        <v>24</v>
      </c>
      <c r="H1166" t="s">
        <v>4359</v>
      </c>
      <c r="X1166" s="2">
        <f>IFERROR(VLOOKUP(I1166,'Rate Sheet'!$D:$F,3,FALSE),0)</f>
        <v>0</v>
      </c>
      <c r="Y1166" s="2">
        <f>IFERROR(VLOOKUP(J1166,'Rate Sheet'!$D:$F,3,FALSE),0)</f>
        <v>0</v>
      </c>
      <c r="Z1166" s="2">
        <f>IFERROR(VLOOKUP(K1166,'Rate Sheet'!$D:$F,3,FALSE),0)</f>
        <v>0</v>
      </c>
      <c r="AA1166" s="2">
        <f t="shared" si="18"/>
        <v>0</v>
      </c>
    </row>
    <row r="1167" spans="1:28" x14ac:dyDescent="0.25">
      <c r="A1167" t="s">
        <v>33</v>
      </c>
      <c r="B1167" t="s">
        <v>4360</v>
      </c>
      <c r="C1167" t="s">
        <v>21</v>
      </c>
      <c r="D1167" t="s">
        <v>4361</v>
      </c>
      <c r="E1167" t="s">
        <v>2917</v>
      </c>
      <c r="F1167" t="s">
        <v>4362</v>
      </c>
      <c r="G1167" t="s">
        <v>24</v>
      </c>
      <c r="H1167" t="s">
        <v>4363</v>
      </c>
      <c r="I1167" t="s">
        <v>46</v>
      </c>
      <c r="N1167" t="s">
        <v>3653</v>
      </c>
      <c r="S1167" t="s">
        <v>48</v>
      </c>
      <c r="V1167" t="s">
        <v>5769</v>
      </c>
      <c r="W1167" t="s">
        <v>5770</v>
      </c>
      <c r="X1167" s="2">
        <f>IFERROR(VLOOKUP(I1167,'Rate Sheet'!$D:$F,3,FALSE),0)</f>
        <v>14.333333333333334</v>
      </c>
      <c r="Y1167" s="2">
        <f>IFERROR(VLOOKUP(J1167,'Rate Sheet'!$D:$F,3,FALSE),0)</f>
        <v>0</v>
      </c>
      <c r="Z1167" s="2">
        <f>IFERROR(VLOOKUP(K1167,'Rate Sheet'!$D:$F,3,FALSE),0)</f>
        <v>0</v>
      </c>
      <c r="AA1167" s="2">
        <f t="shared" si="18"/>
        <v>14.333333333333334</v>
      </c>
      <c r="AB1167">
        <v>1</v>
      </c>
    </row>
    <row r="1168" spans="1:28" x14ac:dyDescent="0.25">
      <c r="A1168" t="s">
        <v>33</v>
      </c>
      <c r="B1168" t="s">
        <v>4364</v>
      </c>
      <c r="C1168" t="s">
        <v>29</v>
      </c>
      <c r="D1168" t="s">
        <v>4365</v>
      </c>
      <c r="E1168" t="s">
        <v>4366</v>
      </c>
      <c r="F1168" t="s">
        <v>4367</v>
      </c>
      <c r="G1168" t="s">
        <v>24</v>
      </c>
      <c r="H1168" t="s">
        <v>4368</v>
      </c>
      <c r="I1168" t="s">
        <v>46</v>
      </c>
      <c r="N1168" t="s">
        <v>3808</v>
      </c>
      <c r="S1168" t="s">
        <v>48</v>
      </c>
      <c r="V1168" t="s">
        <v>5643</v>
      </c>
      <c r="W1168" t="s">
        <v>5644</v>
      </c>
      <c r="X1168" s="2">
        <f>IFERROR(VLOOKUP(I1168,'Rate Sheet'!$D:$F,3,FALSE),0)</f>
        <v>14.333333333333334</v>
      </c>
      <c r="Y1168" s="2">
        <f>IFERROR(VLOOKUP(J1168,'Rate Sheet'!$D:$F,3,FALSE),0)</f>
        <v>0</v>
      </c>
      <c r="Z1168" s="2">
        <f>IFERROR(VLOOKUP(K1168,'Rate Sheet'!$D:$F,3,FALSE),0)</f>
        <v>0</v>
      </c>
      <c r="AA1168" s="2">
        <f t="shared" si="18"/>
        <v>14.333333333333334</v>
      </c>
      <c r="AB1168">
        <v>1</v>
      </c>
    </row>
    <row r="1169" spans="1:28" x14ac:dyDescent="0.25">
      <c r="A1169" t="s">
        <v>33</v>
      </c>
      <c r="B1169" t="s">
        <v>4369</v>
      </c>
      <c r="C1169" t="s">
        <v>21</v>
      </c>
      <c r="D1169" t="s">
        <v>4369</v>
      </c>
      <c r="E1169" t="s">
        <v>4370</v>
      </c>
      <c r="F1169" t="s">
        <v>446</v>
      </c>
      <c r="G1169" t="s">
        <v>24</v>
      </c>
      <c r="H1169" t="s">
        <v>4371</v>
      </c>
      <c r="I1169" t="s">
        <v>46</v>
      </c>
      <c r="N1169" t="s">
        <v>3868</v>
      </c>
      <c r="S1169" t="s">
        <v>48</v>
      </c>
      <c r="V1169" t="s">
        <v>5708</v>
      </c>
      <c r="W1169" t="s">
        <v>5709</v>
      </c>
      <c r="X1169" s="2">
        <f>IFERROR(VLOOKUP(I1169,'Rate Sheet'!$D:$F,3,FALSE),0)</f>
        <v>14.333333333333334</v>
      </c>
      <c r="Y1169" s="2">
        <f>IFERROR(VLOOKUP(J1169,'Rate Sheet'!$D:$F,3,FALSE),0)</f>
        <v>0</v>
      </c>
      <c r="Z1169" s="2">
        <f>IFERROR(VLOOKUP(K1169,'Rate Sheet'!$D:$F,3,FALSE),0)</f>
        <v>0</v>
      </c>
      <c r="AA1169" s="2">
        <f t="shared" si="18"/>
        <v>14.333333333333334</v>
      </c>
      <c r="AB1169">
        <v>1</v>
      </c>
    </row>
    <row r="1170" spans="1:28" x14ac:dyDescent="0.25">
      <c r="A1170" t="s">
        <v>33</v>
      </c>
      <c r="B1170" t="s">
        <v>4372</v>
      </c>
      <c r="C1170" t="s">
        <v>21</v>
      </c>
      <c r="D1170" t="s">
        <v>4372</v>
      </c>
      <c r="E1170" t="s">
        <v>3527</v>
      </c>
      <c r="F1170" t="s">
        <v>4373</v>
      </c>
      <c r="G1170" t="s">
        <v>24</v>
      </c>
      <c r="H1170" t="s">
        <v>4374</v>
      </c>
      <c r="I1170" t="s">
        <v>46</v>
      </c>
      <c r="N1170" t="s">
        <v>3868</v>
      </c>
      <c r="S1170" t="s">
        <v>48</v>
      </c>
      <c r="V1170" t="s">
        <v>5708</v>
      </c>
      <c r="W1170" t="s">
        <v>5709</v>
      </c>
      <c r="X1170" s="2">
        <f>IFERROR(VLOOKUP(I1170,'Rate Sheet'!$D:$F,3,FALSE),0)</f>
        <v>14.333333333333334</v>
      </c>
      <c r="Y1170" s="2">
        <f>IFERROR(VLOOKUP(J1170,'Rate Sheet'!$D:$F,3,FALSE),0)</f>
        <v>0</v>
      </c>
      <c r="Z1170" s="2">
        <f>IFERROR(VLOOKUP(K1170,'Rate Sheet'!$D:$F,3,FALSE),0)</f>
        <v>0</v>
      </c>
      <c r="AA1170" s="2">
        <f t="shared" si="18"/>
        <v>14.333333333333334</v>
      </c>
      <c r="AB1170">
        <v>1</v>
      </c>
    </row>
    <row r="1171" spans="1:28" x14ac:dyDescent="0.25">
      <c r="A1171" t="s">
        <v>33</v>
      </c>
      <c r="B1171" t="s">
        <v>4375</v>
      </c>
      <c r="C1171" t="s">
        <v>21</v>
      </c>
      <c r="D1171" t="s">
        <v>4375</v>
      </c>
      <c r="E1171" t="s">
        <v>4376</v>
      </c>
      <c r="F1171" t="s">
        <v>4377</v>
      </c>
      <c r="G1171" t="s">
        <v>24</v>
      </c>
      <c r="H1171" t="s">
        <v>4378</v>
      </c>
      <c r="I1171" t="s">
        <v>46</v>
      </c>
      <c r="N1171" t="s">
        <v>3868</v>
      </c>
      <c r="S1171" t="s">
        <v>48</v>
      </c>
      <c r="V1171" t="s">
        <v>5708</v>
      </c>
      <c r="W1171" t="s">
        <v>5709</v>
      </c>
      <c r="X1171" s="2">
        <f>IFERROR(VLOOKUP(I1171,'Rate Sheet'!$D:$F,3,FALSE),0)</f>
        <v>14.333333333333334</v>
      </c>
      <c r="Y1171" s="2">
        <f>IFERROR(VLOOKUP(J1171,'Rate Sheet'!$D:$F,3,FALSE),0)</f>
        <v>0</v>
      </c>
      <c r="Z1171" s="2">
        <f>IFERROR(VLOOKUP(K1171,'Rate Sheet'!$D:$F,3,FALSE),0)</f>
        <v>0</v>
      </c>
      <c r="AA1171" s="2">
        <f t="shared" si="18"/>
        <v>14.333333333333334</v>
      </c>
      <c r="AB1171">
        <v>1</v>
      </c>
    </row>
    <row r="1172" spans="1:28" x14ac:dyDescent="0.25">
      <c r="A1172" t="s">
        <v>33</v>
      </c>
      <c r="B1172" t="s">
        <v>4379</v>
      </c>
      <c r="C1172" t="s">
        <v>21</v>
      </c>
      <c r="D1172" t="s">
        <v>4379</v>
      </c>
      <c r="E1172" t="s">
        <v>4380</v>
      </c>
      <c r="F1172" t="s">
        <v>4381</v>
      </c>
      <c r="G1172" t="s">
        <v>24</v>
      </c>
      <c r="H1172" t="s">
        <v>4382</v>
      </c>
      <c r="I1172" t="s">
        <v>46</v>
      </c>
      <c r="N1172" t="s">
        <v>3653</v>
      </c>
      <c r="S1172" t="s">
        <v>48</v>
      </c>
      <c r="V1172" t="s">
        <v>5752</v>
      </c>
      <c r="W1172" t="s">
        <v>5753</v>
      </c>
      <c r="X1172" s="2">
        <f>IFERROR(VLOOKUP(I1172,'Rate Sheet'!$D:$F,3,FALSE),0)</f>
        <v>14.333333333333334</v>
      </c>
      <c r="Y1172" s="2">
        <f>IFERROR(VLOOKUP(J1172,'Rate Sheet'!$D:$F,3,FALSE),0)</f>
        <v>0</v>
      </c>
      <c r="Z1172" s="2">
        <f>IFERROR(VLOOKUP(K1172,'Rate Sheet'!$D:$F,3,FALSE),0)</f>
        <v>0</v>
      </c>
      <c r="AA1172" s="2">
        <f t="shared" si="18"/>
        <v>14.333333333333334</v>
      </c>
      <c r="AB1172">
        <v>1</v>
      </c>
    </row>
    <row r="1173" spans="1:28" x14ac:dyDescent="0.25">
      <c r="A1173" t="s">
        <v>33</v>
      </c>
      <c r="B1173" t="s">
        <v>4383</v>
      </c>
      <c r="C1173" t="s">
        <v>21</v>
      </c>
      <c r="D1173" t="s">
        <v>4383</v>
      </c>
      <c r="E1173" t="s">
        <v>324</v>
      </c>
      <c r="F1173" t="s">
        <v>4384</v>
      </c>
      <c r="G1173" t="s">
        <v>24</v>
      </c>
      <c r="H1173" t="s">
        <v>4385</v>
      </c>
      <c r="I1173" t="s">
        <v>46</v>
      </c>
      <c r="N1173" t="s">
        <v>3868</v>
      </c>
      <c r="S1173" t="s">
        <v>48</v>
      </c>
      <c r="V1173" t="s">
        <v>5708</v>
      </c>
      <c r="W1173" t="s">
        <v>5709</v>
      </c>
      <c r="X1173" s="2">
        <f>IFERROR(VLOOKUP(I1173,'Rate Sheet'!$D:$F,3,FALSE),0)</f>
        <v>14.333333333333334</v>
      </c>
      <c r="Y1173" s="2">
        <f>IFERROR(VLOOKUP(J1173,'Rate Sheet'!$D:$F,3,FALSE),0)</f>
        <v>0</v>
      </c>
      <c r="Z1173" s="2">
        <f>IFERROR(VLOOKUP(K1173,'Rate Sheet'!$D:$F,3,FALSE),0)</f>
        <v>0</v>
      </c>
      <c r="AA1173" s="2">
        <f t="shared" si="18"/>
        <v>14.333333333333334</v>
      </c>
      <c r="AB1173">
        <v>1</v>
      </c>
    </row>
    <row r="1174" spans="1:28" x14ac:dyDescent="0.25">
      <c r="A1174" t="s">
        <v>33</v>
      </c>
      <c r="B1174" t="s">
        <v>4386</v>
      </c>
      <c r="C1174" t="s">
        <v>21</v>
      </c>
      <c r="D1174" t="s">
        <v>4386</v>
      </c>
      <c r="E1174" t="s">
        <v>3000</v>
      </c>
      <c r="F1174" t="s">
        <v>4387</v>
      </c>
      <c r="G1174" t="s">
        <v>24</v>
      </c>
      <c r="H1174" t="s">
        <v>4388</v>
      </c>
      <c r="I1174" t="s">
        <v>46</v>
      </c>
      <c r="N1174" t="s">
        <v>3868</v>
      </c>
      <c r="S1174" t="s">
        <v>48</v>
      </c>
      <c r="V1174" t="s">
        <v>5708</v>
      </c>
      <c r="W1174" t="s">
        <v>5709</v>
      </c>
      <c r="X1174" s="2">
        <f>IFERROR(VLOOKUP(I1174,'Rate Sheet'!$D:$F,3,FALSE),0)</f>
        <v>14.333333333333334</v>
      </c>
      <c r="Y1174" s="2">
        <f>IFERROR(VLOOKUP(J1174,'Rate Sheet'!$D:$F,3,FALSE),0)</f>
        <v>0</v>
      </c>
      <c r="Z1174" s="2">
        <f>IFERROR(VLOOKUP(K1174,'Rate Sheet'!$D:$F,3,FALSE),0)</f>
        <v>0</v>
      </c>
      <c r="AA1174" s="2">
        <f t="shared" si="18"/>
        <v>14.333333333333334</v>
      </c>
      <c r="AB1174">
        <v>1</v>
      </c>
    </row>
    <row r="1175" spans="1:28" x14ac:dyDescent="0.25">
      <c r="A1175" t="s">
        <v>33</v>
      </c>
      <c r="B1175" t="s">
        <v>4389</v>
      </c>
      <c r="C1175" t="s">
        <v>21</v>
      </c>
      <c r="D1175" t="s">
        <v>4389</v>
      </c>
      <c r="E1175" t="s">
        <v>4390</v>
      </c>
      <c r="F1175" t="s">
        <v>4391</v>
      </c>
      <c r="G1175" t="s">
        <v>24</v>
      </c>
      <c r="H1175" t="s">
        <v>4392</v>
      </c>
      <c r="I1175" t="s">
        <v>46</v>
      </c>
      <c r="N1175" t="s">
        <v>511</v>
      </c>
      <c r="S1175" t="s">
        <v>48</v>
      </c>
      <c r="V1175" t="s">
        <v>5617</v>
      </c>
      <c r="W1175" t="s">
        <v>511</v>
      </c>
      <c r="X1175" s="2">
        <f>IFERROR(VLOOKUP(I1175,'Rate Sheet'!$D:$F,3,FALSE),0)</f>
        <v>14.333333333333334</v>
      </c>
      <c r="Y1175" s="2">
        <f>IFERROR(VLOOKUP(J1175,'Rate Sheet'!$D:$F,3,FALSE),0)</f>
        <v>0</v>
      </c>
      <c r="Z1175" s="2">
        <f>IFERROR(VLOOKUP(K1175,'Rate Sheet'!$D:$F,3,FALSE),0)</f>
        <v>0</v>
      </c>
      <c r="AA1175" s="2">
        <f t="shared" si="18"/>
        <v>14.333333333333334</v>
      </c>
      <c r="AB1175">
        <v>1</v>
      </c>
    </row>
    <row r="1176" spans="1:28" x14ac:dyDescent="0.25">
      <c r="A1176" t="s">
        <v>33</v>
      </c>
      <c r="B1176" t="s">
        <v>4393</v>
      </c>
      <c r="C1176" t="s">
        <v>21</v>
      </c>
      <c r="D1176" t="s">
        <v>4393</v>
      </c>
      <c r="E1176" t="s">
        <v>540</v>
      </c>
      <c r="F1176" t="s">
        <v>4394</v>
      </c>
      <c r="G1176" t="s">
        <v>24</v>
      </c>
      <c r="H1176" t="s">
        <v>4395</v>
      </c>
      <c r="I1176" t="s">
        <v>73</v>
      </c>
      <c r="N1176" t="s">
        <v>171</v>
      </c>
      <c r="S1176" t="s">
        <v>75</v>
      </c>
      <c r="V1176" t="s">
        <v>5602</v>
      </c>
      <c r="W1176" t="s">
        <v>5603</v>
      </c>
      <c r="X1176" s="2">
        <f>IFERROR(VLOOKUP(I1176,'Rate Sheet'!$D:$F,3,FALSE),0)</f>
        <v>8.6983333333333324</v>
      </c>
      <c r="Y1176" s="2">
        <f>IFERROR(VLOOKUP(J1176,'Rate Sheet'!$D:$F,3,FALSE),0)</f>
        <v>0</v>
      </c>
      <c r="Z1176" s="2">
        <f>IFERROR(VLOOKUP(K1176,'Rate Sheet'!$D:$F,3,FALSE),0)</f>
        <v>0</v>
      </c>
      <c r="AA1176" s="2">
        <f t="shared" si="18"/>
        <v>8.6983333333333324</v>
      </c>
      <c r="AB1176">
        <v>1</v>
      </c>
    </row>
    <row r="1177" spans="1:28" x14ac:dyDescent="0.25">
      <c r="A1177" t="s">
        <v>33</v>
      </c>
      <c r="B1177" t="s">
        <v>4396</v>
      </c>
      <c r="C1177" t="s">
        <v>21</v>
      </c>
      <c r="D1177" t="s">
        <v>4396</v>
      </c>
      <c r="E1177" t="s">
        <v>4397</v>
      </c>
      <c r="F1177" t="s">
        <v>4398</v>
      </c>
      <c r="G1177" t="s">
        <v>24</v>
      </c>
      <c r="H1177" t="s">
        <v>4399</v>
      </c>
      <c r="X1177" s="2">
        <f>IFERROR(VLOOKUP(I1177,'Rate Sheet'!$D:$F,3,FALSE),0)</f>
        <v>0</v>
      </c>
      <c r="Y1177" s="2">
        <f>IFERROR(VLOOKUP(J1177,'Rate Sheet'!$D:$F,3,FALSE),0)</f>
        <v>0</v>
      </c>
      <c r="Z1177" s="2">
        <f>IFERROR(VLOOKUP(K1177,'Rate Sheet'!$D:$F,3,FALSE),0)</f>
        <v>0</v>
      </c>
      <c r="AA1177" s="2">
        <f t="shared" si="18"/>
        <v>0</v>
      </c>
    </row>
    <row r="1178" spans="1:28" x14ac:dyDescent="0.25">
      <c r="A1178" t="s">
        <v>33</v>
      </c>
      <c r="B1178" t="s">
        <v>4400</v>
      </c>
      <c r="C1178" t="s">
        <v>21</v>
      </c>
      <c r="D1178" t="s">
        <v>4400</v>
      </c>
      <c r="E1178" t="s">
        <v>540</v>
      </c>
      <c r="F1178" t="s">
        <v>4401</v>
      </c>
      <c r="G1178" t="s">
        <v>24</v>
      </c>
      <c r="H1178" t="s">
        <v>4402</v>
      </c>
      <c r="I1178" t="s">
        <v>46</v>
      </c>
      <c r="N1178" t="s">
        <v>692</v>
      </c>
      <c r="S1178" t="s">
        <v>48</v>
      </c>
      <c r="V1178" t="s">
        <v>5628</v>
      </c>
      <c r="W1178" t="s">
        <v>5629</v>
      </c>
      <c r="X1178" s="2">
        <f>IFERROR(VLOOKUP(I1178,'Rate Sheet'!$D:$F,3,FALSE),0)</f>
        <v>14.333333333333334</v>
      </c>
      <c r="Y1178" s="2">
        <f>IFERROR(VLOOKUP(J1178,'Rate Sheet'!$D:$F,3,FALSE),0)</f>
        <v>0</v>
      </c>
      <c r="Z1178" s="2">
        <f>IFERROR(VLOOKUP(K1178,'Rate Sheet'!$D:$F,3,FALSE),0)</f>
        <v>0</v>
      </c>
      <c r="AA1178" s="2">
        <f t="shared" si="18"/>
        <v>14.333333333333334</v>
      </c>
      <c r="AB1178">
        <v>1</v>
      </c>
    </row>
    <row r="1179" spans="1:28" x14ac:dyDescent="0.25">
      <c r="A1179" t="s">
        <v>33</v>
      </c>
      <c r="B1179" t="s">
        <v>4403</v>
      </c>
      <c r="C1179" t="s">
        <v>29</v>
      </c>
      <c r="D1179" t="s">
        <v>4403</v>
      </c>
      <c r="E1179" t="s">
        <v>2277</v>
      </c>
      <c r="F1179" t="s">
        <v>145</v>
      </c>
      <c r="G1179" t="s">
        <v>24</v>
      </c>
      <c r="H1179" t="s">
        <v>4404</v>
      </c>
      <c r="N1179" t="s">
        <v>246</v>
      </c>
      <c r="X1179" s="2">
        <f>IFERROR(VLOOKUP(I1179,'Rate Sheet'!$D:$F,3,FALSE),0)</f>
        <v>0</v>
      </c>
      <c r="Y1179" s="2">
        <f>IFERROR(VLOOKUP(J1179,'Rate Sheet'!$D:$F,3,FALSE),0)</f>
        <v>0</v>
      </c>
      <c r="Z1179" s="2">
        <f>IFERROR(VLOOKUP(K1179,'Rate Sheet'!$D:$F,3,FALSE),0)</f>
        <v>0</v>
      </c>
      <c r="AA1179" s="2">
        <f t="shared" si="18"/>
        <v>0</v>
      </c>
    </row>
    <row r="1180" spans="1:28" x14ac:dyDescent="0.25">
      <c r="A1180" t="s">
        <v>33</v>
      </c>
      <c r="B1180" t="s">
        <v>4405</v>
      </c>
      <c r="C1180" t="s">
        <v>21</v>
      </c>
      <c r="D1180" t="s">
        <v>4405</v>
      </c>
      <c r="E1180" t="s">
        <v>4406</v>
      </c>
      <c r="F1180" t="s">
        <v>4407</v>
      </c>
      <c r="G1180" t="s">
        <v>24</v>
      </c>
      <c r="H1180" t="s">
        <v>4408</v>
      </c>
      <c r="I1180" t="s">
        <v>46</v>
      </c>
      <c r="N1180" t="s">
        <v>4229</v>
      </c>
      <c r="S1180" t="s">
        <v>48</v>
      </c>
      <c r="V1180" t="s">
        <v>5708</v>
      </c>
      <c r="W1180" t="s">
        <v>5709</v>
      </c>
      <c r="X1180" s="2">
        <f>IFERROR(VLOOKUP(I1180,'Rate Sheet'!$D:$F,3,FALSE),0)</f>
        <v>14.333333333333334</v>
      </c>
      <c r="Y1180" s="2">
        <f>IFERROR(VLOOKUP(J1180,'Rate Sheet'!$D:$F,3,FALSE),0)</f>
        <v>0</v>
      </c>
      <c r="Z1180" s="2">
        <f>IFERROR(VLOOKUP(K1180,'Rate Sheet'!$D:$F,3,FALSE),0)</f>
        <v>0</v>
      </c>
      <c r="AA1180" s="2">
        <f t="shared" si="18"/>
        <v>14.333333333333334</v>
      </c>
      <c r="AB1180">
        <v>1</v>
      </c>
    </row>
    <row r="1181" spans="1:28" x14ac:dyDescent="0.25">
      <c r="A1181" t="s">
        <v>33</v>
      </c>
      <c r="B1181" t="s">
        <v>4409</v>
      </c>
      <c r="C1181" t="s">
        <v>21</v>
      </c>
      <c r="D1181" t="s">
        <v>4409</v>
      </c>
      <c r="E1181" t="s">
        <v>2474</v>
      </c>
      <c r="F1181" t="s">
        <v>4410</v>
      </c>
      <c r="G1181" t="s">
        <v>24</v>
      </c>
      <c r="H1181" t="s">
        <v>4411</v>
      </c>
      <c r="I1181" t="s">
        <v>46</v>
      </c>
      <c r="N1181" t="s">
        <v>4229</v>
      </c>
      <c r="S1181" t="s">
        <v>48</v>
      </c>
      <c r="V1181" t="s">
        <v>5708</v>
      </c>
      <c r="W1181" t="s">
        <v>5709</v>
      </c>
      <c r="X1181" s="2">
        <f>IFERROR(VLOOKUP(I1181,'Rate Sheet'!$D:$F,3,FALSE),0)</f>
        <v>14.333333333333334</v>
      </c>
      <c r="Y1181" s="2">
        <f>IFERROR(VLOOKUP(J1181,'Rate Sheet'!$D:$F,3,FALSE),0)</f>
        <v>0</v>
      </c>
      <c r="Z1181" s="2">
        <f>IFERROR(VLOOKUP(K1181,'Rate Sheet'!$D:$F,3,FALSE),0)</f>
        <v>0</v>
      </c>
      <c r="AA1181" s="2">
        <f t="shared" si="18"/>
        <v>14.333333333333334</v>
      </c>
      <c r="AB1181">
        <v>1</v>
      </c>
    </row>
    <row r="1182" spans="1:28" x14ac:dyDescent="0.25">
      <c r="A1182" t="s">
        <v>33</v>
      </c>
      <c r="B1182" t="s">
        <v>4412</v>
      </c>
      <c r="C1182" t="s">
        <v>21</v>
      </c>
      <c r="D1182" t="s">
        <v>4412</v>
      </c>
      <c r="E1182" t="s">
        <v>4413</v>
      </c>
      <c r="F1182" t="s">
        <v>4414</v>
      </c>
      <c r="G1182" t="s">
        <v>24</v>
      </c>
      <c r="H1182" t="s">
        <v>4415</v>
      </c>
      <c r="I1182" t="s">
        <v>46</v>
      </c>
      <c r="N1182" t="s">
        <v>530</v>
      </c>
      <c r="S1182" t="s">
        <v>48</v>
      </c>
      <c r="V1182" t="s">
        <v>5712</v>
      </c>
      <c r="W1182" t="s">
        <v>5713</v>
      </c>
      <c r="X1182" s="2">
        <f>IFERROR(VLOOKUP(I1182,'Rate Sheet'!$D:$F,3,FALSE),0)</f>
        <v>14.333333333333334</v>
      </c>
      <c r="Y1182" s="2">
        <f>IFERROR(VLOOKUP(J1182,'Rate Sheet'!$D:$F,3,FALSE),0)</f>
        <v>0</v>
      </c>
      <c r="Z1182" s="2">
        <f>IFERROR(VLOOKUP(K1182,'Rate Sheet'!$D:$F,3,FALSE),0)</f>
        <v>0</v>
      </c>
      <c r="AA1182" s="2">
        <f t="shared" si="18"/>
        <v>14.333333333333334</v>
      </c>
      <c r="AB1182">
        <v>1</v>
      </c>
    </row>
    <row r="1183" spans="1:28" x14ac:dyDescent="0.25">
      <c r="A1183" t="s">
        <v>33</v>
      </c>
      <c r="B1183" t="s">
        <v>4416</v>
      </c>
      <c r="C1183" t="s">
        <v>29</v>
      </c>
      <c r="D1183" t="s">
        <v>4416</v>
      </c>
      <c r="E1183" t="s">
        <v>4397</v>
      </c>
      <c r="F1183" t="s">
        <v>4398</v>
      </c>
      <c r="G1183" t="s">
        <v>24</v>
      </c>
      <c r="H1183" t="s">
        <v>4417</v>
      </c>
      <c r="I1183" t="s">
        <v>46</v>
      </c>
      <c r="N1183" t="s">
        <v>246</v>
      </c>
      <c r="S1183" t="s">
        <v>48</v>
      </c>
      <c r="V1183" t="s">
        <v>5661</v>
      </c>
      <c r="W1183" t="s">
        <v>246</v>
      </c>
      <c r="X1183" s="2">
        <f>IFERROR(VLOOKUP(I1183,'Rate Sheet'!$D:$F,3,FALSE),0)</f>
        <v>14.333333333333334</v>
      </c>
      <c r="Y1183" s="2">
        <f>IFERROR(VLOOKUP(J1183,'Rate Sheet'!$D:$F,3,FALSE),0)</f>
        <v>0</v>
      </c>
      <c r="Z1183" s="2">
        <f>IFERROR(VLOOKUP(K1183,'Rate Sheet'!$D:$F,3,FALSE),0)</f>
        <v>0</v>
      </c>
      <c r="AA1183" s="2">
        <f t="shared" si="18"/>
        <v>14.333333333333334</v>
      </c>
      <c r="AB1183">
        <v>1</v>
      </c>
    </row>
    <row r="1184" spans="1:28" x14ac:dyDescent="0.25">
      <c r="A1184" t="s">
        <v>33</v>
      </c>
      <c r="B1184" t="s">
        <v>4418</v>
      </c>
      <c r="C1184" t="s">
        <v>21</v>
      </c>
      <c r="D1184" t="s">
        <v>4418</v>
      </c>
      <c r="E1184" t="s">
        <v>2408</v>
      </c>
      <c r="F1184" t="s">
        <v>87</v>
      </c>
      <c r="G1184" t="s">
        <v>24</v>
      </c>
      <c r="H1184" t="s">
        <v>4419</v>
      </c>
      <c r="N1184" t="s">
        <v>861</v>
      </c>
      <c r="X1184" s="2">
        <f>IFERROR(VLOOKUP(I1184,'Rate Sheet'!$D:$F,3,FALSE),0)</f>
        <v>0</v>
      </c>
      <c r="Y1184" s="2">
        <f>IFERROR(VLOOKUP(J1184,'Rate Sheet'!$D:$F,3,FALSE),0)</f>
        <v>0</v>
      </c>
      <c r="Z1184" s="2">
        <f>IFERROR(VLOOKUP(K1184,'Rate Sheet'!$D:$F,3,FALSE),0)</f>
        <v>0</v>
      </c>
      <c r="AA1184" s="2">
        <f t="shared" si="18"/>
        <v>0</v>
      </c>
    </row>
    <row r="1185" spans="1:28" x14ac:dyDescent="0.25">
      <c r="A1185" t="s">
        <v>33</v>
      </c>
      <c r="B1185" t="s">
        <v>4420</v>
      </c>
      <c r="C1185" t="s">
        <v>21</v>
      </c>
      <c r="D1185" t="s">
        <v>4420</v>
      </c>
      <c r="E1185" t="s">
        <v>3483</v>
      </c>
      <c r="F1185" t="s">
        <v>4421</v>
      </c>
      <c r="G1185" t="s">
        <v>24</v>
      </c>
      <c r="H1185" t="s">
        <v>4422</v>
      </c>
      <c r="I1185" t="s">
        <v>73</v>
      </c>
      <c r="N1185" t="s">
        <v>692</v>
      </c>
      <c r="S1185" t="s">
        <v>75</v>
      </c>
      <c r="V1185" t="s">
        <v>5628</v>
      </c>
      <c r="W1185" t="s">
        <v>5629</v>
      </c>
      <c r="X1185" s="2">
        <f>IFERROR(VLOOKUP(I1185,'Rate Sheet'!$D:$F,3,FALSE),0)</f>
        <v>8.6983333333333324</v>
      </c>
      <c r="Y1185" s="2">
        <f>IFERROR(VLOOKUP(J1185,'Rate Sheet'!$D:$F,3,FALSE),0)</f>
        <v>0</v>
      </c>
      <c r="Z1185" s="2">
        <f>IFERROR(VLOOKUP(K1185,'Rate Sheet'!$D:$F,3,FALSE),0)</f>
        <v>0</v>
      </c>
      <c r="AA1185" s="2">
        <f t="shared" si="18"/>
        <v>8.6983333333333324</v>
      </c>
      <c r="AB1185">
        <v>1</v>
      </c>
    </row>
    <row r="1186" spans="1:28" x14ac:dyDescent="0.25">
      <c r="A1186" t="s">
        <v>33</v>
      </c>
      <c r="B1186" t="s">
        <v>4423</v>
      </c>
      <c r="C1186" t="s">
        <v>29</v>
      </c>
      <c r="D1186" t="s">
        <v>4423</v>
      </c>
      <c r="E1186" t="s">
        <v>424</v>
      </c>
      <c r="F1186" t="s">
        <v>4424</v>
      </c>
      <c r="G1186" t="s">
        <v>24</v>
      </c>
      <c r="H1186" t="s">
        <v>4425</v>
      </c>
      <c r="I1186" t="s">
        <v>73</v>
      </c>
      <c r="N1186" t="s">
        <v>3808</v>
      </c>
      <c r="S1186" t="s">
        <v>75</v>
      </c>
      <c r="V1186" t="s">
        <v>5756</v>
      </c>
      <c r="W1186" t="s">
        <v>3808</v>
      </c>
      <c r="X1186" s="2">
        <f>IFERROR(VLOOKUP(I1186,'Rate Sheet'!$D:$F,3,FALSE),0)</f>
        <v>8.6983333333333324</v>
      </c>
      <c r="Y1186" s="2">
        <f>IFERROR(VLOOKUP(J1186,'Rate Sheet'!$D:$F,3,FALSE),0)</f>
        <v>0</v>
      </c>
      <c r="Z1186" s="2">
        <f>IFERROR(VLOOKUP(K1186,'Rate Sheet'!$D:$F,3,FALSE),0)</f>
        <v>0</v>
      </c>
      <c r="AA1186" s="2">
        <f t="shared" si="18"/>
        <v>8.6983333333333324</v>
      </c>
      <c r="AB1186">
        <v>1</v>
      </c>
    </row>
    <row r="1187" spans="1:28" x14ac:dyDescent="0.25">
      <c r="A1187" t="s">
        <v>33</v>
      </c>
      <c r="B1187" t="s">
        <v>4426</v>
      </c>
      <c r="C1187" t="s">
        <v>29</v>
      </c>
      <c r="D1187" t="s">
        <v>4426</v>
      </c>
      <c r="E1187" t="s">
        <v>4427</v>
      </c>
      <c r="F1187" t="s">
        <v>4428</v>
      </c>
      <c r="G1187" t="s">
        <v>24</v>
      </c>
      <c r="H1187" t="s">
        <v>4429</v>
      </c>
      <c r="N1187" t="s">
        <v>3808</v>
      </c>
      <c r="X1187" s="2">
        <f>IFERROR(VLOOKUP(I1187,'Rate Sheet'!$D:$F,3,FALSE),0)</f>
        <v>0</v>
      </c>
      <c r="Y1187" s="2">
        <f>IFERROR(VLOOKUP(J1187,'Rate Sheet'!$D:$F,3,FALSE),0)</f>
        <v>0</v>
      </c>
      <c r="Z1187" s="2">
        <f>IFERROR(VLOOKUP(K1187,'Rate Sheet'!$D:$F,3,FALSE),0)</f>
        <v>0</v>
      </c>
      <c r="AA1187" s="2">
        <f t="shared" si="18"/>
        <v>0</v>
      </c>
    </row>
    <row r="1188" spans="1:28" x14ac:dyDescent="0.25">
      <c r="A1188" t="s">
        <v>33</v>
      </c>
      <c r="B1188" t="s">
        <v>4430</v>
      </c>
      <c r="C1188" t="s">
        <v>29</v>
      </c>
      <c r="D1188" t="s">
        <v>4430</v>
      </c>
      <c r="E1188" t="s">
        <v>126</v>
      </c>
      <c r="F1188" t="s">
        <v>4431</v>
      </c>
      <c r="G1188" t="s">
        <v>24</v>
      </c>
      <c r="H1188" t="s">
        <v>4432</v>
      </c>
      <c r="I1188" t="s">
        <v>73</v>
      </c>
      <c r="J1188" t="s">
        <v>3206</v>
      </c>
      <c r="N1188" t="s">
        <v>3808</v>
      </c>
      <c r="S1188" t="s">
        <v>3363</v>
      </c>
      <c r="V1188" t="s">
        <v>5756</v>
      </c>
      <c r="W1188" t="s">
        <v>3808</v>
      </c>
      <c r="X1188" s="2">
        <f>IFERROR(VLOOKUP(I1188,'Rate Sheet'!$D:$F,3,FALSE),0)</f>
        <v>8.6983333333333324</v>
      </c>
      <c r="Y1188" s="2">
        <f>IFERROR(VLOOKUP(J1188,'Rate Sheet'!$D:$F,3,FALSE),0)</f>
        <v>36.357500000000002</v>
      </c>
      <c r="Z1188" s="2">
        <f>IFERROR(VLOOKUP(K1188,'Rate Sheet'!$D:$F,3,FALSE),0)</f>
        <v>0</v>
      </c>
      <c r="AA1188" s="2">
        <f t="shared" si="18"/>
        <v>45.055833333333332</v>
      </c>
      <c r="AB1188">
        <v>1</v>
      </c>
    </row>
    <row r="1189" spans="1:28" x14ac:dyDescent="0.25">
      <c r="A1189" t="s">
        <v>33</v>
      </c>
      <c r="B1189" t="s">
        <v>4433</v>
      </c>
      <c r="C1189" t="s">
        <v>21</v>
      </c>
      <c r="D1189" t="s">
        <v>4433</v>
      </c>
      <c r="E1189" t="s">
        <v>394</v>
      </c>
      <c r="F1189" t="s">
        <v>4434</v>
      </c>
      <c r="G1189" t="s">
        <v>24</v>
      </c>
      <c r="H1189" t="s">
        <v>4435</v>
      </c>
      <c r="I1189" t="s">
        <v>46</v>
      </c>
      <c r="N1189" t="s">
        <v>803</v>
      </c>
      <c r="S1189" t="s">
        <v>48</v>
      </c>
      <c r="V1189" t="s">
        <v>5665</v>
      </c>
      <c r="W1189" t="s">
        <v>803</v>
      </c>
      <c r="X1189" s="2">
        <f>IFERROR(VLOOKUP(I1189,'Rate Sheet'!$D:$F,3,FALSE),0)</f>
        <v>14.333333333333334</v>
      </c>
      <c r="Y1189" s="2">
        <f>IFERROR(VLOOKUP(J1189,'Rate Sheet'!$D:$F,3,FALSE),0)</f>
        <v>0</v>
      </c>
      <c r="Z1189" s="2">
        <f>IFERROR(VLOOKUP(K1189,'Rate Sheet'!$D:$F,3,FALSE),0)</f>
        <v>0</v>
      </c>
      <c r="AA1189" s="2">
        <f t="shared" si="18"/>
        <v>14.333333333333334</v>
      </c>
      <c r="AB1189">
        <v>1</v>
      </c>
    </row>
    <row r="1190" spans="1:28" x14ac:dyDescent="0.25">
      <c r="A1190" t="s">
        <v>33</v>
      </c>
      <c r="B1190" t="s">
        <v>4436</v>
      </c>
      <c r="C1190" t="s">
        <v>29</v>
      </c>
      <c r="D1190" t="s">
        <v>4437</v>
      </c>
      <c r="E1190" t="s">
        <v>367</v>
      </c>
      <c r="F1190" t="s">
        <v>2107</v>
      </c>
      <c r="G1190" t="s">
        <v>24</v>
      </c>
      <c r="H1190" t="s">
        <v>4438</v>
      </c>
      <c r="I1190" t="s">
        <v>73</v>
      </c>
      <c r="N1190" t="s">
        <v>4159</v>
      </c>
      <c r="S1190" t="s">
        <v>75</v>
      </c>
      <c r="V1190" t="s">
        <v>5766</v>
      </c>
      <c r="W1190" t="s">
        <v>4159</v>
      </c>
      <c r="X1190" s="2">
        <f>IFERROR(VLOOKUP(I1190,'Rate Sheet'!$D:$F,3,FALSE),0)</f>
        <v>8.6983333333333324</v>
      </c>
      <c r="Y1190" s="2">
        <f>IFERROR(VLOOKUP(J1190,'Rate Sheet'!$D:$F,3,FALSE),0)</f>
        <v>0</v>
      </c>
      <c r="Z1190" s="2">
        <f>IFERROR(VLOOKUP(K1190,'Rate Sheet'!$D:$F,3,FALSE),0)</f>
        <v>0</v>
      </c>
      <c r="AA1190" s="2">
        <f t="shared" si="18"/>
        <v>8.6983333333333324</v>
      </c>
      <c r="AB1190">
        <v>1</v>
      </c>
    </row>
    <row r="1191" spans="1:28" x14ac:dyDescent="0.25">
      <c r="A1191" t="s">
        <v>19</v>
      </c>
      <c r="B1191" t="s">
        <v>4439</v>
      </c>
      <c r="C1191" t="s">
        <v>4256</v>
      </c>
      <c r="D1191" t="s">
        <v>4439</v>
      </c>
      <c r="E1191" t="s">
        <v>761</v>
      </c>
      <c r="F1191" t="s">
        <v>4440</v>
      </c>
      <c r="G1191" t="s">
        <v>4085</v>
      </c>
      <c r="H1191" t="s">
        <v>4441</v>
      </c>
      <c r="I1191" t="s">
        <v>73</v>
      </c>
      <c r="N1191" t="s">
        <v>4442</v>
      </c>
      <c r="S1191" t="s">
        <v>75</v>
      </c>
      <c r="V1191" s="10" t="s">
        <v>5771</v>
      </c>
      <c r="W1191" s="10" t="s">
        <v>5772</v>
      </c>
      <c r="X1191" s="2">
        <f>IFERROR(VLOOKUP(I1191,'Rate Sheet'!$D:$F,3,FALSE),0)</f>
        <v>8.6983333333333324</v>
      </c>
      <c r="Y1191" s="2">
        <f>IFERROR(VLOOKUP(J1191,'Rate Sheet'!$D:$F,3,FALSE),0)</f>
        <v>0</v>
      </c>
      <c r="Z1191" s="2">
        <f>IFERROR(VLOOKUP(K1191,'Rate Sheet'!$D:$F,3,FALSE),0)</f>
        <v>0</v>
      </c>
      <c r="AA1191" s="2">
        <f t="shared" si="18"/>
        <v>8.6983333333333324</v>
      </c>
      <c r="AB1191">
        <v>1</v>
      </c>
    </row>
    <row r="1192" spans="1:28" x14ac:dyDescent="0.25">
      <c r="A1192" t="s">
        <v>19</v>
      </c>
      <c r="B1192" t="s">
        <v>4443</v>
      </c>
      <c r="C1192" t="s">
        <v>4256</v>
      </c>
      <c r="D1192" t="s">
        <v>4443</v>
      </c>
      <c r="E1192" t="s">
        <v>4444</v>
      </c>
      <c r="F1192" t="s">
        <v>4445</v>
      </c>
      <c r="G1192" t="s">
        <v>4085</v>
      </c>
      <c r="H1192" t="s">
        <v>4446</v>
      </c>
      <c r="I1192" t="s">
        <v>73</v>
      </c>
      <c r="N1192" t="s">
        <v>4442</v>
      </c>
      <c r="S1192" t="s">
        <v>75</v>
      </c>
      <c r="V1192" t="s">
        <v>5771</v>
      </c>
      <c r="W1192" t="s">
        <v>5772</v>
      </c>
      <c r="X1192" s="2">
        <f>IFERROR(VLOOKUP(I1192,'Rate Sheet'!$D:$F,3,FALSE),0)</f>
        <v>8.6983333333333324</v>
      </c>
      <c r="Y1192" s="2">
        <f>IFERROR(VLOOKUP(J1192,'Rate Sheet'!$D:$F,3,FALSE),0)</f>
        <v>0</v>
      </c>
      <c r="Z1192" s="2">
        <f>IFERROR(VLOOKUP(K1192,'Rate Sheet'!$D:$F,3,FALSE),0)</f>
        <v>0</v>
      </c>
      <c r="AA1192" s="2">
        <f t="shared" si="18"/>
        <v>8.6983333333333324</v>
      </c>
      <c r="AB1192">
        <v>1</v>
      </c>
    </row>
    <row r="1193" spans="1:28" x14ac:dyDescent="0.25">
      <c r="A1193" t="s">
        <v>33</v>
      </c>
      <c r="B1193" t="s">
        <v>4447</v>
      </c>
      <c r="C1193" t="s">
        <v>21</v>
      </c>
      <c r="D1193" t="s">
        <v>4447</v>
      </c>
      <c r="E1193" t="s">
        <v>302</v>
      </c>
      <c r="F1193" t="s">
        <v>4448</v>
      </c>
      <c r="G1193" t="s">
        <v>24</v>
      </c>
      <c r="H1193" t="s">
        <v>4449</v>
      </c>
      <c r="N1193" t="s">
        <v>224</v>
      </c>
      <c r="X1193" s="2">
        <f>IFERROR(VLOOKUP(I1193,'Rate Sheet'!$D:$F,3,FALSE),0)</f>
        <v>0</v>
      </c>
      <c r="Y1193" s="2">
        <f>IFERROR(VLOOKUP(J1193,'Rate Sheet'!$D:$F,3,FALSE),0)</f>
        <v>0</v>
      </c>
      <c r="Z1193" s="2">
        <f>IFERROR(VLOOKUP(K1193,'Rate Sheet'!$D:$F,3,FALSE),0)</f>
        <v>0</v>
      </c>
      <c r="AA1193" s="2">
        <f t="shared" si="18"/>
        <v>0</v>
      </c>
    </row>
    <row r="1194" spans="1:28" x14ac:dyDescent="0.25">
      <c r="A1194" t="s">
        <v>33</v>
      </c>
      <c r="B1194" t="s">
        <v>4450</v>
      </c>
      <c r="C1194" t="s">
        <v>21</v>
      </c>
      <c r="D1194" t="s">
        <v>4450</v>
      </c>
      <c r="E1194" t="s">
        <v>1149</v>
      </c>
      <c r="F1194" t="s">
        <v>4451</v>
      </c>
      <c r="G1194" t="s">
        <v>24</v>
      </c>
      <c r="H1194" t="s">
        <v>4452</v>
      </c>
      <c r="X1194" s="2">
        <f>IFERROR(VLOOKUP(I1194,'Rate Sheet'!$D:$F,3,FALSE),0)</f>
        <v>0</v>
      </c>
      <c r="Y1194" s="2">
        <f>IFERROR(VLOOKUP(J1194,'Rate Sheet'!$D:$F,3,FALSE),0)</f>
        <v>0</v>
      </c>
      <c r="Z1194" s="2">
        <f>IFERROR(VLOOKUP(K1194,'Rate Sheet'!$D:$F,3,FALSE),0)</f>
        <v>0</v>
      </c>
      <c r="AA1194" s="2">
        <f t="shared" si="18"/>
        <v>0</v>
      </c>
    </row>
    <row r="1195" spans="1:28" x14ac:dyDescent="0.25">
      <c r="A1195" t="s">
        <v>33</v>
      </c>
      <c r="B1195" t="s">
        <v>4453</v>
      </c>
      <c r="C1195" t="s">
        <v>21</v>
      </c>
      <c r="D1195" t="s">
        <v>4453</v>
      </c>
      <c r="E1195" t="s">
        <v>4454</v>
      </c>
      <c r="F1195" t="s">
        <v>295</v>
      </c>
      <c r="G1195" t="s">
        <v>24</v>
      </c>
      <c r="H1195" t="s">
        <v>4455</v>
      </c>
      <c r="N1195" t="s">
        <v>2975</v>
      </c>
      <c r="X1195" s="2">
        <f>IFERROR(VLOOKUP(I1195,'Rate Sheet'!$D:$F,3,FALSE),0)</f>
        <v>0</v>
      </c>
      <c r="Y1195" s="2">
        <f>IFERROR(VLOOKUP(J1195,'Rate Sheet'!$D:$F,3,FALSE),0)</f>
        <v>0</v>
      </c>
      <c r="Z1195" s="2">
        <f>IFERROR(VLOOKUP(K1195,'Rate Sheet'!$D:$F,3,FALSE),0)</f>
        <v>0</v>
      </c>
      <c r="AA1195" s="2">
        <f t="shared" si="18"/>
        <v>0</v>
      </c>
    </row>
    <row r="1196" spans="1:28" x14ac:dyDescent="0.25">
      <c r="A1196" t="s">
        <v>33</v>
      </c>
      <c r="B1196" t="s">
        <v>4456</v>
      </c>
      <c r="C1196" t="s">
        <v>21</v>
      </c>
      <c r="D1196" t="s">
        <v>4456</v>
      </c>
      <c r="E1196" t="s">
        <v>4457</v>
      </c>
      <c r="F1196" t="s">
        <v>4458</v>
      </c>
      <c r="G1196" t="s">
        <v>24</v>
      </c>
      <c r="H1196" s="1" t="s">
        <v>4459</v>
      </c>
      <c r="I1196" t="s">
        <v>73</v>
      </c>
      <c r="N1196" t="s">
        <v>38</v>
      </c>
      <c r="S1196" t="s">
        <v>75</v>
      </c>
      <c r="V1196" t="s">
        <v>5582</v>
      </c>
      <c r="W1196" t="s">
        <v>5583</v>
      </c>
      <c r="X1196" s="2">
        <f>IFERROR(VLOOKUP(I1196,'Rate Sheet'!$D:$F,3,FALSE),0)</f>
        <v>8.6983333333333324</v>
      </c>
      <c r="Y1196" s="2">
        <f>IFERROR(VLOOKUP(J1196,'Rate Sheet'!$D:$F,3,FALSE),0)</f>
        <v>0</v>
      </c>
      <c r="Z1196" s="2">
        <f>IFERROR(VLOOKUP(K1196,'Rate Sheet'!$D:$F,3,FALSE),0)</f>
        <v>0</v>
      </c>
      <c r="AA1196" s="2">
        <f t="shared" si="18"/>
        <v>8.6983333333333324</v>
      </c>
      <c r="AB1196">
        <v>1</v>
      </c>
    </row>
    <row r="1197" spans="1:28" x14ac:dyDescent="0.25">
      <c r="A1197" t="s">
        <v>33</v>
      </c>
      <c r="B1197" t="s">
        <v>4460</v>
      </c>
      <c r="C1197" t="s">
        <v>29</v>
      </c>
      <c r="D1197" t="s">
        <v>4460</v>
      </c>
      <c r="E1197" t="s">
        <v>1813</v>
      </c>
      <c r="F1197" t="s">
        <v>4461</v>
      </c>
      <c r="G1197" t="s">
        <v>24</v>
      </c>
      <c r="H1197" t="s">
        <v>4462</v>
      </c>
      <c r="I1197" t="s">
        <v>46</v>
      </c>
      <c r="N1197" t="s">
        <v>246</v>
      </c>
      <c r="S1197" t="s">
        <v>48</v>
      </c>
      <c r="V1197" t="s">
        <v>5661</v>
      </c>
      <c r="W1197" t="s">
        <v>246</v>
      </c>
      <c r="X1197" s="2">
        <f>IFERROR(VLOOKUP(I1197,'Rate Sheet'!$D:$F,3,FALSE),0)</f>
        <v>14.333333333333334</v>
      </c>
      <c r="Y1197" s="2">
        <f>IFERROR(VLOOKUP(J1197,'Rate Sheet'!$D:$F,3,FALSE),0)</f>
        <v>0</v>
      </c>
      <c r="Z1197" s="2">
        <f>IFERROR(VLOOKUP(K1197,'Rate Sheet'!$D:$F,3,FALSE),0)</f>
        <v>0</v>
      </c>
      <c r="AA1197" s="2">
        <f t="shared" si="18"/>
        <v>14.333333333333334</v>
      </c>
      <c r="AB1197">
        <v>1</v>
      </c>
    </row>
    <row r="1198" spans="1:28" x14ac:dyDescent="0.25">
      <c r="A1198" t="s">
        <v>33</v>
      </c>
      <c r="B1198" t="s">
        <v>4463</v>
      </c>
      <c r="C1198" t="s">
        <v>29</v>
      </c>
      <c r="D1198" t="s">
        <v>4463</v>
      </c>
      <c r="E1198" t="s">
        <v>367</v>
      </c>
      <c r="F1198" t="s">
        <v>4464</v>
      </c>
      <c r="G1198" t="s">
        <v>24</v>
      </c>
      <c r="H1198" t="s">
        <v>4465</v>
      </c>
      <c r="I1198" t="s">
        <v>46</v>
      </c>
      <c r="N1198" t="s">
        <v>246</v>
      </c>
      <c r="S1198" t="s">
        <v>48</v>
      </c>
      <c r="V1198" t="s">
        <v>5661</v>
      </c>
      <c r="W1198" t="s">
        <v>246</v>
      </c>
      <c r="X1198" s="2">
        <f>IFERROR(VLOOKUP(I1198,'Rate Sheet'!$D:$F,3,FALSE),0)</f>
        <v>14.333333333333334</v>
      </c>
      <c r="Y1198" s="2">
        <f>IFERROR(VLOOKUP(J1198,'Rate Sheet'!$D:$F,3,FALSE),0)</f>
        <v>0</v>
      </c>
      <c r="Z1198" s="2">
        <f>IFERROR(VLOOKUP(K1198,'Rate Sheet'!$D:$F,3,FALSE),0)</f>
        <v>0</v>
      </c>
      <c r="AA1198" s="2">
        <f t="shared" si="18"/>
        <v>14.333333333333334</v>
      </c>
      <c r="AB1198">
        <v>1</v>
      </c>
    </row>
    <row r="1199" spans="1:28" x14ac:dyDescent="0.25">
      <c r="A1199" t="s">
        <v>33</v>
      </c>
      <c r="B1199" t="s">
        <v>4466</v>
      </c>
      <c r="C1199" t="s">
        <v>21</v>
      </c>
      <c r="D1199" t="s">
        <v>4466</v>
      </c>
      <c r="E1199" t="s">
        <v>3283</v>
      </c>
      <c r="F1199" t="s">
        <v>4467</v>
      </c>
      <c r="G1199" t="s">
        <v>24</v>
      </c>
      <c r="H1199" t="s">
        <v>4468</v>
      </c>
      <c r="I1199" t="s">
        <v>46</v>
      </c>
      <c r="N1199" t="s">
        <v>53</v>
      </c>
      <c r="S1199" t="s">
        <v>48</v>
      </c>
      <c r="V1199" t="s">
        <v>5580</v>
      </c>
      <c r="W1199" t="s">
        <v>5581</v>
      </c>
      <c r="X1199" s="2">
        <f>IFERROR(VLOOKUP(I1199,'Rate Sheet'!$D:$F,3,FALSE),0)</f>
        <v>14.333333333333334</v>
      </c>
      <c r="Y1199" s="2">
        <f>IFERROR(VLOOKUP(J1199,'Rate Sheet'!$D:$F,3,FALSE),0)</f>
        <v>0</v>
      </c>
      <c r="Z1199" s="2">
        <f>IFERROR(VLOOKUP(K1199,'Rate Sheet'!$D:$F,3,FALSE),0)</f>
        <v>0</v>
      </c>
      <c r="AA1199" s="2">
        <f t="shared" si="18"/>
        <v>14.333333333333334</v>
      </c>
      <c r="AB1199">
        <v>1</v>
      </c>
    </row>
    <row r="1200" spans="1:28" x14ac:dyDescent="0.25">
      <c r="A1200" t="s">
        <v>33</v>
      </c>
      <c r="B1200" t="s">
        <v>4469</v>
      </c>
      <c r="C1200" t="s">
        <v>21</v>
      </c>
      <c r="D1200" t="s">
        <v>4469</v>
      </c>
      <c r="E1200" t="s">
        <v>610</v>
      </c>
      <c r="F1200" t="s">
        <v>3528</v>
      </c>
      <c r="G1200" t="s">
        <v>24</v>
      </c>
      <c r="H1200" t="s">
        <v>4470</v>
      </c>
      <c r="I1200" t="s">
        <v>46</v>
      </c>
      <c r="N1200" t="s">
        <v>38</v>
      </c>
      <c r="S1200" t="s">
        <v>48</v>
      </c>
      <c r="V1200" t="s">
        <v>5582</v>
      </c>
      <c r="W1200" t="s">
        <v>5583</v>
      </c>
      <c r="X1200" s="2">
        <f>IFERROR(VLOOKUP(I1200,'Rate Sheet'!$D:$F,3,FALSE),0)</f>
        <v>14.333333333333334</v>
      </c>
      <c r="Y1200" s="2">
        <f>IFERROR(VLOOKUP(J1200,'Rate Sheet'!$D:$F,3,FALSE),0)</f>
        <v>0</v>
      </c>
      <c r="Z1200" s="2">
        <f>IFERROR(VLOOKUP(K1200,'Rate Sheet'!$D:$F,3,FALSE),0)</f>
        <v>0</v>
      </c>
      <c r="AA1200" s="2">
        <f t="shared" si="18"/>
        <v>14.333333333333334</v>
      </c>
      <c r="AB1200">
        <v>1</v>
      </c>
    </row>
    <row r="1201" spans="1:28" x14ac:dyDescent="0.25">
      <c r="A1201" t="s">
        <v>33</v>
      </c>
      <c r="B1201" t="s">
        <v>4471</v>
      </c>
      <c r="C1201" t="s">
        <v>21</v>
      </c>
      <c r="D1201" t="s">
        <v>4471</v>
      </c>
      <c r="E1201" t="s">
        <v>1424</v>
      </c>
      <c r="F1201" t="s">
        <v>295</v>
      </c>
      <c r="G1201" t="s">
        <v>24</v>
      </c>
      <c r="H1201" t="s">
        <v>4472</v>
      </c>
      <c r="N1201" t="s">
        <v>2975</v>
      </c>
      <c r="X1201" s="2">
        <f>IFERROR(VLOOKUP(I1201,'Rate Sheet'!$D:$F,3,FALSE),0)</f>
        <v>0</v>
      </c>
      <c r="Y1201" s="2">
        <f>IFERROR(VLOOKUP(J1201,'Rate Sheet'!$D:$F,3,FALSE),0)</f>
        <v>0</v>
      </c>
      <c r="Z1201" s="2">
        <f>IFERROR(VLOOKUP(K1201,'Rate Sheet'!$D:$F,3,FALSE),0)</f>
        <v>0</v>
      </c>
      <c r="AA1201" s="2">
        <f t="shared" ref="AA1201:AA1264" si="19">SUM(X1201:Z1201)</f>
        <v>0</v>
      </c>
    </row>
    <row r="1202" spans="1:28" x14ac:dyDescent="0.25">
      <c r="A1202" t="s">
        <v>33</v>
      </c>
      <c r="B1202" t="s">
        <v>4473</v>
      </c>
      <c r="C1202" t="s">
        <v>21</v>
      </c>
      <c r="D1202" t="s">
        <v>4473</v>
      </c>
      <c r="E1202" t="s">
        <v>140</v>
      </c>
      <c r="F1202" t="s">
        <v>1709</v>
      </c>
      <c r="G1202" t="s">
        <v>24</v>
      </c>
      <c r="H1202" t="s">
        <v>4474</v>
      </c>
      <c r="X1202" s="2">
        <f>IFERROR(VLOOKUP(I1202,'Rate Sheet'!$D:$F,3,FALSE),0)</f>
        <v>0</v>
      </c>
      <c r="Y1202" s="2">
        <f>IFERROR(VLOOKUP(J1202,'Rate Sheet'!$D:$F,3,FALSE),0)</f>
        <v>0</v>
      </c>
      <c r="Z1202" s="2">
        <f>IFERROR(VLOOKUP(K1202,'Rate Sheet'!$D:$F,3,FALSE),0)</f>
        <v>0</v>
      </c>
      <c r="AA1202" s="2">
        <f t="shared" si="19"/>
        <v>0</v>
      </c>
    </row>
    <row r="1203" spans="1:28" x14ac:dyDescent="0.25">
      <c r="A1203" t="s">
        <v>33</v>
      </c>
      <c r="B1203" t="s">
        <v>4475</v>
      </c>
      <c r="C1203" t="s">
        <v>21</v>
      </c>
      <c r="D1203" t="s">
        <v>4475</v>
      </c>
      <c r="E1203" t="s">
        <v>974</v>
      </c>
      <c r="F1203" t="s">
        <v>4476</v>
      </c>
      <c r="G1203" t="s">
        <v>24</v>
      </c>
      <c r="H1203" t="s">
        <v>4477</v>
      </c>
      <c r="I1203" t="s">
        <v>73</v>
      </c>
      <c r="N1203" t="s">
        <v>819</v>
      </c>
      <c r="S1203" t="s">
        <v>75</v>
      </c>
      <c r="V1203" t="s">
        <v>5668</v>
      </c>
      <c r="W1203" t="s">
        <v>5669</v>
      </c>
      <c r="X1203" s="2">
        <f>IFERROR(VLOOKUP(I1203,'Rate Sheet'!$D:$F,3,FALSE),0)</f>
        <v>8.6983333333333324</v>
      </c>
      <c r="Y1203" s="2">
        <f>IFERROR(VLOOKUP(J1203,'Rate Sheet'!$D:$F,3,FALSE),0)</f>
        <v>0</v>
      </c>
      <c r="Z1203" s="2">
        <f>IFERROR(VLOOKUP(K1203,'Rate Sheet'!$D:$F,3,FALSE),0)</f>
        <v>0</v>
      </c>
      <c r="AA1203" s="2">
        <f t="shared" si="19"/>
        <v>8.6983333333333324</v>
      </c>
      <c r="AB1203">
        <v>1</v>
      </c>
    </row>
    <row r="1204" spans="1:28" x14ac:dyDescent="0.25">
      <c r="A1204" t="s">
        <v>33</v>
      </c>
      <c r="B1204" t="s">
        <v>4478</v>
      </c>
      <c r="C1204" t="s">
        <v>21</v>
      </c>
      <c r="D1204" t="s">
        <v>4478</v>
      </c>
      <c r="E1204" t="s">
        <v>2910</v>
      </c>
      <c r="F1204" t="s">
        <v>4479</v>
      </c>
      <c r="G1204" t="s">
        <v>24</v>
      </c>
      <c r="H1204" t="s">
        <v>4480</v>
      </c>
      <c r="I1204" t="s">
        <v>46</v>
      </c>
      <c r="N1204" t="s">
        <v>2975</v>
      </c>
      <c r="S1204" t="s">
        <v>48</v>
      </c>
      <c r="V1204" t="s">
        <v>5737</v>
      </c>
      <c r="W1204" t="s">
        <v>5738</v>
      </c>
      <c r="X1204" s="2">
        <f>IFERROR(VLOOKUP(I1204,'Rate Sheet'!$D:$F,3,FALSE),0)</f>
        <v>14.333333333333334</v>
      </c>
      <c r="Y1204" s="2">
        <f>IFERROR(VLOOKUP(J1204,'Rate Sheet'!$D:$F,3,FALSE),0)</f>
        <v>0</v>
      </c>
      <c r="Z1204" s="2">
        <f>IFERROR(VLOOKUP(K1204,'Rate Sheet'!$D:$F,3,FALSE),0)</f>
        <v>0</v>
      </c>
      <c r="AA1204" s="2">
        <f t="shared" si="19"/>
        <v>14.333333333333334</v>
      </c>
      <c r="AB1204">
        <v>1</v>
      </c>
    </row>
    <row r="1205" spans="1:28" x14ac:dyDescent="0.25">
      <c r="A1205" t="s">
        <v>33</v>
      </c>
      <c r="B1205" t="s">
        <v>4481</v>
      </c>
      <c r="C1205" t="s">
        <v>21</v>
      </c>
      <c r="D1205" t="s">
        <v>4481</v>
      </c>
      <c r="E1205" t="s">
        <v>4482</v>
      </c>
      <c r="F1205" t="s">
        <v>4483</v>
      </c>
      <c r="G1205" t="s">
        <v>24</v>
      </c>
      <c r="H1205" t="s">
        <v>4484</v>
      </c>
      <c r="N1205" t="s">
        <v>309</v>
      </c>
      <c r="X1205" s="2">
        <f>IFERROR(VLOOKUP(I1205,'Rate Sheet'!$D:$F,3,FALSE),0)</f>
        <v>0</v>
      </c>
      <c r="Y1205" s="2">
        <f>IFERROR(VLOOKUP(J1205,'Rate Sheet'!$D:$F,3,FALSE),0)</f>
        <v>0</v>
      </c>
      <c r="Z1205" s="2">
        <f>IFERROR(VLOOKUP(K1205,'Rate Sheet'!$D:$F,3,FALSE),0)</f>
        <v>0</v>
      </c>
      <c r="AA1205" s="2">
        <f t="shared" si="19"/>
        <v>0</v>
      </c>
    </row>
    <row r="1206" spans="1:28" x14ac:dyDescent="0.25">
      <c r="A1206" t="s">
        <v>33</v>
      </c>
      <c r="B1206" t="s">
        <v>4485</v>
      </c>
      <c r="C1206" t="s">
        <v>29</v>
      </c>
      <c r="D1206" t="s">
        <v>4485</v>
      </c>
      <c r="E1206" t="s">
        <v>894</v>
      </c>
      <c r="F1206" t="s">
        <v>1975</v>
      </c>
      <c r="G1206" t="s">
        <v>24</v>
      </c>
      <c r="H1206" t="s">
        <v>4486</v>
      </c>
      <c r="I1206" t="s">
        <v>73</v>
      </c>
      <c r="S1206" t="s">
        <v>75</v>
      </c>
      <c r="V1206" s="10" t="s">
        <v>5766</v>
      </c>
      <c r="W1206" s="10" t="s">
        <v>4159</v>
      </c>
      <c r="X1206" s="2">
        <f>IFERROR(VLOOKUP(I1206,'Rate Sheet'!$D:$F,3,FALSE),0)</f>
        <v>8.6983333333333324</v>
      </c>
      <c r="Y1206" s="2">
        <f>IFERROR(VLOOKUP(J1206,'Rate Sheet'!$D:$F,3,FALSE),0)</f>
        <v>0</v>
      </c>
      <c r="Z1206" s="2">
        <f>IFERROR(VLOOKUP(K1206,'Rate Sheet'!$D:$F,3,FALSE),0)</f>
        <v>0</v>
      </c>
      <c r="AA1206" s="2">
        <f t="shared" si="19"/>
        <v>8.6983333333333324</v>
      </c>
      <c r="AB1206">
        <v>1</v>
      </c>
    </row>
    <row r="1207" spans="1:28" x14ac:dyDescent="0.25">
      <c r="A1207" t="s">
        <v>33</v>
      </c>
      <c r="B1207" t="s">
        <v>4487</v>
      </c>
      <c r="C1207" t="s">
        <v>29</v>
      </c>
      <c r="D1207" t="s">
        <v>4487</v>
      </c>
      <c r="E1207" t="s">
        <v>342</v>
      </c>
      <c r="F1207" t="s">
        <v>4488</v>
      </c>
      <c r="G1207" t="s">
        <v>24</v>
      </c>
      <c r="H1207" t="s">
        <v>4489</v>
      </c>
      <c r="I1207" t="s">
        <v>73</v>
      </c>
      <c r="S1207" t="s">
        <v>75</v>
      </c>
      <c r="V1207" t="s">
        <v>5766</v>
      </c>
      <c r="W1207" t="s">
        <v>4159</v>
      </c>
      <c r="X1207" s="2">
        <f>IFERROR(VLOOKUP(I1207,'Rate Sheet'!$D:$F,3,FALSE),0)</f>
        <v>8.6983333333333324</v>
      </c>
      <c r="Y1207" s="2">
        <f>IFERROR(VLOOKUP(J1207,'Rate Sheet'!$D:$F,3,FALSE),0)</f>
        <v>0</v>
      </c>
      <c r="Z1207" s="2">
        <f>IFERROR(VLOOKUP(K1207,'Rate Sheet'!$D:$F,3,FALSE),0)</f>
        <v>0</v>
      </c>
      <c r="AA1207" s="2">
        <f t="shared" si="19"/>
        <v>8.6983333333333324</v>
      </c>
      <c r="AB1207">
        <v>1</v>
      </c>
    </row>
    <row r="1208" spans="1:28" x14ac:dyDescent="0.25">
      <c r="A1208" t="s">
        <v>33</v>
      </c>
      <c r="B1208" t="s">
        <v>4490</v>
      </c>
      <c r="C1208" t="s">
        <v>21</v>
      </c>
      <c r="D1208" t="s">
        <v>4490</v>
      </c>
      <c r="E1208" t="s">
        <v>1738</v>
      </c>
      <c r="F1208" t="s">
        <v>4491</v>
      </c>
      <c r="G1208" t="s">
        <v>24</v>
      </c>
      <c r="H1208" t="s">
        <v>4492</v>
      </c>
      <c r="I1208" t="s">
        <v>46</v>
      </c>
      <c r="N1208" t="s">
        <v>803</v>
      </c>
      <c r="S1208" t="s">
        <v>48</v>
      </c>
      <c r="V1208" t="s">
        <v>5665</v>
      </c>
      <c r="W1208" t="s">
        <v>803</v>
      </c>
      <c r="X1208" s="2">
        <f>IFERROR(VLOOKUP(I1208,'Rate Sheet'!$D:$F,3,FALSE),0)</f>
        <v>14.333333333333334</v>
      </c>
      <c r="Y1208" s="2">
        <f>IFERROR(VLOOKUP(J1208,'Rate Sheet'!$D:$F,3,FALSE),0)</f>
        <v>0</v>
      </c>
      <c r="Z1208" s="2">
        <f>IFERROR(VLOOKUP(K1208,'Rate Sheet'!$D:$F,3,FALSE),0)</f>
        <v>0</v>
      </c>
      <c r="AA1208" s="2">
        <f t="shared" si="19"/>
        <v>14.333333333333334</v>
      </c>
      <c r="AB1208">
        <v>1</v>
      </c>
    </row>
    <row r="1209" spans="1:28" x14ac:dyDescent="0.25">
      <c r="A1209" t="s">
        <v>33</v>
      </c>
      <c r="B1209" t="s">
        <v>4493</v>
      </c>
      <c r="C1209" t="s">
        <v>21</v>
      </c>
      <c r="D1209" t="s">
        <v>4494</v>
      </c>
      <c r="E1209" t="s">
        <v>131</v>
      </c>
      <c r="F1209" t="s">
        <v>4495</v>
      </c>
      <c r="G1209" t="s">
        <v>24</v>
      </c>
      <c r="H1209" t="s">
        <v>4496</v>
      </c>
      <c r="N1209" t="s">
        <v>349</v>
      </c>
      <c r="X1209" s="2">
        <f>IFERROR(VLOOKUP(I1209,'Rate Sheet'!$D:$F,3,FALSE),0)</f>
        <v>0</v>
      </c>
      <c r="Y1209" s="2">
        <f>IFERROR(VLOOKUP(J1209,'Rate Sheet'!$D:$F,3,FALSE),0)</f>
        <v>0</v>
      </c>
      <c r="Z1209" s="2">
        <f>IFERROR(VLOOKUP(K1209,'Rate Sheet'!$D:$F,3,FALSE),0)</f>
        <v>0</v>
      </c>
      <c r="AA1209" s="2">
        <f t="shared" si="19"/>
        <v>0</v>
      </c>
    </row>
    <row r="1210" spans="1:28" x14ac:dyDescent="0.25">
      <c r="A1210" t="s">
        <v>33</v>
      </c>
      <c r="B1210" t="s">
        <v>4497</v>
      </c>
      <c r="C1210" t="s">
        <v>21</v>
      </c>
      <c r="D1210" t="s">
        <v>4497</v>
      </c>
      <c r="E1210" t="s">
        <v>540</v>
      </c>
      <c r="F1210" t="s">
        <v>168</v>
      </c>
      <c r="G1210" t="s">
        <v>24</v>
      </c>
      <c r="H1210" t="s">
        <v>4498</v>
      </c>
      <c r="I1210" t="s">
        <v>73</v>
      </c>
      <c r="N1210" t="s">
        <v>74</v>
      </c>
      <c r="S1210" t="s">
        <v>75</v>
      </c>
      <c r="V1210" t="s">
        <v>5586</v>
      </c>
      <c r="W1210" t="s">
        <v>5587</v>
      </c>
      <c r="X1210" s="2">
        <f>IFERROR(VLOOKUP(I1210,'Rate Sheet'!$D:$F,3,FALSE),0)</f>
        <v>8.6983333333333324</v>
      </c>
      <c r="Y1210" s="2">
        <f>IFERROR(VLOOKUP(J1210,'Rate Sheet'!$D:$F,3,FALSE),0)</f>
        <v>0</v>
      </c>
      <c r="Z1210" s="2">
        <f>IFERROR(VLOOKUP(K1210,'Rate Sheet'!$D:$F,3,FALSE),0)</f>
        <v>0</v>
      </c>
      <c r="AA1210" s="2">
        <f t="shared" si="19"/>
        <v>8.6983333333333324</v>
      </c>
      <c r="AB1210">
        <v>1</v>
      </c>
    </row>
    <row r="1211" spans="1:28" x14ac:dyDescent="0.25">
      <c r="A1211" t="s">
        <v>33</v>
      </c>
      <c r="B1211" t="s">
        <v>4499</v>
      </c>
      <c r="C1211" t="s">
        <v>21</v>
      </c>
      <c r="D1211" t="s">
        <v>4499</v>
      </c>
      <c r="E1211" t="s">
        <v>3422</v>
      </c>
      <c r="F1211" t="s">
        <v>3153</v>
      </c>
      <c r="G1211" t="s">
        <v>24</v>
      </c>
      <c r="H1211" t="s">
        <v>4500</v>
      </c>
      <c r="N1211" t="s">
        <v>74</v>
      </c>
      <c r="X1211" s="2">
        <f>IFERROR(VLOOKUP(I1211,'Rate Sheet'!$D:$F,3,FALSE),0)</f>
        <v>0</v>
      </c>
      <c r="Y1211" s="2">
        <f>IFERROR(VLOOKUP(J1211,'Rate Sheet'!$D:$F,3,FALSE),0)</f>
        <v>0</v>
      </c>
      <c r="Z1211" s="2">
        <f>IFERROR(VLOOKUP(K1211,'Rate Sheet'!$D:$F,3,FALSE),0)</f>
        <v>0</v>
      </c>
      <c r="AA1211" s="2">
        <f t="shared" si="19"/>
        <v>0</v>
      </c>
    </row>
    <row r="1212" spans="1:28" x14ac:dyDescent="0.25">
      <c r="A1212" t="s">
        <v>33</v>
      </c>
      <c r="B1212" t="s">
        <v>4501</v>
      </c>
      <c r="C1212" t="s">
        <v>21</v>
      </c>
      <c r="D1212" t="s">
        <v>4501</v>
      </c>
      <c r="E1212" t="s">
        <v>4502</v>
      </c>
      <c r="F1212" t="s">
        <v>4503</v>
      </c>
      <c r="G1212" t="s">
        <v>24</v>
      </c>
      <c r="H1212" t="s">
        <v>4504</v>
      </c>
      <c r="I1212" t="s">
        <v>73</v>
      </c>
      <c r="N1212" t="s">
        <v>4302</v>
      </c>
      <c r="S1212" t="s">
        <v>75</v>
      </c>
      <c r="V1212" t="s">
        <v>5742</v>
      </c>
      <c r="W1212" t="s">
        <v>5743</v>
      </c>
      <c r="X1212" s="2">
        <f>IFERROR(VLOOKUP(I1212,'Rate Sheet'!$D:$F,3,FALSE),0)</f>
        <v>8.6983333333333324</v>
      </c>
      <c r="Y1212" s="2">
        <f>IFERROR(VLOOKUP(J1212,'Rate Sheet'!$D:$F,3,FALSE),0)</f>
        <v>0</v>
      </c>
      <c r="Z1212" s="2">
        <f>IFERROR(VLOOKUP(K1212,'Rate Sheet'!$D:$F,3,FALSE),0)</f>
        <v>0</v>
      </c>
      <c r="AA1212" s="2">
        <f t="shared" si="19"/>
        <v>8.6983333333333324</v>
      </c>
      <c r="AB1212">
        <v>1</v>
      </c>
    </row>
    <row r="1213" spans="1:28" x14ac:dyDescent="0.25">
      <c r="A1213" t="s">
        <v>33</v>
      </c>
      <c r="B1213" t="s">
        <v>4505</v>
      </c>
      <c r="C1213" t="s">
        <v>21</v>
      </c>
      <c r="D1213" t="s">
        <v>4505</v>
      </c>
      <c r="E1213" t="s">
        <v>275</v>
      </c>
      <c r="F1213" t="s">
        <v>4506</v>
      </c>
      <c r="G1213" t="s">
        <v>24</v>
      </c>
      <c r="H1213" t="s">
        <v>4507</v>
      </c>
      <c r="I1213" t="s">
        <v>46</v>
      </c>
      <c r="N1213" t="s">
        <v>1042</v>
      </c>
      <c r="S1213" t="s">
        <v>48</v>
      </c>
      <c r="V1213" t="s">
        <v>5683</v>
      </c>
      <c r="W1213" t="s">
        <v>5684</v>
      </c>
      <c r="X1213" s="2">
        <f>IFERROR(VLOOKUP(I1213,'Rate Sheet'!$D:$F,3,FALSE),0)</f>
        <v>14.333333333333334</v>
      </c>
      <c r="Y1213" s="2">
        <f>IFERROR(VLOOKUP(J1213,'Rate Sheet'!$D:$F,3,FALSE),0)</f>
        <v>0</v>
      </c>
      <c r="Z1213" s="2">
        <f>IFERROR(VLOOKUP(K1213,'Rate Sheet'!$D:$F,3,FALSE),0)</f>
        <v>0</v>
      </c>
      <c r="AA1213" s="2">
        <f t="shared" si="19"/>
        <v>14.333333333333334</v>
      </c>
      <c r="AB1213">
        <v>1</v>
      </c>
    </row>
    <row r="1214" spans="1:28" x14ac:dyDescent="0.25">
      <c r="A1214" t="s">
        <v>33</v>
      </c>
      <c r="B1214" t="s">
        <v>4508</v>
      </c>
      <c r="C1214" t="s">
        <v>21</v>
      </c>
      <c r="D1214" t="s">
        <v>4508</v>
      </c>
      <c r="E1214" t="s">
        <v>894</v>
      </c>
      <c r="F1214" t="s">
        <v>895</v>
      </c>
      <c r="G1214" t="s">
        <v>24</v>
      </c>
      <c r="H1214" t="s">
        <v>4509</v>
      </c>
      <c r="X1214" s="2">
        <f>IFERROR(VLOOKUP(I1214,'Rate Sheet'!$D:$F,3,FALSE),0)</f>
        <v>0</v>
      </c>
      <c r="Y1214" s="2">
        <f>IFERROR(VLOOKUP(J1214,'Rate Sheet'!$D:$F,3,FALSE),0)</f>
        <v>0</v>
      </c>
      <c r="Z1214" s="2">
        <f>IFERROR(VLOOKUP(K1214,'Rate Sheet'!$D:$F,3,FALSE),0)</f>
        <v>0</v>
      </c>
      <c r="AA1214" s="2">
        <f t="shared" si="19"/>
        <v>0</v>
      </c>
    </row>
    <row r="1215" spans="1:28" x14ac:dyDescent="0.25">
      <c r="A1215" t="s">
        <v>33</v>
      </c>
      <c r="B1215" t="s">
        <v>4510</v>
      </c>
      <c r="C1215" t="s">
        <v>21</v>
      </c>
      <c r="D1215" t="s">
        <v>4510</v>
      </c>
      <c r="E1215" t="s">
        <v>598</v>
      </c>
      <c r="F1215" t="s">
        <v>4511</v>
      </c>
      <c r="G1215" t="s">
        <v>24</v>
      </c>
      <c r="H1215" t="s">
        <v>4512</v>
      </c>
      <c r="N1215" t="s">
        <v>2975</v>
      </c>
      <c r="X1215" s="2">
        <f>IFERROR(VLOOKUP(I1215,'Rate Sheet'!$D:$F,3,FALSE),0)</f>
        <v>0</v>
      </c>
      <c r="Y1215" s="2">
        <f>IFERROR(VLOOKUP(J1215,'Rate Sheet'!$D:$F,3,FALSE),0)</f>
        <v>0</v>
      </c>
      <c r="Z1215" s="2">
        <f>IFERROR(VLOOKUP(K1215,'Rate Sheet'!$D:$F,3,FALSE),0)</f>
        <v>0</v>
      </c>
      <c r="AA1215" s="2">
        <f t="shared" si="19"/>
        <v>0</v>
      </c>
    </row>
    <row r="1216" spans="1:28" x14ac:dyDescent="0.25">
      <c r="A1216" t="s">
        <v>33</v>
      </c>
      <c r="B1216" t="s">
        <v>4513</v>
      </c>
      <c r="C1216" t="s">
        <v>21</v>
      </c>
      <c r="D1216" t="s">
        <v>4513</v>
      </c>
      <c r="E1216" t="s">
        <v>126</v>
      </c>
      <c r="F1216" t="s">
        <v>4514</v>
      </c>
      <c r="G1216" t="s">
        <v>24</v>
      </c>
      <c r="H1216" t="s">
        <v>4515</v>
      </c>
      <c r="I1216" t="s">
        <v>46</v>
      </c>
      <c r="N1216" t="s">
        <v>4516</v>
      </c>
      <c r="S1216" t="s">
        <v>48</v>
      </c>
      <c r="V1216" t="s">
        <v>5773</v>
      </c>
      <c r="W1216" t="s">
        <v>5774</v>
      </c>
      <c r="X1216" s="2">
        <f>IFERROR(VLOOKUP(I1216,'Rate Sheet'!$D:$F,3,FALSE),0)</f>
        <v>14.333333333333334</v>
      </c>
      <c r="Y1216" s="2">
        <f>IFERROR(VLOOKUP(J1216,'Rate Sheet'!$D:$F,3,FALSE),0)</f>
        <v>0</v>
      </c>
      <c r="Z1216" s="2">
        <f>IFERROR(VLOOKUP(K1216,'Rate Sheet'!$D:$F,3,FALSE),0)</f>
        <v>0</v>
      </c>
      <c r="AA1216" s="2">
        <f t="shared" si="19"/>
        <v>14.333333333333334</v>
      </c>
      <c r="AB1216">
        <v>1</v>
      </c>
    </row>
    <row r="1217" spans="1:28" x14ac:dyDescent="0.25">
      <c r="A1217" t="s">
        <v>33</v>
      </c>
      <c r="B1217" t="s">
        <v>4517</v>
      </c>
      <c r="C1217" t="s">
        <v>21</v>
      </c>
      <c r="D1217" t="s">
        <v>4517</v>
      </c>
      <c r="E1217" t="s">
        <v>3166</v>
      </c>
      <c r="F1217" t="s">
        <v>4518</v>
      </c>
      <c r="G1217" t="s">
        <v>24</v>
      </c>
      <c r="H1217" t="s">
        <v>4519</v>
      </c>
      <c r="I1217" t="s">
        <v>46</v>
      </c>
      <c r="N1217" t="s">
        <v>2975</v>
      </c>
      <c r="S1217" t="s">
        <v>48</v>
      </c>
      <c r="V1217" t="s">
        <v>5737</v>
      </c>
      <c r="W1217" t="s">
        <v>5738</v>
      </c>
      <c r="X1217" s="2">
        <f>IFERROR(VLOOKUP(I1217,'Rate Sheet'!$D:$F,3,FALSE),0)</f>
        <v>14.333333333333334</v>
      </c>
      <c r="Y1217" s="2">
        <f>IFERROR(VLOOKUP(J1217,'Rate Sheet'!$D:$F,3,FALSE),0)</f>
        <v>0</v>
      </c>
      <c r="Z1217" s="2">
        <f>IFERROR(VLOOKUP(K1217,'Rate Sheet'!$D:$F,3,FALSE),0)</f>
        <v>0</v>
      </c>
      <c r="AA1217" s="2">
        <f t="shared" si="19"/>
        <v>14.333333333333334</v>
      </c>
      <c r="AB1217">
        <v>1</v>
      </c>
    </row>
    <row r="1218" spans="1:28" x14ac:dyDescent="0.25">
      <c r="A1218" t="s">
        <v>33</v>
      </c>
      <c r="B1218" t="s">
        <v>4520</v>
      </c>
      <c r="C1218" t="s">
        <v>21</v>
      </c>
      <c r="D1218" t="s">
        <v>4520</v>
      </c>
      <c r="E1218" t="s">
        <v>3166</v>
      </c>
      <c r="F1218" t="s">
        <v>4521</v>
      </c>
      <c r="G1218" t="s">
        <v>24</v>
      </c>
      <c r="H1218" t="s">
        <v>4522</v>
      </c>
      <c r="I1218" t="s">
        <v>46</v>
      </c>
      <c r="N1218" t="s">
        <v>2975</v>
      </c>
      <c r="S1218" t="s">
        <v>48</v>
      </c>
      <c r="V1218" t="s">
        <v>5708</v>
      </c>
      <c r="W1218" t="s">
        <v>5709</v>
      </c>
      <c r="X1218" s="2">
        <f>IFERROR(VLOOKUP(I1218,'Rate Sheet'!$D:$F,3,FALSE),0)</f>
        <v>14.333333333333334</v>
      </c>
      <c r="Y1218" s="2">
        <f>IFERROR(VLOOKUP(J1218,'Rate Sheet'!$D:$F,3,FALSE),0)</f>
        <v>0</v>
      </c>
      <c r="Z1218" s="2">
        <f>IFERROR(VLOOKUP(K1218,'Rate Sheet'!$D:$F,3,FALSE),0)</f>
        <v>0</v>
      </c>
      <c r="AA1218" s="2">
        <f t="shared" si="19"/>
        <v>14.333333333333334</v>
      </c>
      <c r="AB1218">
        <v>1</v>
      </c>
    </row>
    <row r="1219" spans="1:28" x14ac:dyDescent="0.25">
      <c r="A1219" t="s">
        <v>33</v>
      </c>
      <c r="B1219" t="s">
        <v>4523</v>
      </c>
      <c r="C1219" t="s">
        <v>21</v>
      </c>
      <c r="D1219" t="s">
        <v>4523</v>
      </c>
      <c r="E1219" t="s">
        <v>449</v>
      </c>
      <c r="F1219" t="s">
        <v>4524</v>
      </c>
      <c r="G1219" t="s">
        <v>24</v>
      </c>
      <c r="H1219" t="s">
        <v>4525</v>
      </c>
      <c r="X1219" s="2">
        <f>IFERROR(VLOOKUP(I1219,'Rate Sheet'!$D:$F,3,FALSE),0)</f>
        <v>0</v>
      </c>
      <c r="Y1219" s="2">
        <f>IFERROR(VLOOKUP(J1219,'Rate Sheet'!$D:$F,3,FALSE),0)</f>
        <v>0</v>
      </c>
      <c r="Z1219" s="2">
        <f>IFERROR(VLOOKUP(K1219,'Rate Sheet'!$D:$F,3,FALSE),0)</f>
        <v>0</v>
      </c>
      <c r="AA1219" s="2">
        <f t="shared" si="19"/>
        <v>0</v>
      </c>
    </row>
    <row r="1220" spans="1:28" x14ac:dyDescent="0.25">
      <c r="A1220" t="s">
        <v>33</v>
      </c>
      <c r="B1220" t="s">
        <v>4526</v>
      </c>
      <c r="C1220" t="s">
        <v>29</v>
      </c>
      <c r="D1220" t="s">
        <v>4526</v>
      </c>
      <c r="E1220" t="s">
        <v>4527</v>
      </c>
      <c r="F1220" t="s">
        <v>4528</v>
      </c>
      <c r="G1220" t="s">
        <v>24</v>
      </c>
      <c r="H1220" t="s">
        <v>4529</v>
      </c>
      <c r="X1220" s="2">
        <f>IFERROR(VLOOKUP(I1220,'Rate Sheet'!$D:$F,3,FALSE),0)</f>
        <v>0</v>
      </c>
      <c r="Y1220" s="2">
        <f>IFERROR(VLOOKUP(J1220,'Rate Sheet'!$D:$F,3,FALSE),0)</f>
        <v>0</v>
      </c>
      <c r="Z1220" s="2">
        <f>IFERROR(VLOOKUP(K1220,'Rate Sheet'!$D:$F,3,FALSE),0)</f>
        <v>0</v>
      </c>
      <c r="AA1220" s="2">
        <f t="shared" si="19"/>
        <v>0</v>
      </c>
    </row>
    <row r="1221" spans="1:28" x14ac:dyDescent="0.25">
      <c r="A1221" t="s">
        <v>33</v>
      </c>
      <c r="B1221" t="s">
        <v>4530</v>
      </c>
      <c r="C1221" t="s">
        <v>21</v>
      </c>
      <c r="D1221" t="s">
        <v>4531</v>
      </c>
      <c r="E1221" t="s">
        <v>3166</v>
      </c>
      <c r="F1221" t="s">
        <v>4532</v>
      </c>
      <c r="G1221" t="s">
        <v>24</v>
      </c>
      <c r="H1221" t="s">
        <v>4533</v>
      </c>
      <c r="I1221" t="s">
        <v>46</v>
      </c>
      <c r="N1221" t="s">
        <v>507</v>
      </c>
      <c r="S1221" t="s">
        <v>48</v>
      </c>
      <c r="V1221" t="s">
        <v>5645</v>
      </c>
      <c r="W1221" t="s">
        <v>507</v>
      </c>
      <c r="X1221" s="2">
        <f>IFERROR(VLOOKUP(I1221,'Rate Sheet'!$D:$F,3,FALSE),0)</f>
        <v>14.333333333333334</v>
      </c>
      <c r="Y1221" s="2">
        <f>IFERROR(VLOOKUP(J1221,'Rate Sheet'!$D:$F,3,FALSE),0)</f>
        <v>0</v>
      </c>
      <c r="Z1221" s="2">
        <f>IFERROR(VLOOKUP(K1221,'Rate Sheet'!$D:$F,3,FALSE),0)</f>
        <v>0</v>
      </c>
      <c r="AA1221" s="2">
        <f t="shared" si="19"/>
        <v>14.333333333333334</v>
      </c>
      <c r="AB1221">
        <v>1</v>
      </c>
    </row>
    <row r="1222" spans="1:28" x14ac:dyDescent="0.25">
      <c r="A1222" t="s">
        <v>33</v>
      </c>
      <c r="B1222" t="s">
        <v>4534</v>
      </c>
      <c r="C1222" t="s">
        <v>29</v>
      </c>
      <c r="D1222" t="s">
        <v>4534</v>
      </c>
      <c r="E1222" t="s">
        <v>4535</v>
      </c>
      <c r="F1222" t="s">
        <v>3863</v>
      </c>
      <c r="G1222" t="s">
        <v>24</v>
      </c>
      <c r="H1222" t="s">
        <v>4536</v>
      </c>
      <c r="X1222" s="2">
        <f>IFERROR(VLOOKUP(I1222,'Rate Sheet'!$D:$F,3,FALSE),0)</f>
        <v>0</v>
      </c>
      <c r="Y1222" s="2">
        <f>IFERROR(VLOOKUP(J1222,'Rate Sheet'!$D:$F,3,FALSE),0)</f>
        <v>0</v>
      </c>
      <c r="Z1222" s="2">
        <f>IFERROR(VLOOKUP(K1222,'Rate Sheet'!$D:$F,3,FALSE),0)</f>
        <v>0</v>
      </c>
      <c r="AA1222" s="2">
        <f t="shared" si="19"/>
        <v>0</v>
      </c>
    </row>
    <row r="1223" spans="1:28" x14ac:dyDescent="0.25">
      <c r="A1223" t="s">
        <v>33</v>
      </c>
      <c r="B1223" t="s">
        <v>4537</v>
      </c>
      <c r="C1223" t="s">
        <v>21</v>
      </c>
      <c r="D1223" t="s">
        <v>4537</v>
      </c>
      <c r="E1223" t="s">
        <v>1275</v>
      </c>
      <c r="F1223" t="s">
        <v>384</v>
      </c>
      <c r="G1223" t="s">
        <v>24</v>
      </c>
      <c r="H1223" s="1" t="s">
        <v>4538</v>
      </c>
      <c r="I1223" t="s">
        <v>73</v>
      </c>
      <c r="N1223" t="s">
        <v>273</v>
      </c>
      <c r="S1223" t="s">
        <v>75</v>
      </c>
      <c r="V1223" t="s">
        <v>5621</v>
      </c>
      <c r="W1223" t="s">
        <v>5622</v>
      </c>
      <c r="X1223" s="2">
        <f>IFERROR(VLOOKUP(I1223,'Rate Sheet'!$D:$F,3,FALSE),0)</f>
        <v>8.6983333333333324</v>
      </c>
      <c r="Y1223" s="2">
        <f>IFERROR(VLOOKUP(J1223,'Rate Sheet'!$D:$F,3,FALSE),0)</f>
        <v>0</v>
      </c>
      <c r="Z1223" s="2">
        <f>IFERROR(VLOOKUP(K1223,'Rate Sheet'!$D:$F,3,FALSE),0)</f>
        <v>0</v>
      </c>
      <c r="AA1223" s="2">
        <f t="shared" si="19"/>
        <v>8.6983333333333324</v>
      </c>
      <c r="AB1223">
        <v>1</v>
      </c>
    </row>
    <row r="1224" spans="1:28" x14ac:dyDescent="0.25">
      <c r="A1224" t="s">
        <v>33</v>
      </c>
      <c r="B1224" t="s">
        <v>4539</v>
      </c>
      <c r="C1224" t="s">
        <v>21</v>
      </c>
      <c r="D1224" t="s">
        <v>4539</v>
      </c>
      <c r="E1224" t="s">
        <v>979</v>
      </c>
      <c r="F1224" t="s">
        <v>4540</v>
      </c>
      <c r="G1224" t="s">
        <v>24</v>
      </c>
      <c r="H1224" t="s">
        <v>4541</v>
      </c>
      <c r="I1224" t="s">
        <v>73</v>
      </c>
      <c r="N1224" t="s">
        <v>273</v>
      </c>
      <c r="S1224" t="s">
        <v>75</v>
      </c>
      <c r="V1224" t="s">
        <v>5621</v>
      </c>
      <c r="W1224" t="s">
        <v>5622</v>
      </c>
      <c r="X1224" s="2">
        <f>IFERROR(VLOOKUP(I1224,'Rate Sheet'!$D:$F,3,FALSE),0)</f>
        <v>8.6983333333333324</v>
      </c>
      <c r="Y1224" s="2">
        <f>IFERROR(VLOOKUP(J1224,'Rate Sheet'!$D:$F,3,FALSE),0)</f>
        <v>0</v>
      </c>
      <c r="Z1224" s="2">
        <f>IFERROR(VLOOKUP(K1224,'Rate Sheet'!$D:$F,3,FALSE),0)</f>
        <v>0</v>
      </c>
      <c r="AA1224" s="2">
        <f t="shared" si="19"/>
        <v>8.6983333333333324</v>
      </c>
      <c r="AB1224">
        <v>1</v>
      </c>
    </row>
    <row r="1225" spans="1:28" x14ac:dyDescent="0.25">
      <c r="A1225" t="s">
        <v>33</v>
      </c>
      <c r="B1225" t="s">
        <v>4542</v>
      </c>
      <c r="C1225" t="s">
        <v>21</v>
      </c>
      <c r="D1225" t="s">
        <v>4542</v>
      </c>
      <c r="E1225" t="s">
        <v>4543</v>
      </c>
      <c r="F1225" t="s">
        <v>4544</v>
      </c>
      <c r="G1225" t="s">
        <v>24</v>
      </c>
      <c r="H1225" t="s">
        <v>4545</v>
      </c>
      <c r="I1225" t="s">
        <v>882</v>
      </c>
      <c r="J1225" t="s">
        <v>5562</v>
      </c>
      <c r="N1225" t="s">
        <v>4547</v>
      </c>
      <c r="S1225" t="s">
        <v>4548</v>
      </c>
      <c r="V1225" t="s">
        <v>5632</v>
      </c>
      <c r="W1225" t="s">
        <v>5633</v>
      </c>
      <c r="X1225" s="2">
        <f>IFERROR(VLOOKUP(I1225,'Rate Sheet'!$D:$F,3,FALSE),0)</f>
        <v>35.979166666666664</v>
      </c>
      <c r="Y1225" s="2">
        <f>IFERROR(VLOOKUP(J1225,'Rate Sheet'!$D:$F,3,FALSE),0)</f>
        <v>34.873750000000001</v>
      </c>
      <c r="Z1225" s="2">
        <f>IFERROR(VLOOKUP(K1225,'Rate Sheet'!$D:$F,3,FALSE),0)</f>
        <v>0</v>
      </c>
      <c r="AA1225" s="2">
        <f t="shared" si="19"/>
        <v>70.852916666666658</v>
      </c>
      <c r="AB1225">
        <v>1</v>
      </c>
    </row>
    <row r="1226" spans="1:28" x14ac:dyDescent="0.25">
      <c r="A1226" t="s">
        <v>33</v>
      </c>
      <c r="B1226" t="s">
        <v>4549</v>
      </c>
      <c r="C1226" t="s">
        <v>21</v>
      </c>
      <c r="D1226" t="s">
        <v>4549</v>
      </c>
      <c r="E1226" t="s">
        <v>4550</v>
      </c>
      <c r="F1226" t="s">
        <v>4551</v>
      </c>
      <c r="G1226" t="s">
        <v>24</v>
      </c>
      <c r="H1226" t="s">
        <v>4552</v>
      </c>
      <c r="X1226" s="2">
        <f>IFERROR(VLOOKUP(I1226,'Rate Sheet'!$D:$F,3,FALSE),0)</f>
        <v>0</v>
      </c>
      <c r="Y1226" s="2">
        <f>IFERROR(VLOOKUP(J1226,'Rate Sheet'!$D:$F,3,FALSE),0)</f>
        <v>0</v>
      </c>
      <c r="Z1226" s="2">
        <f>IFERROR(VLOOKUP(K1226,'Rate Sheet'!$D:$F,3,FALSE),0)</f>
        <v>0</v>
      </c>
      <c r="AA1226" s="2">
        <f t="shared" si="19"/>
        <v>0</v>
      </c>
    </row>
    <row r="1227" spans="1:28" x14ac:dyDescent="0.25">
      <c r="A1227" t="s">
        <v>33</v>
      </c>
      <c r="B1227" t="s">
        <v>4553</v>
      </c>
      <c r="C1227" t="s">
        <v>21</v>
      </c>
      <c r="D1227" t="s">
        <v>4553</v>
      </c>
      <c r="E1227" t="s">
        <v>3405</v>
      </c>
      <c r="F1227" t="s">
        <v>4554</v>
      </c>
      <c r="G1227" t="s">
        <v>24</v>
      </c>
      <c r="H1227" t="s">
        <v>4555</v>
      </c>
      <c r="I1227" t="s">
        <v>46</v>
      </c>
      <c r="N1227" t="s">
        <v>53</v>
      </c>
      <c r="S1227" t="s">
        <v>48</v>
      </c>
      <c r="V1227" t="s">
        <v>5580</v>
      </c>
      <c r="W1227" t="s">
        <v>5581</v>
      </c>
      <c r="X1227" s="2">
        <f>IFERROR(VLOOKUP(I1227,'Rate Sheet'!$D:$F,3,FALSE),0)</f>
        <v>14.333333333333334</v>
      </c>
      <c r="Y1227" s="2">
        <f>IFERROR(VLOOKUP(J1227,'Rate Sheet'!$D:$F,3,FALSE),0)</f>
        <v>0</v>
      </c>
      <c r="Z1227" s="2">
        <f>IFERROR(VLOOKUP(K1227,'Rate Sheet'!$D:$F,3,FALSE),0)</f>
        <v>0</v>
      </c>
      <c r="AA1227" s="2">
        <f t="shared" si="19"/>
        <v>14.333333333333334</v>
      </c>
      <c r="AB1227">
        <v>1</v>
      </c>
    </row>
    <row r="1228" spans="1:28" x14ac:dyDescent="0.25">
      <c r="A1228" t="s">
        <v>33</v>
      </c>
      <c r="B1228" t="s">
        <v>4556</v>
      </c>
      <c r="C1228" t="s">
        <v>21</v>
      </c>
      <c r="D1228" t="s">
        <v>4556</v>
      </c>
      <c r="E1228" t="s">
        <v>4557</v>
      </c>
      <c r="F1228" t="s">
        <v>4558</v>
      </c>
      <c r="G1228" t="s">
        <v>24</v>
      </c>
      <c r="H1228" t="s">
        <v>4559</v>
      </c>
      <c r="I1228" t="s">
        <v>73</v>
      </c>
      <c r="N1228" t="s">
        <v>4302</v>
      </c>
      <c r="S1228" t="s">
        <v>75</v>
      </c>
      <c r="V1228" t="s">
        <v>5742</v>
      </c>
      <c r="W1228" t="s">
        <v>5743</v>
      </c>
      <c r="X1228" s="2">
        <f>IFERROR(VLOOKUP(I1228,'Rate Sheet'!$D:$F,3,FALSE),0)</f>
        <v>8.6983333333333324</v>
      </c>
      <c r="Y1228" s="2">
        <f>IFERROR(VLOOKUP(J1228,'Rate Sheet'!$D:$F,3,FALSE),0)</f>
        <v>0</v>
      </c>
      <c r="Z1228" s="2">
        <f>IFERROR(VLOOKUP(K1228,'Rate Sheet'!$D:$F,3,FALSE),0)</f>
        <v>0</v>
      </c>
      <c r="AA1228" s="2">
        <f t="shared" si="19"/>
        <v>8.6983333333333324</v>
      </c>
      <c r="AB1228">
        <v>1</v>
      </c>
    </row>
    <row r="1229" spans="1:28" x14ac:dyDescent="0.25">
      <c r="A1229" t="s">
        <v>33</v>
      </c>
      <c r="B1229" t="s">
        <v>4560</v>
      </c>
      <c r="C1229" t="s">
        <v>21</v>
      </c>
      <c r="D1229" t="s">
        <v>4560</v>
      </c>
      <c r="E1229" t="s">
        <v>1557</v>
      </c>
      <c r="F1229" t="s">
        <v>4561</v>
      </c>
      <c r="G1229" t="s">
        <v>24</v>
      </c>
      <c r="H1229" t="s">
        <v>4562</v>
      </c>
      <c r="I1229" t="s">
        <v>73</v>
      </c>
      <c r="N1229" t="s">
        <v>389</v>
      </c>
      <c r="S1229" t="s">
        <v>75</v>
      </c>
      <c r="V1229" t="s">
        <v>5640</v>
      </c>
      <c r="W1229" t="s">
        <v>5641</v>
      </c>
      <c r="X1229" s="2">
        <f>IFERROR(VLOOKUP(I1229,'Rate Sheet'!$D:$F,3,FALSE),0)</f>
        <v>8.6983333333333324</v>
      </c>
      <c r="Y1229" s="2">
        <f>IFERROR(VLOOKUP(J1229,'Rate Sheet'!$D:$F,3,FALSE),0)</f>
        <v>0</v>
      </c>
      <c r="Z1229" s="2">
        <f>IFERROR(VLOOKUP(K1229,'Rate Sheet'!$D:$F,3,FALSE),0)</f>
        <v>0</v>
      </c>
      <c r="AA1229" s="2">
        <f t="shared" si="19"/>
        <v>8.6983333333333324</v>
      </c>
      <c r="AB1229">
        <v>1</v>
      </c>
    </row>
    <row r="1230" spans="1:28" x14ac:dyDescent="0.25">
      <c r="A1230" t="s">
        <v>33</v>
      </c>
      <c r="B1230" t="s">
        <v>4563</v>
      </c>
      <c r="C1230" t="s">
        <v>21</v>
      </c>
      <c r="D1230" t="s">
        <v>4563</v>
      </c>
      <c r="E1230" t="s">
        <v>178</v>
      </c>
      <c r="F1230" t="s">
        <v>4564</v>
      </c>
      <c r="G1230" t="s">
        <v>24</v>
      </c>
      <c r="H1230" t="s">
        <v>4565</v>
      </c>
      <c r="I1230" t="s">
        <v>73</v>
      </c>
      <c r="N1230" t="s">
        <v>108</v>
      </c>
      <c r="S1230" t="s">
        <v>75</v>
      </c>
      <c r="V1230" t="s">
        <v>5595</v>
      </c>
      <c r="W1230" t="s">
        <v>108</v>
      </c>
      <c r="X1230" s="2">
        <f>IFERROR(VLOOKUP(I1230,'Rate Sheet'!$D:$F,3,FALSE),0)</f>
        <v>8.6983333333333324</v>
      </c>
      <c r="Y1230" s="2">
        <f>IFERROR(VLOOKUP(J1230,'Rate Sheet'!$D:$F,3,FALSE),0)</f>
        <v>0</v>
      </c>
      <c r="Z1230" s="2">
        <f>IFERROR(VLOOKUP(K1230,'Rate Sheet'!$D:$F,3,FALSE),0)</f>
        <v>0</v>
      </c>
      <c r="AA1230" s="2">
        <f t="shared" si="19"/>
        <v>8.6983333333333324</v>
      </c>
      <c r="AB1230">
        <v>1</v>
      </c>
    </row>
    <row r="1231" spans="1:28" x14ac:dyDescent="0.25">
      <c r="A1231" t="s">
        <v>33</v>
      </c>
      <c r="B1231" t="s">
        <v>4566</v>
      </c>
      <c r="C1231" t="s">
        <v>21</v>
      </c>
      <c r="D1231" t="s">
        <v>4566</v>
      </c>
      <c r="E1231" t="s">
        <v>4567</v>
      </c>
      <c r="F1231" t="s">
        <v>4568</v>
      </c>
      <c r="G1231" t="s">
        <v>24</v>
      </c>
      <c r="H1231" t="s">
        <v>4569</v>
      </c>
      <c r="I1231" t="s">
        <v>73</v>
      </c>
      <c r="N1231" t="s">
        <v>1013</v>
      </c>
      <c r="S1231" t="s">
        <v>75</v>
      </c>
      <c r="V1231" t="s">
        <v>5701</v>
      </c>
      <c r="W1231" t="s">
        <v>1013</v>
      </c>
      <c r="X1231" s="2">
        <f>IFERROR(VLOOKUP(I1231,'Rate Sheet'!$D:$F,3,FALSE),0)</f>
        <v>8.6983333333333324</v>
      </c>
      <c r="Y1231" s="2">
        <f>IFERROR(VLOOKUP(J1231,'Rate Sheet'!$D:$F,3,FALSE),0)</f>
        <v>0</v>
      </c>
      <c r="Z1231" s="2">
        <f>IFERROR(VLOOKUP(K1231,'Rate Sheet'!$D:$F,3,FALSE),0)</f>
        <v>0</v>
      </c>
      <c r="AA1231" s="2">
        <f t="shared" si="19"/>
        <v>8.6983333333333324</v>
      </c>
      <c r="AB1231">
        <v>1</v>
      </c>
    </row>
    <row r="1232" spans="1:28" x14ac:dyDescent="0.25">
      <c r="A1232" t="s">
        <v>33</v>
      </c>
      <c r="B1232" t="s">
        <v>4570</v>
      </c>
      <c r="C1232" t="s">
        <v>29</v>
      </c>
      <c r="D1232" t="s">
        <v>4571</v>
      </c>
      <c r="E1232" t="s">
        <v>1766</v>
      </c>
      <c r="F1232" t="s">
        <v>1069</v>
      </c>
      <c r="G1232" t="s">
        <v>24</v>
      </c>
      <c r="H1232" t="s">
        <v>4572</v>
      </c>
      <c r="I1232" t="s">
        <v>46</v>
      </c>
      <c r="N1232" t="s">
        <v>517</v>
      </c>
      <c r="S1232" t="s">
        <v>48</v>
      </c>
      <c r="V1232" s="10" t="s">
        <v>5682</v>
      </c>
      <c r="W1232" s="10" t="s">
        <v>517</v>
      </c>
      <c r="X1232" s="2">
        <f>IFERROR(VLOOKUP(I1232,'Rate Sheet'!$D:$F,3,FALSE),0)</f>
        <v>14.333333333333334</v>
      </c>
      <c r="Y1232" s="2">
        <f>IFERROR(VLOOKUP(J1232,'Rate Sheet'!$D:$F,3,FALSE),0)</f>
        <v>0</v>
      </c>
      <c r="Z1232" s="2">
        <f>IFERROR(VLOOKUP(K1232,'Rate Sheet'!$D:$F,3,FALSE),0)</f>
        <v>0</v>
      </c>
      <c r="AA1232" s="2">
        <f t="shared" si="19"/>
        <v>14.333333333333334</v>
      </c>
      <c r="AB1232">
        <v>1</v>
      </c>
    </row>
    <row r="1233" spans="1:28" x14ac:dyDescent="0.25">
      <c r="A1233" t="s">
        <v>33</v>
      </c>
      <c r="B1233" t="s">
        <v>4573</v>
      </c>
      <c r="C1233" t="s">
        <v>21</v>
      </c>
      <c r="D1233" t="s">
        <v>4573</v>
      </c>
      <c r="E1233" t="s">
        <v>3883</v>
      </c>
      <c r="F1233" t="s">
        <v>4574</v>
      </c>
      <c r="G1233" t="s">
        <v>24</v>
      </c>
      <c r="H1233" t="s">
        <v>4575</v>
      </c>
      <c r="X1233" s="2">
        <f>IFERROR(VLOOKUP(I1233,'Rate Sheet'!$D:$F,3,FALSE),0)</f>
        <v>0</v>
      </c>
      <c r="Y1233" s="2">
        <f>IFERROR(VLOOKUP(J1233,'Rate Sheet'!$D:$F,3,FALSE),0)</f>
        <v>0</v>
      </c>
      <c r="Z1233" s="2">
        <f>IFERROR(VLOOKUP(K1233,'Rate Sheet'!$D:$F,3,FALSE),0)</f>
        <v>0</v>
      </c>
      <c r="AA1233" s="2">
        <f t="shared" si="19"/>
        <v>0</v>
      </c>
    </row>
    <row r="1234" spans="1:28" x14ac:dyDescent="0.25">
      <c r="A1234" t="s">
        <v>33</v>
      </c>
      <c r="B1234" t="s">
        <v>4576</v>
      </c>
      <c r="C1234" t="s">
        <v>21</v>
      </c>
      <c r="D1234" t="s">
        <v>4576</v>
      </c>
      <c r="E1234" t="s">
        <v>4577</v>
      </c>
      <c r="F1234" t="s">
        <v>4578</v>
      </c>
      <c r="G1234" t="s">
        <v>24</v>
      </c>
      <c r="H1234" t="s">
        <v>4579</v>
      </c>
      <c r="X1234" s="2">
        <f>IFERROR(VLOOKUP(I1234,'Rate Sheet'!$D:$F,3,FALSE),0)</f>
        <v>0</v>
      </c>
      <c r="Y1234" s="2">
        <f>IFERROR(VLOOKUP(J1234,'Rate Sheet'!$D:$F,3,FALSE),0)</f>
        <v>0</v>
      </c>
      <c r="Z1234" s="2">
        <f>IFERROR(VLOOKUP(K1234,'Rate Sheet'!$D:$F,3,FALSE),0)</f>
        <v>0</v>
      </c>
      <c r="AA1234" s="2">
        <f t="shared" si="19"/>
        <v>0</v>
      </c>
    </row>
    <row r="1235" spans="1:28" x14ac:dyDescent="0.25">
      <c r="A1235" t="s">
        <v>33</v>
      </c>
      <c r="B1235" t="s">
        <v>4580</v>
      </c>
      <c r="C1235" t="s">
        <v>21</v>
      </c>
      <c r="D1235" t="s">
        <v>4580</v>
      </c>
      <c r="E1235" t="s">
        <v>363</v>
      </c>
      <c r="F1235" t="s">
        <v>826</v>
      </c>
      <c r="G1235" t="s">
        <v>24</v>
      </c>
      <c r="H1235" t="s">
        <v>4581</v>
      </c>
      <c r="X1235" s="2">
        <f>IFERROR(VLOOKUP(I1235,'Rate Sheet'!$D:$F,3,FALSE),0)</f>
        <v>0</v>
      </c>
      <c r="Y1235" s="2">
        <f>IFERROR(VLOOKUP(J1235,'Rate Sheet'!$D:$F,3,FALSE),0)</f>
        <v>0</v>
      </c>
      <c r="Z1235" s="2">
        <f>IFERROR(VLOOKUP(K1235,'Rate Sheet'!$D:$F,3,FALSE),0)</f>
        <v>0</v>
      </c>
      <c r="AA1235" s="2">
        <f t="shared" si="19"/>
        <v>0</v>
      </c>
    </row>
    <row r="1236" spans="1:28" x14ac:dyDescent="0.25">
      <c r="A1236" t="s">
        <v>33</v>
      </c>
      <c r="B1236" t="s">
        <v>4582</v>
      </c>
      <c r="C1236" t="s">
        <v>21</v>
      </c>
      <c r="D1236" t="s">
        <v>4582</v>
      </c>
      <c r="E1236" t="s">
        <v>342</v>
      </c>
      <c r="F1236" t="s">
        <v>4583</v>
      </c>
      <c r="G1236" t="s">
        <v>24</v>
      </c>
      <c r="H1236" t="s">
        <v>4584</v>
      </c>
      <c r="I1236" t="s">
        <v>46</v>
      </c>
      <c r="N1236" t="s">
        <v>4585</v>
      </c>
      <c r="S1236" t="s">
        <v>48</v>
      </c>
      <c r="V1236" t="s">
        <v>5769</v>
      </c>
      <c r="W1236" t="s">
        <v>5770</v>
      </c>
      <c r="X1236" s="2">
        <f>IFERROR(VLOOKUP(I1236,'Rate Sheet'!$D:$F,3,FALSE),0)</f>
        <v>14.333333333333334</v>
      </c>
      <c r="Y1236" s="2">
        <f>IFERROR(VLOOKUP(J1236,'Rate Sheet'!$D:$F,3,FALSE),0)</f>
        <v>0</v>
      </c>
      <c r="Z1236" s="2">
        <f>IFERROR(VLOOKUP(K1236,'Rate Sheet'!$D:$F,3,FALSE),0)</f>
        <v>0</v>
      </c>
      <c r="AA1236" s="2">
        <f t="shared" si="19"/>
        <v>14.333333333333334</v>
      </c>
      <c r="AB1236">
        <v>1</v>
      </c>
    </row>
    <row r="1237" spans="1:28" x14ac:dyDescent="0.25">
      <c r="A1237" t="s">
        <v>33</v>
      </c>
      <c r="B1237" t="s">
        <v>4586</v>
      </c>
      <c r="C1237" t="s">
        <v>21</v>
      </c>
      <c r="D1237" t="s">
        <v>4587</v>
      </c>
      <c r="E1237" t="s">
        <v>275</v>
      </c>
      <c r="F1237" t="s">
        <v>4588</v>
      </c>
      <c r="G1237" t="s">
        <v>24</v>
      </c>
      <c r="H1237" t="s">
        <v>4589</v>
      </c>
      <c r="I1237" t="s">
        <v>46</v>
      </c>
      <c r="N1237" t="s">
        <v>4585</v>
      </c>
      <c r="S1237" t="s">
        <v>48</v>
      </c>
      <c r="V1237" t="s">
        <v>5769</v>
      </c>
      <c r="W1237" t="s">
        <v>5770</v>
      </c>
      <c r="X1237" s="2">
        <f>IFERROR(VLOOKUP(I1237,'Rate Sheet'!$D:$F,3,FALSE),0)</f>
        <v>14.333333333333334</v>
      </c>
      <c r="Y1237" s="2">
        <f>IFERROR(VLOOKUP(J1237,'Rate Sheet'!$D:$F,3,FALSE),0)</f>
        <v>0</v>
      </c>
      <c r="Z1237" s="2">
        <f>IFERROR(VLOOKUP(K1237,'Rate Sheet'!$D:$F,3,FALSE),0)</f>
        <v>0</v>
      </c>
      <c r="AA1237" s="2">
        <f t="shared" si="19"/>
        <v>14.333333333333334</v>
      </c>
      <c r="AB1237">
        <v>1</v>
      </c>
    </row>
    <row r="1238" spans="1:28" x14ac:dyDescent="0.25">
      <c r="A1238" t="s">
        <v>33</v>
      </c>
      <c r="B1238" t="s">
        <v>4590</v>
      </c>
      <c r="C1238" t="s">
        <v>21</v>
      </c>
      <c r="D1238" t="s">
        <v>4590</v>
      </c>
      <c r="E1238" t="s">
        <v>3763</v>
      </c>
      <c r="F1238" t="s">
        <v>4591</v>
      </c>
      <c r="G1238" t="s">
        <v>24</v>
      </c>
      <c r="H1238" s="1" t="s">
        <v>4592</v>
      </c>
      <c r="N1238" t="s">
        <v>2975</v>
      </c>
      <c r="X1238" s="2">
        <f>IFERROR(VLOOKUP(I1238,'Rate Sheet'!$D:$F,3,FALSE),0)</f>
        <v>0</v>
      </c>
      <c r="Y1238" s="2">
        <f>IFERROR(VLOOKUP(J1238,'Rate Sheet'!$D:$F,3,FALSE),0)</f>
        <v>0</v>
      </c>
      <c r="Z1238" s="2">
        <f>IFERROR(VLOOKUP(K1238,'Rate Sheet'!$D:$F,3,FALSE),0)</f>
        <v>0</v>
      </c>
      <c r="AA1238" s="2">
        <f t="shared" si="19"/>
        <v>0</v>
      </c>
    </row>
    <row r="1239" spans="1:28" x14ac:dyDescent="0.25">
      <c r="A1239" t="s">
        <v>33</v>
      </c>
      <c r="B1239" t="s">
        <v>4593</v>
      </c>
      <c r="C1239" t="s">
        <v>21</v>
      </c>
      <c r="D1239" t="s">
        <v>4593</v>
      </c>
      <c r="E1239" t="s">
        <v>3031</v>
      </c>
      <c r="F1239" t="s">
        <v>4594</v>
      </c>
      <c r="G1239" t="s">
        <v>24</v>
      </c>
      <c r="H1239" t="s">
        <v>4595</v>
      </c>
      <c r="I1239" t="s">
        <v>46</v>
      </c>
      <c r="N1239" t="s">
        <v>2975</v>
      </c>
      <c r="S1239" t="s">
        <v>48</v>
      </c>
      <c r="V1239" t="s">
        <v>5737</v>
      </c>
      <c r="W1239" t="s">
        <v>5738</v>
      </c>
      <c r="X1239" s="2">
        <f>IFERROR(VLOOKUP(I1239,'Rate Sheet'!$D:$F,3,FALSE),0)</f>
        <v>14.333333333333334</v>
      </c>
      <c r="Y1239" s="2">
        <f>IFERROR(VLOOKUP(J1239,'Rate Sheet'!$D:$F,3,FALSE),0)</f>
        <v>0</v>
      </c>
      <c r="Z1239" s="2">
        <f>IFERROR(VLOOKUP(K1239,'Rate Sheet'!$D:$F,3,FALSE),0)</f>
        <v>0</v>
      </c>
      <c r="AA1239" s="2">
        <f t="shared" si="19"/>
        <v>14.333333333333334</v>
      </c>
      <c r="AB1239">
        <v>1</v>
      </c>
    </row>
    <row r="1240" spans="1:28" x14ac:dyDescent="0.25">
      <c r="A1240" t="s">
        <v>33</v>
      </c>
      <c r="B1240" t="s">
        <v>4596</v>
      </c>
      <c r="C1240" t="s">
        <v>21</v>
      </c>
      <c r="D1240" t="s">
        <v>4596</v>
      </c>
      <c r="E1240" t="s">
        <v>829</v>
      </c>
      <c r="F1240" t="s">
        <v>4597</v>
      </c>
      <c r="G1240" t="s">
        <v>24</v>
      </c>
      <c r="H1240" s="1" t="s">
        <v>4598</v>
      </c>
      <c r="I1240" t="s">
        <v>46</v>
      </c>
      <c r="N1240" t="s">
        <v>2975</v>
      </c>
      <c r="S1240" t="s">
        <v>48</v>
      </c>
      <c r="V1240" t="s">
        <v>5737</v>
      </c>
      <c r="W1240" t="s">
        <v>5738</v>
      </c>
      <c r="X1240" s="2">
        <f>IFERROR(VLOOKUP(I1240,'Rate Sheet'!$D:$F,3,FALSE),0)</f>
        <v>14.333333333333334</v>
      </c>
      <c r="Y1240" s="2">
        <f>IFERROR(VLOOKUP(J1240,'Rate Sheet'!$D:$F,3,FALSE),0)</f>
        <v>0</v>
      </c>
      <c r="Z1240" s="2">
        <f>IFERROR(VLOOKUP(K1240,'Rate Sheet'!$D:$F,3,FALSE),0)</f>
        <v>0</v>
      </c>
      <c r="AA1240" s="2">
        <f t="shared" si="19"/>
        <v>14.333333333333334</v>
      </c>
      <c r="AB1240">
        <v>1</v>
      </c>
    </row>
    <row r="1241" spans="1:28" x14ac:dyDescent="0.25">
      <c r="A1241" t="s">
        <v>33</v>
      </c>
      <c r="B1241" t="s">
        <v>4599</v>
      </c>
      <c r="C1241" t="s">
        <v>21</v>
      </c>
      <c r="D1241" t="s">
        <v>4599</v>
      </c>
      <c r="E1241" t="s">
        <v>4600</v>
      </c>
      <c r="F1241" t="s">
        <v>4601</v>
      </c>
      <c r="G1241" t="s">
        <v>24</v>
      </c>
      <c r="H1241" t="s">
        <v>4602</v>
      </c>
      <c r="X1241" s="2">
        <f>IFERROR(VLOOKUP(I1241,'Rate Sheet'!$D:$F,3,FALSE),0)</f>
        <v>0</v>
      </c>
      <c r="Y1241" s="2">
        <f>IFERROR(VLOOKUP(J1241,'Rate Sheet'!$D:$F,3,FALSE),0)</f>
        <v>0</v>
      </c>
      <c r="Z1241" s="2">
        <f>IFERROR(VLOOKUP(K1241,'Rate Sheet'!$D:$F,3,FALSE),0)</f>
        <v>0</v>
      </c>
      <c r="AA1241" s="2">
        <f t="shared" si="19"/>
        <v>0</v>
      </c>
    </row>
    <row r="1242" spans="1:28" x14ac:dyDescent="0.25">
      <c r="A1242" t="s">
        <v>33</v>
      </c>
      <c r="B1242" t="s">
        <v>4603</v>
      </c>
      <c r="C1242" t="s">
        <v>21</v>
      </c>
      <c r="D1242" t="s">
        <v>4603</v>
      </c>
      <c r="E1242" t="s">
        <v>519</v>
      </c>
      <c r="F1242" t="s">
        <v>1215</v>
      </c>
      <c r="G1242" t="s">
        <v>24</v>
      </c>
      <c r="H1242" t="s">
        <v>4604</v>
      </c>
      <c r="I1242" t="s">
        <v>46</v>
      </c>
      <c r="N1242" t="s">
        <v>74</v>
      </c>
      <c r="S1242" t="s">
        <v>48</v>
      </c>
      <c r="V1242" t="s">
        <v>5586</v>
      </c>
      <c r="W1242" t="s">
        <v>5587</v>
      </c>
      <c r="X1242" s="2">
        <f>IFERROR(VLOOKUP(I1242,'Rate Sheet'!$D:$F,3,FALSE),0)</f>
        <v>14.333333333333334</v>
      </c>
      <c r="Y1242" s="2">
        <f>IFERROR(VLOOKUP(J1242,'Rate Sheet'!$D:$F,3,FALSE),0)</f>
        <v>0</v>
      </c>
      <c r="Z1242" s="2">
        <f>IFERROR(VLOOKUP(K1242,'Rate Sheet'!$D:$F,3,FALSE),0)</f>
        <v>0</v>
      </c>
      <c r="AA1242" s="2">
        <f t="shared" si="19"/>
        <v>14.333333333333334</v>
      </c>
      <c r="AB1242">
        <v>1</v>
      </c>
    </row>
    <row r="1243" spans="1:28" x14ac:dyDescent="0.25">
      <c r="A1243" t="s">
        <v>33</v>
      </c>
      <c r="B1243" t="s">
        <v>4605</v>
      </c>
      <c r="C1243" t="s">
        <v>21</v>
      </c>
      <c r="D1243" t="s">
        <v>4605</v>
      </c>
      <c r="E1243" t="s">
        <v>70</v>
      </c>
      <c r="F1243" t="s">
        <v>4606</v>
      </c>
      <c r="G1243" t="s">
        <v>24</v>
      </c>
      <c r="H1243" t="s">
        <v>4607</v>
      </c>
      <c r="X1243" s="2">
        <f>IFERROR(VLOOKUP(I1243,'Rate Sheet'!$D:$F,3,FALSE),0)</f>
        <v>0</v>
      </c>
      <c r="Y1243" s="2">
        <f>IFERROR(VLOOKUP(J1243,'Rate Sheet'!$D:$F,3,FALSE),0)</f>
        <v>0</v>
      </c>
      <c r="Z1243" s="2">
        <f>IFERROR(VLOOKUP(K1243,'Rate Sheet'!$D:$F,3,FALSE),0)</f>
        <v>0</v>
      </c>
      <c r="AA1243" s="2">
        <f t="shared" si="19"/>
        <v>0</v>
      </c>
    </row>
    <row r="1244" spans="1:28" x14ac:dyDescent="0.25">
      <c r="A1244" t="s">
        <v>33</v>
      </c>
      <c r="B1244" t="s">
        <v>4608</v>
      </c>
      <c r="C1244" t="s">
        <v>21</v>
      </c>
      <c r="D1244" t="s">
        <v>4608</v>
      </c>
      <c r="E1244" t="s">
        <v>4609</v>
      </c>
      <c r="F1244" t="s">
        <v>4610</v>
      </c>
      <c r="G1244" t="s">
        <v>24</v>
      </c>
      <c r="H1244" t="s">
        <v>4611</v>
      </c>
      <c r="I1244" t="s">
        <v>46</v>
      </c>
      <c r="N1244" t="s">
        <v>620</v>
      </c>
      <c r="S1244" t="s">
        <v>48</v>
      </c>
      <c r="V1244" t="s">
        <v>5659</v>
      </c>
      <c r="W1244" t="s">
        <v>620</v>
      </c>
      <c r="X1244" s="2">
        <f>IFERROR(VLOOKUP(I1244,'Rate Sheet'!$D:$F,3,FALSE),0)</f>
        <v>14.333333333333334</v>
      </c>
      <c r="Y1244" s="2">
        <f>IFERROR(VLOOKUP(J1244,'Rate Sheet'!$D:$F,3,FALSE),0)</f>
        <v>0</v>
      </c>
      <c r="Z1244" s="2">
        <f>IFERROR(VLOOKUP(K1244,'Rate Sheet'!$D:$F,3,FALSE),0)</f>
        <v>0</v>
      </c>
      <c r="AA1244" s="2">
        <f t="shared" si="19"/>
        <v>14.333333333333334</v>
      </c>
      <c r="AB1244">
        <v>1</v>
      </c>
    </row>
    <row r="1245" spans="1:28" x14ac:dyDescent="0.25">
      <c r="A1245" t="s">
        <v>33</v>
      </c>
      <c r="B1245" t="s">
        <v>4612</v>
      </c>
      <c r="C1245" t="s">
        <v>21</v>
      </c>
      <c r="D1245" t="s">
        <v>4612</v>
      </c>
      <c r="E1245" t="s">
        <v>135</v>
      </c>
      <c r="F1245" t="s">
        <v>4613</v>
      </c>
      <c r="G1245" t="s">
        <v>24</v>
      </c>
      <c r="H1245" t="s">
        <v>4614</v>
      </c>
      <c r="X1245" s="2">
        <f>IFERROR(VLOOKUP(I1245,'Rate Sheet'!$D:$F,3,FALSE),0)</f>
        <v>0</v>
      </c>
      <c r="Y1245" s="2">
        <f>IFERROR(VLOOKUP(J1245,'Rate Sheet'!$D:$F,3,FALSE),0)</f>
        <v>0</v>
      </c>
      <c r="Z1245" s="2">
        <f>IFERROR(VLOOKUP(K1245,'Rate Sheet'!$D:$F,3,FALSE),0)</f>
        <v>0</v>
      </c>
      <c r="AA1245" s="2">
        <f t="shared" si="19"/>
        <v>0</v>
      </c>
    </row>
    <row r="1246" spans="1:28" x14ac:dyDescent="0.25">
      <c r="A1246" t="s">
        <v>33</v>
      </c>
      <c r="B1246" t="s">
        <v>4615</v>
      </c>
      <c r="C1246" t="s">
        <v>29</v>
      </c>
      <c r="D1246" t="s">
        <v>4615</v>
      </c>
      <c r="E1246" t="s">
        <v>4616</v>
      </c>
      <c r="F1246" t="s">
        <v>4617</v>
      </c>
      <c r="G1246" t="s">
        <v>24</v>
      </c>
      <c r="H1246" t="s">
        <v>4618</v>
      </c>
      <c r="I1246" t="s">
        <v>73</v>
      </c>
      <c r="N1246" t="s">
        <v>246</v>
      </c>
      <c r="S1246" t="s">
        <v>75</v>
      </c>
      <c r="V1246" t="s">
        <v>5661</v>
      </c>
      <c r="W1246" t="s">
        <v>246</v>
      </c>
      <c r="X1246" s="2">
        <f>IFERROR(VLOOKUP(I1246,'Rate Sheet'!$D:$F,3,FALSE),0)</f>
        <v>8.6983333333333324</v>
      </c>
      <c r="Y1246" s="2">
        <f>IFERROR(VLOOKUP(J1246,'Rate Sheet'!$D:$F,3,FALSE),0)</f>
        <v>0</v>
      </c>
      <c r="Z1246" s="2">
        <f>IFERROR(VLOOKUP(K1246,'Rate Sheet'!$D:$F,3,FALSE),0)</f>
        <v>0</v>
      </c>
      <c r="AA1246" s="2">
        <f t="shared" si="19"/>
        <v>8.6983333333333324</v>
      </c>
      <c r="AB1246">
        <v>1</v>
      </c>
    </row>
    <row r="1247" spans="1:28" x14ac:dyDescent="0.25">
      <c r="A1247" t="s">
        <v>33</v>
      </c>
      <c r="B1247" t="s">
        <v>4619</v>
      </c>
      <c r="C1247" t="s">
        <v>29</v>
      </c>
      <c r="D1247" t="s">
        <v>4619</v>
      </c>
      <c r="E1247" t="s">
        <v>3466</v>
      </c>
      <c r="F1247" t="s">
        <v>2744</v>
      </c>
      <c r="G1247" t="s">
        <v>24</v>
      </c>
      <c r="H1247" t="s">
        <v>4620</v>
      </c>
      <c r="I1247" t="s">
        <v>73</v>
      </c>
      <c r="N1247" t="s">
        <v>246</v>
      </c>
      <c r="S1247" t="s">
        <v>75</v>
      </c>
      <c r="V1247" t="s">
        <v>5661</v>
      </c>
      <c r="W1247" t="s">
        <v>246</v>
      </c>
      <c r="X1247" s="2">
        <f>IFERROR(VLOOKUP(I1247,'Rate Sheet'!$D:$F,3,FALSE),0)</f>
        <v>8.6983333333333324</v>
      </c>
      <c r="Y1247" s="2">
        <f>IFERROR(VLOOKUP(J1247,'Rate Sheet'!$D:$F,3,FALSE),0)</f>
        <v>0</v>
      </c>
      <c r="Z1247" s="2">
        <f>IFERROR(VLOOKUP(K1247,'Rate Sheet'!$D:$F,3,FALSE),0)</f>
        <v>0</v>
      </c>
      <c r="AA1247" s="2">
        <f t="shared" si="19"/>
        <v>8.6983333333333324</v>
      </c>
      <c r="AB1247">
        <v>1</v>
      </c>
    </row>
    <row r="1248" spans="1:28" x14ac:dyDescent="0.25">
      <c r="A1248" t="s">
        <v>33</v>
      </c>
      <c r="B1248" t="s">
        <v>4621</v>
      </c>
      <c r="C1248" t="s">
        <v>21</v>
      </c>
      <c r="D1248" t="s">
        <v>4622</v>
      </c>
      <c r="E1248" t="s">
        <v>4623</v>
      </c>
      <c r="F1248" t="s">
        <v>4624</v>
      </c>
      <c r="G1248" t="s">
        <v>24</v>
      </c>
      <c r="H1248" t="s">
        <v>4625</v>
      </c>
      <c r="I1248" t="s">
        <v>46</v>
      </c>
      <c r="N1248" t="s">
        <v>4585</v>
      </c>
      <c r="S1248" t="s">
        <v>48</v>
      </c>
      <c r="V1248" s="10" t="s">
        <v>5769</v>
      </c>
      <c r="W1248" s="10" t="s">
        <v>5770</v>
      </c>
      <c r="X1248" s="2">
        <f>IFERROR(VLOOKUP(I1248,'Rate Sheet'!$D:$F,3,FALSE),0)</f>
        <v>14.333333333333334</v>
      </c>
      <c r="Y1248" s="2">
        <f>IFERROR(VLOOKUP(J1248,'Rate Sheet'!$D:$F,3,FALSE),0)</f>
        <v>0</v>
      </c>
      <c r="Z1248" s="2">
        <f>IFERROR(VLOOKUP(K1248,'Rate Sheet'!$D:$F,3,FALSE),0)</f>
        <v>0</v>
      </c>
      <c r="AA1248" s="2">
        <f t="shared" si="19"/>
        <v>14.333333333333334</v>
      </c>
      <c r="AB1248">
        <v>1</v>
      </c>
    </row>
    <row r="1249" spans="1:28" x14ac:dyDescent="0.25">
      <c r="A1249" t="s">
        <v>33</v>
      </c>
      <c r="B1249" t="s">
        <v>4626</v>
      </c>
      <c r="C1249" t="s">
        <v>21</v>
      </c>
      <c r="D1249" t="s">
        <v>4626</v>
      </c>
      <c r="E1249" t="s">
        <v>4627</v>
      </c>
      <c r="F1249" t="s">
        <v>4628</v>
      </c>
      <c r="G1249" t="s">
        <v>24</v>
      </c>
      <c r="H1249" t="s">
        <v>4629</v>
      </c>
      <c r="X1249" s="2">
        <f>IFERROR(VLOOKUP(I1249,'Rate Sheet'!$D:$F,3,FALSE),0)</f>
        <v>0</v>
      </c>
      <c r="Y1249" s="2">
        <f>IFERROR(VLOOKUP(J1249,'Rate Sheet'!$D:$F,3,FALSE),0)</f>
        <v>0</v>
      </c>
      <c r="Z1249" s="2">
        <f>IFERROR(VLOOKUP(K1249,'Rate Sheet'!$D:$F,3,FALSE),0)</f>
        <v>0</v>
      </c>
      <c r="AA1249" s="2">
        <f t="shared" si="19"/>
        <v>0</v>
      </c>
    </row>
    <row r="1250" spans="1:28" x14ac:dyDescent="0.25">
      <c r="A1250" t="s">
        <v>33</v>
      </c>
      <c r="B1250" t="s">
        <v>4630</v>
      </c>
      <c r="C1250" t="s">
        <v>21</v>
      </c>
      <c r="D1250" t="s">
        <v>4630</v>
      </c>
      <c r="E1250" t="s">
        <v>2436</v>
      </c>
      <c r="F1250" t="s">
        <v>4631</v>
      </c>
      <c r="G1250" t="s">
        <v>24</v>
      </c>
      <c r="H1250" t="s">
        <v>4632</v>
      </c>
      <c r="I1250" t="s">
        <v>46</v>
      </c>
      <c r="N1250" t="s">
        <v>2975</v>
      </c>
      <c r="S1250" t="s">
        <v>48</v>
      </c>
      <c r="V1250" t="s">
        <v>5737</v>
      </c>
      <c r="W1250" t="s">
        <v>5738</v>
      </c>
      <c r="X1250" s="2">
        <f>IFERROR(VLOOKUP(I1250,'Rate Sheet'!$D:$F,3,FALSE),0)</f>
        <v>14.333333333333334</v>
      </c>
      <c r="Y1250" s="2">
        <f>IFERROR(VLOOKUP(J1250,'Rate Sheet'!$D:$F,3,FALSE),0)</f>
        <v>0</v>
      </c>
      <c r="Z1250" s="2">
        <f>IFERROR(VLOOKUP(K1250,'Rate Sheet'!$D:$F,3,FALSE),0)</f>
        <v>0</v>
      </c>
      <c r="AA1250" s="2">
        <f t="shared" si="19"/>
        <v>14.333333333333334</v>
      </c>
      <c r="AB1250">
        <v>1</v>
      </c>
    </row>
    <row r="1251" spans="1:28" x14ac:dyDescent="0.25">
      <c r="A1251" t="s">
        <v>33</v>
      </c>
      <c r="B1251" t="s">
        <v>4633</v>
      </c>
      <c r="C1251" t="s">
        <v>21</v>
      </c>
      <c r="D1251" t="s">
        <v>4633</v>
      </c>
      <c r="E1251" t="s">
        <v>2487</v>
      </c>
      <c r="F1251" t="s">
        <v>4634</v>
      </c>
      <c r="G1251" t="s">
        <v>24</v>
      </c>
      <c r="H1251" t="s">
        <v>4635</v>
      </c>
      <c r="I1251" t="s">
        <v>46</v>
      </c>
      <c r="N1251" t="s">
        <v>185</v>
      </c>
      <c r="S1251" t="s">
        <v>48</v>
      </c>
      <c r="V1251" t="s">
        <v>5610</v>
      </c>
      <c r="W1251" t="s">
        <v>5611</v>
      </c>
      <c r="X1251" s="2">
        <f>IFERROR(VLOOKUP(I1251,'Rate Sheet'!$D:$F,3,FALSE),0)</f>
        <v>14.333333333333334</v>
      </c>
      <c r="Y1251" s="2">
        <f>IFERROR(VLOOKUP(J1251,'Rate Sheet'!$D:$F,3,FALSE),0)</f>
        <v>0</v>
      </c>
      <c r="Z1251" s="2">
        <f>IFERROR(VLOOKUP(K1251,'Rate Sheet'!$D:$F,3,FALSE),0)</f>
        <v>0</v>
      </c>
      <c r="AA1251" s="2">
        <f t="shared" si="19"/>
        <v>14.333333333333334</v>
      </c>
      <c r="AB1251">
        <v>1</v>
      </c>
    </row>
    <row r="1252" spans="1:28" x14ac:dyDescent="0.25">
      <c r="A1252" t="s">
        <v>33</v>
      </c>
      <c r="B1252" t="s">
        <v>4636</v>
      </c>
      <c r="C1252" t="s">
        <v>21</v>
      </c>
      <c r="D1252" t="s">
        <v>4636</v>
      </c>
      <c r="E1252" t="s">
        <v>3394</v>
      </c>
      <c r="F1252" t="s">
        <v>4637</v>
      </c>
      <c r="G1252" t="s">
        <v>24</v>
      </c>
      <c r="H1252" t="s">
        <v>4638</v>
      </c>
      <c r="X1252" s="2">
        <f>IFERROR(VLOOKUP(I1252,'Rate Sheet'!$D:$F,3,FALSE),0)</f>
        <v>0</v>
      </c>
      <c r="Y1252" s="2">
        <f>IFERROR(VLOOKUP(J1252,'Rate Sheet'!$D:$F,3,FALSE),0)</f>
        <v>0</v>
      </c>
      <c r="Z1252" s="2">
        <f>IFERROR(VLOOKUP(K1252,'Rate Sheet'!$D:$F,3,FALSE),0)</f>
        <v>0</v>
      </c>
      <c r="AA1252" s="2">
        <f t="shared" si="19"/>
        <v>0</v>
      </c>
    </row>
    <row r="1253" spans="1:28" x14ac:dyDescent="0.25">
      <c r="A1253" t="s">
        <v>33</v>
      </c>
      <c r="B1253" t="s">
        <v>4639</v>
      </c>
      <c r="C1253" t="s">
        <v>21</v>
      </c>
      <c r="D1253" t="s">
        <v>4640</v>
      </c>
      <c r="E1253" t="s">
        <v>4641</v>
      </c>
      <c r="F1253" t="s">
        <v>4642</v>
      </c>
      <c r="G1253" t="s">
        <v>24</v>
      </c>
      <c r="H1253" t="s">
        <v>4643</v>
      </c>
      <c r="I1253" t="s">
        <v>882</v>
      </c>
      <c r="N1253" t="s">
        <v>4547</v>
      </c>
      <c r="S1253" t="s">
        <v>884</v>
      </c>
      <c r="V1253" t="s">
        <v>5775</v>
      </c>
      <c r="W1253" t="s">
        <v>5776</v>
      </c>
      <c r="X1253" s="2">
        <f>IFERROR(VLOOKUP(I1253,'Rate Sheet'!$D:$F,3,FALSE),0)</f>
        <v>35.979166666666664</v>
      </c>
      <c r="Y1253" s="2">
        <f>IFERROR(VLOOKUP(J1253,'Rate Sheet'!$D:$F,3,FALSE),0)</f>
        <v>0</v>
      </c>
      <c r="Z1253" s="2">
        <f>IFERROR(VLOOKUP(K1253,'Rate Sheet'!$D:$F,3,FALSE),0)</f>
        <v>0</v>
      </c>
      <c r="AA1253" s="2">
        <f t="shared" si="19"/>
        <v>35.979166666666664</v>
      </c>
      <c r="AB1253">
        <v>1</v>
      </c>
    </row>
    <row r="1254" spans="1:28" x14ac:dyDescent="0.25">
      <c r="A1254" t="s">
        <v>33</v>
      </c>
      <c r="B1254" t="s">
        <v>4644</v>
      </c>
      <c r="C1254" t="s">
        <v>21</v>
      </c>
      <c r="D1254" t="s">
        <v>4644</v>
      </c>
      <c r="E1254" t="s">
        <v>1149</v>
      </c>
      <c r="F1254" t="s">
        <v>4645</v>
      </c>
      <c r="G1254" t="s">
        <v>24</v>
      </c>
      <c r="H1254" t="s">
        <v>4646</v>
      </c>
      <c r="I1254" t="s">
        <v>73</v>
      </c>
      <c r="N1254" t="s">
        <v>3868</v>
      </c>
      <c r="S1254" t="s">
        <v>75</v>
      </c>
      <c r="V1254" t="s">
        <v>5708</v>
      </c>
      <c r="W1254" t="s">
        <v>5709</v>
      </c>
      <c r="X1254" s="2">
        <f>IFERROR(VLOOKUP(I1254,'Rate Sheet'!$D:$F,3,FALSE),0)</f>
        <v>8.6983333333333324</v>
      </c>
      <c r="Y1254" s="2">
        <f>IFERROR(VLOOKUP(J1254,'Rate Sheet'!$D:$F,3,FALSE),0)</f>
        <v>0</v>
      </c>
      <c r="Z1254" s="2">
        <f>IFERROR(VLOOKUP(K1254,'Rate Sheet'!$D:$F,3,FALSE),0)</f>
        <v>0</v>
      </c>
      <c r="AA1254" s="2">
        <f t="shared" si="19"/>
        <v>8.6983333333333324</v>
      </c>
      <c r="AB1254">
        <v>1</v>
      </c>
    </row>
    <row r="1255" spans="1:28" x14ac:dyDescent="0.25">
      <c r="A1255" t="s">
        <v>33</v>
      </c>
      <c r="B1255" t="s">
        <v>4647</v>
      </c>
      <c r="C1255" t="s">
        <v>21</v>
      </c>
      <c r="D1255" t="s">
        <v>4647</v>
      </c>
      <c r="E1255" t="s">
        <v>4567</v>
      </c>
      <c r="F1255" t="s">
        <v>4648</v>
      </c>
      <c r="G1255" t="s">
        <v>24</v>
      </c>
      <c r="H1255" t="s">
        <v>4649</v>
      </c>
      <c r="I1255" t="s">
        <v>73</v>
      </c>
      <c r="N1255" t="s">
        <v>1013</v>
      </c>
      <c r="S1255" t="s">
        <v>75</v>
      </c>
      <c r="V1255" t="s">
        <v>5701</v>
      </c>
      <c r="W1255" t="s">
        <v>1013</v>
      </c>
      <c r="X1255" s="2">
        <f>IFERROR(VLOOKUP(I1255,'Rate Sheet'!$D:$F,3,FALSE),0)</f>
        <v>8.6983333333333324</v>
      </c>
      <c r="Y1255" s="2">
        <f>IFERROR(VLOOKUP(J1255,'Rate Sheet'!$D:$F,3,FALSE),0)</f>
        <v>0</v>
      </c>
      <c r="Z1255" s="2">
        <f>IFERROR(VLOOKUP(K1255,'Rate Sheet'!$D:$F,3,FALSE),0)</f>
        <v>0</v>
      </c>
      <c r="AA1255" s="2">
        <f t="shared" si="19"/>
        <v>8.6983333333333324</v>
      </c>
      <c r="AB1255">
        <v>1</v>
      </c>
    </row>
    <row r="1256" spans="1:28" x14ac:dyDescent="0.25">
      <c r="A1256" t="s">
        <v>33</v>
      </c>
      <c r="B1256" t="s">
        <v>4650</v>
      </c>
      <c r="C1256" t="s">
        <v>29</v>
      </c>
      <c r="D1256" t="s">
        <v>4651</v>
      </c>
      <c r="E1256" t="s">
        <v>4652</v>
      </c>
      <c r="F1256" t="s">
        <v>4653</v>
      </c>
      <c r="G1256" t="s">
        <v>24</v>
      </c>
      <c r="H1256" t="s">
        <v>4654</v>
      </c>
      <c r="I1256" t="s">
        <v>46</v>
      </c>
      <c r="N1256" t="s">
        <v>511</v>
      </c>
      <c r="S1256" t="s">
        <v>48</v>
      </c>
      <c r="V1256" t="s">
        <v>5617</v>
      </c>
      <c r="W1256" t="s">
        <v>511</v>
      </c>
      <c r="X1256" s="2">
        <f>IFERROR(VLOOKUP(I1256,'Rate Sheet'!$D:$F,3,FALSE),0)</f>
        <v>14.333333333333334</v>
      </c>
      <c r="Y1256" s="2">
        <f>IFERROR(VLOOKUP(J1256,'Rate Sheet'!$D:$F,3,FALSE),0)</f>
        <v>0</v>
      </c>
      <c r="Z1256" s="2">
        <f>IFERROR(VLOOKUP(K1256,'Rate Sheet'!$D:$F,3,FALSE),0)</f>
        <v>0</v>
      </c>
      <c r="AA1256" s="2">
        <f t="shared" si="19"/>
        <v>14.333333333333334</v>
      </c>
      <c r="AB1256">
        <v>1</v>
      </c>
    </row>
    <row r="1257" spans="1:28" x14ac:dyDescent="0.25">
      <c r="A1257" t="s">
        <v>33</v>
      </c>
      <c r="B1257" t="s">
        <v>4655</v>
      </c>
      <c r="C1257" t="s">
        <v>21</v>
      </c>
      <c r="D1257" t="s">
        <v>4655</v>
      </c>
      <c r="E1257" t="s">
        <v>2363</v>
      </c>
      <c r="F1257" t="s">
        <v>4656</v>
      </c>
      <c r="G1257" t="s">
        <v>24</v>
      </c>
      <c r="H1257" t="s">
        <v>4657</v>
      </c>
      <c r="I1257" t="s">
        <v>46</v>
      </c>
      <c r="N1257" t="s">
        <v>1131</v>
      </c>
      <c r="S1257" t="s">
        <v>48</v>
      </c>
      <c r="V1257" t="s">
        <v>5777</v>
      </c>
      <c r="W1257" t="s">
        <v>5778</v>
      </c>
      <c r="X1257" s="2">
        <f>IFERROR(VLOOKUP(I1257,'Rate Sheet'!$D:$F,3,FALSE),0)</f>
        <v>14.333333333333334</v>
      </c>
      <c r="Y1257" s="2">
        <f>IFERROR(VLOOKUP(J1257,'Rate Sheet'!$D:$F,3,FALSE),0)</f>
        <v>0</v>
      </c>
      <c r="Z1257" s="2">
        <f>IFERROR(VLOOKUP(K1257,'Rate Sheet'!$D:$F,3,FALSE),0)</f>
        <v>0</v>
      </c>
      <c r="AA1257" s="2">
        <f t="shared" si="19"/>
        <v>14.333333333333334</v>
      </c>
      <c r="AB1257">
        <v>1</v>
      </c>
    </row>
    <row r="1258" spans="1:28" x14ac:dyDescent="0.25">
      <c r="A1258" t="s">
        <v>33</v>
      </c>
      <c r="B1258" t="s">
        <v>4658</v>
      </c>
      <c r="C1258" t="s">
        <v>21</v>
      </c>
      <c r="D1258" t="s">
        <v>4658</v>
      </c>
      <c r="E1258" t="s">
        <v>4659</v>
      </c>
      <c r="F1258" t="s">
        <v>4544</v>
      </c>
      <c r="G1258" t="s">
        <v>24</v>
      </c>
      <c r="H1258" t="s">
        <v>4660</v>
      </c>
      <c r="I1258" t="s">
        <v>46</v>
      </c>
      <c r="N1258" t="s">
        <v>3868</v>
      </c>
      <c r="S1258" t="s">
        <v>48</v>
      </c>
      <c r="V1258" t="s">
        <v>5708</v>
      </c>
      <c r="W1258" t="s">
        <v>5709</v>
      </c>
      <c r="X1258" s="2">
        <f>IFERROR(VLOOKUP(I1258,'Rate Sheet'!$D:$F,3,FALSE),0)</f>
        <v>14.333333333333334</v>
      </c>
      <c r="Y1258" s="2">
        <f>IFERROR(VLOOKUP(J1258,'Rate Sheet'!$D:$F,3,FALSE),0)</f>
        <v>0</v>
      </c>
      <c r="Z1258" s="2">
        <f>IFERROR(VLOOKUP(K1258,'Rate Sheet'!$D:$F,3,FALSE),0)</f>
        <v>0</v>
      </c>
      <c r="AA1258" s="2">
        <f t="shared" si="19"/>
        <v>14.333333333333334</v>
      </c>
      <c r="AB1258">
        <v>1</v>
      </c>
    </row>
    <row r="1259" spans="1:28" x14ac:dyDescent="0.25">
      <c r="A1259" t="s">
        <v>33</v>
      </c>
      <c r="B1259" t="s">
        <v>4661</v>
      </c>
      <c r="C1259" t="s">
        <v>21</v>
      </c>
      <c r="D1259" t="s">
        <v>4661</v>
      </c>
      <c r="E1259" t="s">
        <v>4662</v>
      </c>
      <c r="F1259" t="s">
        <v>4663</v>
      </c>
      <c r="G1259" t="s">
        <v>24</v>
      </c>
      <c r="H1259" t="s">
        <v>4664</v>
      </c>
      <c r="N1259" t="s">
        <v>246</v>
      </c>
      <c r="X1259" s="2">
        <f>IFERROR(VLOOKUP(I1259,'Rate Sheet'!$D:$F,3,FALSE),0)</f>
        <v>0</v>
      </c>
      <c r="Y1259" s="2">
        <f>IFERROR(VLOOKUP(J1259,'Rate Sheet'!$D:$F,3,FALSE),0)</f>
        <v>0</v>
      </c>
      <c r="Z1259" s="2">
        <f>IFERROR(VLOOKUP(K1259,'Rate Sheet'!$D:$F,3,FALSE),0)</f>
        <v>0</v>
      </c>
      <c r="AA1259" s="2">
        <f t="shared" si="19"/>
        <v>0</v>
      </c>
    </row>
    <row r="1260" spans="1:28" x14ac:dyDescent="0.25">
      <c r="A1260" t="s">
        <v>33</v>
      </c>
      <c r="B1260" t="s">
        <v>4665</v>
      </c>
      <c r="C1260" t="s">
        <v>21</v>
      </c>
      <c r="D1260" t="s">
        <v>4665</v>
      </c>
      <c r="E1260" t="s">
        <v>1738</v>
      </c>
      <c r="F1260" t="s">
        <v>4666</v>
      </c>
      <c r="G1260" t="s">
        <v>24</v>
      </c>
      <c r="H1260" t="s">
        <v>4667</v>
      </c>
      <c r="I1260" t="s">
        <v>46</v>
      </c>
      <c r="N1260" t="s">
        <v>273</v>
      </c>
      <c r="S1260" t="s">
        <v>48</v>
      </c>
      <c r="V1260" t="s">
        <v>5779</v>
      </c>
      <c r="W1260" t="s">
        <v>5780</v>
      </c>
      <c r="X1260" s="2">
        <f>IFERROR(VLOOKUP(I1260,'Rate Sheet'!$D:$F,3,FALSE),0)</f>
        <v>14.333333333333334</v>
      </c>
      <c r="Y1260" s="2">
        <f>IFERROR(VLOOKUP(J1260,'Rate Sheet'!$D:$F,3,FALSE),0)</f>
        <v>0</v>
      </c>
      <c r="Z1260" s="2">
        <f>IFERROR(VLOOKUP(K1260,'Rate Sheet'!$D:$F,3,FALSE),0)</f>
        <v>0</v>
      </c>
      <c r="AA1260" s="2">
        <f t="shared" si="19"/>
        <v>14.333333333333334</v>
      </c>
      <c r="AB1260">
        <v>1</v>
      </c>
    </row>
    <row r="1261" spans="1:28" x14ac:dyDescent="0.25">
      <c r="A1261" t="s">
        <v>33</v>
      </c>
      <c r="B1261" t="s">
        <v>4668</v>
      </c>
      <c r="C1261" t="s">
        <v>21</v>
      </c>
      <c r="D1261" t="s">
        <v>4668</v>
      </c>
      <c r="E1261" t="s">
        <v>4669</v>
      </c>
      <c r="F1261" t="s">
        <v>4670</v>
      </c>
      <c r="G1261" t="s">
        <v>24</v>
      </c>
      <c r="H1261" t="s">
        <v>4671</v>
      </c>
      <c r="I1261" t="s">
        <v>46</v>
      </c>
      <c r="N1261" t="s">
        <v>2329</v>
      </c>
      <c r="S1261" t="s">
        <v>48</v>
      </c>
      <c r="V1261" s="10" t="s">
        <v>5672</v>
      </c>
      <c r="W1261" s="10" t="s">
        <v>2329</v>
      </c>
      <c r="X1261" s="2">
        <f>IFERROR(VLOOKUP(I1261,'Rate Sheet'!$D:$F,3,FALSE),0)</f>
        <v>14.333333333333334</v>
      </c>
      <c r="Y1261" s="2">
        <f>IFERROR(VLOOKUP(J1261,'Rate Sheet'!$D:$F,3,FALSE),0)</f>
        <v>0</v>
      </c>
      <c r="Z1261" s="2">
        <f>IFERROR(VLOOKUP(K1261,'Rate Sheet'!$D:$F,3,FALSE),0)</f>
        <v>0</v>
      </c>
      <c r="AA1261" s="2">
        <f t="shared" si="19"/>
        <v>14.333333333333334</v>
      </c>
      <c r="AB1261">
        <v>1</v>
      </c>
    </row>
    <row r="1262" spans="1:28" x14ac:dyDescent="0.25">
      <c r="A1262" t="s">
        <v>33</v>
      </c>
      <c r="B1262" t="s">
        <v>4672</v>
      </c>
      <c r="C1262" t="s">
        <v>21</v>
      </c>
      <c r="D1262" t="s">
        <v>4672</v>
      </c>
      <c r="E1262" t="s">
        <v>275</v>
      </c>
      <c r="F1262" t="s">
        <v>3196</v>
      </c>
      <c r="G1262" t="s">
        <v>24</v>
      </c>
      <c r="H1262" t="s">
        <v>4673</v>
      </c>
      <c r="I1262" t="s">
        <v>73</v>
      </c>
      <c r="N1262" t="s">
        <v>224</v>
      </c>
      <c r="S1262" t="s">
        <v>75</v>
      </c>
      <c r="V1262" s="10" t="s">
        <v>5615</v>
      </c>
      <c r="W1262" s="10" t="s">
        <v>5616</v>
      </c>
      <c r="X1262" s="2">
        <f>IFERROR(VLOOKUP(I1262,'Rate Sheet'!$D:$F,3,FALSE),0)</f>
        <v>8.6983333333333324</v>
      </c>
      <c r="Y1262" s="2">
        <f>IFERROR(VLOOKUP(J1262,'Rate Sheet'!$D:$F,3,FALSE),0)</f>
        <v>0</v>
      </c>
      <c r="Z1262" s="2">
        <f>IFERROR(VLOOKUP(K1262,'Rate Sheet'!$D:$F,3,FALSE),0)</f>
        <v>0</v>
      </c>
      <c r="AA1262" s="2">
        <f t="shared" si="19"/>
        <v>8.6983333333333324</v>
      </c>
      <c r="AB1262">
        <v>1</v>
      </c>
    </row>
    <row r="1263" spans="1:28" x14ac:dyDescent="0.25">
      <c r="A1263" t="s">
        <v>33</v>
      </c>
      <c r="B1263" t="s">
        <v>4674</v>
      </c>
      <c r="C1263" t="s">
        <v>21</v>
      </c>
      <c r="D1263" t="s">
        <v>4674</v>
      </c>
      <c r="E1263" t="s">
        <v>65</v>
      </c>
      <c r="F1263" t="s">
        <v>4675</v>
      </c>
      <c r="G1263" t="s">
        <v>24</v>
      </c>
      <c r="H1263" t="s">
        <v>4676</v>
      </c>
      <c r="I1263" t="s">
        <v>46</v>
      </c>
      <c r="N1263" t="s">
        <v>535</v>
      </c>
      <c r="S1263" t="s">
        <v>48</v>
      </c>
      <c r="V1263" s="10" t="s">
        <v>5680</v>
      </c>
      <c r="W1263" s="10" t="s">
        <v>5681</v>
      </c>
      <c r="X1263" s="2">
        <f>IFERROR(VLOOKUP(I1263,'Rate Sheet'!$D:$F,3,FALSE),0)</f>
        <v>14.333333333333334</v>
      </c>
      <c r="Y1263" s="2">
        <f>IFERROR(VLOOKUP(J1263,'Rate Sheet'!$D:$F,3,FALSE),0)</f>
        <v>0</v>
      </c>
      <c r="Z1263" s="2">
        <f>IFERROR(VLOOKUP(K1263,'Rate Sheet'!$D:$F,3,FALSE),0)</f>
        <v>0</v>
      </c>
      <c r="AA1263" s="2">
        <f t="shared" si="19"/>
        <v>14.333333333333334</v>
      </c>
      <c r="AB1263">
        <v>1</v>
      </c>
    </row>
    <row r="1264" spans="1:28" x14ac:dyDescent="0.25">
      <c r="A1264" t="s">
        <v>33</v>
      </c>
      <c r="B1264" t="s">
        <v>4677</v>
      </c>
      <c r="C1264" t="s">
        <v>21</v>
      </c>
      <c r="D1264" t="s">
        <v>4677</v>
      </c>
      <c r="E1264" t="s">
        <v>796</v>
      </c>
      <c r="F1264" t="s">
        <v>4678</v>
      </c>
      <c r="G1264" t="s">
        <v>24</v>
      </c>
      <c r="H1264" t="s">
        <v>4679</v>
      </c>
      <c r="X1264" s="2">
        <f>IFERROR(VLOOKUP(I1264,'Rate Sheet'!$D:$F,3,FALSE),0)</f>
        <v>0</v>
      </c>
      <c r="Y1264" s="2">
        <f>IFERROR(VLOOKUP(J1264,'Rate Sheet'!$D:$F,3,FALSE),0)</f>
        <v>0</v>
      </c>
      <c r="Z1264" s="2">
        <f>IFERROR(VLOOKUP(K1264,'Rate Sheet'!$D:$F,3,FALSE),0)</f>
        <v>0</v>
      </c>
      <c r="AA1264" s="2">
        <f t="shared" si="19"/>
        <v>0</v>
      </c>
    </row>
    <row r="1265" spans="1:28" x14ac:dyDescent="0.25">
      <c r="A1265" t="s">
        <v>33</v>
      </c>
      <c r="B1265" t="s">
        <v>4680</v>
      </c>
      <c r="C1265" t="s">
        <v>21</v>
      </c>
      <c r="D1265" t="s">
        <v>4681</v>
      </c>
      <c r="E1265" t="s">
        <v>4682</v>
      </c>
      <c r="F1265" t="s">
        <v>4683</v>
      </c>
      <c r="G1265" t="s">
        <v>24</v>
      </c>
      <c r="H1265" t="s">
        <v>4684</v>
      </c>
      <c r="I1265" t="s">
        <v>46</v>
      </c>
      <c r="S1265" t="s">
        <v>48</v>
      </c>
      <c r="V1265" t="s">
        <v>5708</v>
      </c>
      <c r="W1265" t="s">
        <v>5709</v>
      </c>
      <c r="X1265" s="2">
        <f>IFERROR(VLOOKUP(I1265,'Rate Sheet'!$D:$F,3,FALSE),0)</f>
        <v>14.333333333333334</v>
      </c>
      <c r="Y1265" s="2">
        <f>IFERROR(VLOOKUP(J1265,'Rate Sheet'!$D:$F,3,FALSE),0)</f>
        <v>0</v>
      </c>
      <c r="Z1265" s="2">
        <f>IFERROR(VLOOKUP(K1265,'Rate Sheet'!$D:$F,3,FALSE),0)</f>
        <v>0</v>
      </c>
      <c r="AA1265" s="2">
        <f t="shared" ref="AA1265:AA1328" si="20">SUM(X1265:Z1265)</f>
        <v>14.333333333333334</v>
      </c>
      <c r="AB1265">
        <v>1</v>
      </c>
    </row>
    <row r="1266" spans="1:28" x14ac:dyDescent="0.25">
      <c r="A1266" t="s">
        <v>33</v>
      </c>
      <c r="B1266" t="s">
        <v>4685</v>
      </c>
      <c r="C1266" t="s">
        <v>21</v>
      </c>
      <c r="D1266" t="s">
        <v>4685</v>
      </c>
      <c r="E1266" t="s">
        <v>4686</v>
      </c>
      <c r="F1266" t="s">
        <v>4687</v>
      </c>
      <c r="G1266" t="s">
        <v>24</v>
      </c>
      <c r="H1266" t="s">
        <v>4688</v>
      </c>
      <c r="X1266" s="2">
        <f>IFERROR(VLOOKUP(I1266,'Rate Sheet'!$D:$F,3,FALSE),0)</f>
        <v>0</v>
      </c>
      <c r="Y1266" s="2">
        <f>IFERROR(VLOOKUP(J1266,'Rate Sheet'!$D:$F,3,FALSE),0)</f>
        <v>0</v>
      </c>
      <c r="Z1266" s="2">
        <f>IFERROR(VLOOKUP(K1266,'Rate Sheet'!$D:$F,3,FALSE),0)</f>
        <v>0</v>
      </c>
      <c r="AA1266" s="2">
        <f t="shared" si="20"/>
        <v>0</v>
      </c>
    </row>
    <row r="1267" spans="1:28" x14ac:dyDescent="0.25">
      <c r="A1267" t="s">
        <v>33</v>
      </c>
      <c r="B1267" t="s">
        <v>4689</v>
      </c>
      <c r="C1267" t="s">
        <v>21</v>
      </c>
      <c r="D1267" t="s">
        <v>4689</v>
      </c>
      <c r="E1267" t="s">
        <v>275</v>
      </c>
      <c r="F1267" t="s">
        <v>4690</v>
      </c>
      <c r="G1267" t="s">
        <v>24</v>
      </c>
      <c r="H1267" t="s">
        <v>4691</v>
      </c>
      <c r="X1267" s="2">
        <f>IFERROR(VLOOKUP(I1267,'Rate Sheet'!$D:$F,3,FALSE),0)</f>
        <v>0</v>
      </c>
      <c r="Y1267" s="2">
        <f>IFERROR(VLOOKUP(J1267,'Rate Sheet'!$D:$F,3,FALSE),0)</f>
        <v>0</v>
      </c>
      <c r="Z1267" s="2">
        <f>IFERROR(VLOOKUP(K1267,'Rate Sheet'!$D:$F,3,FALSE),0)</f>
        <v>0</v>
      </c>
      <c r="AA1267" s="2">
        <f t="shared" si="20"/>
        <v>0</v>
      </c>
    </row>
    <row r="1268" spans="1:28" x14ac:dyDescent="0.25">
      <c r="A1268" t="s">
        <v>33</v>
      </c>
      <c r="B1268" t="s">
        <v>4692</v>
      </c>
      <c r="C1268" t="s">
        <v>21</v>
      </c>
      <c r="D1268" t="s">
        <v>4692</v>
      </c>
      <c r="E1268" t="s">
        <v>342</v>
      </c>
      <c r="F1268" t="s">
        <v>926</v>
      </c>
      <c r="G1268" t="s">
        <v>24</v>
      </c>
      <c r="H1268" t="s">
        <v>4693</v>
      </c>
      <c r="X1268" s="2">
        <f>IFERROR(VLOOKUP(I1268,'Rate Sheet'!$D:$F,3,FALSE),0)</f>
        <v>0</v>
      </c>
      <c r="Y1268" s="2">
        <f>IFERROR(VLOOKUP(J1268,'Rate Sheet'!$D:$F,3,FALSE),0)</f>
        <v>0</v>
      </c>
      <c r="Z1268" s="2">
        <f>IFERROR(VLOOKUP(K1268,'Rate Sheet'!$D:$F,3,FALSE),0)</f>
        <v>0</v>
      </c>
      <c r="AA1268" s="2">
        <f t="shared" si="20"/>
        <v>0</v>
      </c>
    </row>
    <row r="1269" spans="1:28" x14ac:dyDescent="0.25">
      <c r="A1269" t="s">
        <v>33</v>
      </c>
      <c r="B1269" t="s">
        <v>4694</v>
      </c>
      <c r="C1269" t="s">
        <v>21</v>
      </c>
      <c r="D1269" t="s">
        <v>4695</v>
      </c>
      <c r="E1269" t="s">
        <v>4366</v>
      </c>
      <c r="F1269" t="s">
        <v>4696</v>
      </c>
      <c r="G1269" t="s">
        <v>24</v>
      </c>
      <c r="H1269" t="s">
        <v>4697</v>
      </c>
      <c r="I1269" t="s">
        <v>46</v>
      </c>
      <c r="N1269" t="s">
        <v>2083</v>
      </c>
      <c r="S1269" t="s">
        <v>48</v>
      </c>
      <c r="V1269" s="10" t="s">
        <v>5721</v>
      </c>
      <c r="W1269" s="10" t="s">
        <v>5722</v>
      </c>
      <c r="X1269" s="2">
        <f>IFERROR(VLOOKUP(I1269,'Rate Sheet'!$D:$F,3,FALSE),0)</f>
        <v>14.333333333333334</v>
      </c>
      <c r="Y1269" s="2">
        <f>IFERROR(VLOOKUP(J1269,'Rate Sheet'!$D:$F,3,FALSE),0)</f>
        <v>0</v>
      </c>
      <c r="Z1269" s="2">
        <f>IFERROR(VLOOKUP(K1269,'Rate Sheet'!$D:$F,3,FALSE),0)</f>
        <v>0</v>
      </c>
      <c r="AA1269" s="2">
        <f t="shared" si="20"/>
        <v>14.333333333333334</v>
      </c>
      <c r="AB1269">
        <v>1</v>
      </c>
    </row>
    <row r="1270" spans="1:28" x14ac:dyDescent="0.25">
      <c r="A1270" t="s">
        <v>33</v>
      </c>
      <c r="B1270" t="s">
        <v>4698</v>
      </c>
      <c r="C1270" t="s">
        <v>4699</v>
      </c>
      <c r="D1270" t="s">
        <v>4700</v>
      </c>
      <c r="E1270" t="s">
        <v>226</v>
      </c>
      <c r="F1270" t="s">
        <v>4701</v>
      </c>
      <c r="G1270" t="s">
        <v>24</v>
      </c>
      <c r="H1270" t="s">
        <v>4702</v>
      </c>
      <c r="I1270" t="s">
        <v>46</v>
      </c>
      <c r="N1270" t="s">
        <v>1013</v>
      </c>
      <c r="S1270" t="s">
        <v>48</v>
      </c>
      <c r="V1270" t="s">
        <v>5701</v>
      </c>
      <c r="W1270" t="s">
        <v>1013</v>
      </c>
      <c r="X1270" s="2">
        <f>IFERROR(VLOOKUP(I1270,'Rate Sheet'!$D:$F,3,FALSE),0)</f>
        <v>14.333333333333334</v>
      </c>
      <c r="Y1270" s="2">
        <f>IFERROR(VLOOKUP(J1270,'Rate Sheet'!$D:$F,3,FALSE),0)</f>
        <v>0</v>
      </c>
      <c r="Z1270" s="2">
        <f>IFERROR(VLOOKUP(K1270,'Rate Sheet'!$D:$F,3,FALSE),0)</f>
        <v>0</v>
      </c>
      <c r="AA1270" s="2">
        <f t="shared" si="20"/>
        <v>14.333333333333334</v>
      </c>
      <c r="AB1270">
        <v>1</v>
      </c>
    </row>
    <row r="1271" spans="1:28" x14ac:dyDescent="0.25">
      <c r="A1271" t="s">
        <v>33</v>
      </c>
      <c r="B1271" t="s">
        <v>4703</v>
      </c>
      <c r="C1271" t="s">
        <v>92</v>
      </c>
      <c r="D1271" t="s">
        <v>4703</v>
      </c>
      <c r="E1271" t="s">
        <v>4211</v>
      </c>
      <c r="F1271" t="s">
        <v>4704</v>
      </c>
      <c r="G1271" t="s">
        <v>24</v>
      </c>
      <c r="H1271" t="s">
        <v>4705</v>
      </c>
      <c r="I1271" t="s">
        <v>46</v>
      </c>
      <c r="N1271" t="s">
        <v>1402</v>
      </c>
      <c r="S1271" t="s">
        <v>48</v>
      </c>
      <c r="V1271" t="s">
        <v>5781</v>
      </c>
      <c r="W1271" t="s">
        <v>5782</v>
      </c>
      <c r="X1271" s="2">
        <f>IFERROR(VLOOKUP(I1271,'Rate Sheet'!$D:$F,3,FALSE),0)</f>
        <v>14.333333333333334</v>
      </c>
      <c r="Y1271" s="2">
        <f>IFERROR(VLOOKUP(J1271,'Rate Sheet'!$D:$F,3,FALSE),0)</f>
        <v>0</v>
      </c>
      <c r="Z1271" s="2">
        <f>IFERROR(VLOOKUP(K1271,'Rate Sheet'!$D:$F,3,FALSE),0)</f>
        <v>0</v>
      </c>
      <c r="AA1271" s="2">
        <f t="shared" si="20"/>
        <v>14.333333333333334</v>
      </c>
      <c r="AB1271">
        <v>1</v>
      </c>
    </row>
    <row r="1272" spans="1:28" x14ac:dyDescent="0.25">
      <c r="A1272" t="s">
        <v>33</v>
      </c>
      <c r="B1272" t="s">
        <v>4706</v>
      </c>
      <c r="C1272" t="s">
        <v>21</v>
      </c>
      <c r="D1272" t="s">
        <v>4706</v>
      </c>
      <c r="E1272" t="s">
        <v>135</v>
      </c>
      <c r="F1272" t="s">
        <v>4707</v>
      </c>
      <c r="G1272" t="s">
        <v>24</v>
      </c>
      <c r="H1272" t="s">
        <v>4708</v>
      </c>
      <c r="I1272" t="s">
        <v>46</v>
      </c>
      <c r="N1272" t="s">
        <v>138</v>
      </c>
      <c r="S1272" t="s">
        <v>48</v>
      </c>
      <c r="V1272" t="s">
        <v>5696</v>
      </c>
      <c r="W1272" t="s">
        <v>5697</v>
      </c>
      <c r="X1272" s="2">
        <f>IFERROR(VLOOKUP(I1272,'Rate Sheet'!$D:$F,3,FALSE),0)</f>
        <v>14.333333333333334</v>
      </c>
      <c r="Y1272" s="2">
        <f>IFERROR(VLOOKUP(J1272,'Rate Sheet'!$D:$F,3,FALSE),0)</f>
        <v>0</v>
      </c>
      <c r="Z1272" s="2">
        <f>IFERROR(VLOOKUP(K1272,'Rate Sheet'!$D:$F,3,FALSE),0)</f>
        <v>0</v>
      </c>
      <c r="AA1272" s="2">
        <f t="shared" si="20"/>
        <v>14.333333333333334</v>
      </c>
      <c r="AB1272">
        <v>1</v>
      </c>
    </row>
    <row r="1273" spans="1:28" x14ac:dyDescent="0.25">
      <c r="A1273" t="s">
        <v>33</v>
      </c>
      <c r="B1273" t="s">
        <v>4709</v>
      </c>
      <c r="C1273" t="s">
        <v>29</v>
      </c>
      <c r="D1273" t="s">
        <v>4709</v>
      </c>
      <c r="E1273" t="s">
        <v>4662</v>
      </c>
      <c r="F1273" t="s">
        <v>4663</v>
      </c>
      <c r="G1273" t="s">
        <v>24</v>
      </c>
      <c r="H1273" t="s">
        <v>4710</v>
      </c>
      <c r="I1273" t="s">
        <v>46</v>
      </c>
      <c r="N1273" t="s">
        <v>246</v>
      </c>
      <c r="S1273" t="s">
        <v>48</v>
      </c>
      <c r="V1273" s="10" t="s">
        <v>5661</v>
      </c>
      <c r="W1273" s="10" t="s">
        <v>246</v>
      </c>
      <c r="X1273" s="2">
        <f>IFERROR(VLOOKUP(I1273,'Rate Sheet'!$D:$F,3,FALSE),0)</f>
        <v>14.333333333333334</v>
      </c>
      <c r="Y1273" s="2">
        <f>IFERROR(VLOOKUP(J1273,'Rate Sheet'!$D:$F,3,FALSE),0)</f>
        <v>0</v>
      </c>
      <c r="Z1273" s="2">
        <f>IFERROR(VLOOKUP(K1273,'Rate Sheet'!$D:$F,3,FALSE),0)</f>
        <v>0</v>
      </c>
      <c r="AA1273" s="2">
        <f t="shared" si="20"/>
        <v>14.333333333333334</v>
      </c>
      <c r="AB1273">
        <v>1</v>
      </c>
    </row>
    <row r="1274" spans="1:28" x14ac:dyDescent="0.25">
      <c r="A1274" t="s">
        <v>33</v>
      </c>
      <c r="B1274" t="s">
        <v>4711</v>
      </c>
      <c r="C1274" t="s">
        <v>21</v>
      </c>
      <c r="D1274" t="s">
        <v>4712</v>
      </c>
      <c r="E1274" t="s">
        <v>540</v>
      </c>
      <c r="F1274" t="s">
        <v>4713</v>
      </c>
      <c r="G1274" t="s">
        <v>24</v>
      </c>
      <c r="H1274" t="s">
        <v>4714</v>
      </c>
      <c r="I1274" t="s">
        <v>46</v>
      </c>
      <c r="N1274" t="s">
        <v>3868</v>
      </c>
      <c r="S1274" t="s">
        <v>48</v>
      </c>
      <c r="V1274" t="s">
        <v>5602</v>
      </c>
      <c r="W1274" t="s">
        <v>5603</v>
      </c>
      <c r="X1274" s="2">
        <f>IFERROR(VLOOKUP(I1274,'Rate Sheet'!$D:$F,3,FALSE),0)</f>
        <v>14.333333333333334</v>
      </c>
      <c r="Y1274" s="2">
        <f>IFERROR(VLOOKUP(J1274,'Rate Sheet'!$D:$F,3,FALSE),0)</f>
        <v>0</v>
      </c>
      <c r="Z1274" s="2">
        <f>IFERROR(VLOOKUP(K1274,'Rate Sheet'!$D:$F,3,FALSE),0)</f>
        <v>0</v>
      </c>
      <c r="AA1274" s="2">
        <f t="shared" si="20"/>
        <v>14.333333333333334</v>
      </c>
      <c r="AB1274">
        <v>1</v>
      </c>
    </row>
    <row r="1275" spans="1:28" x14ac:dyDescent="0.25">
      <c r="A1275" t="s">
        <v>33</v>
      </c>
      <c r="B1275" t="s">
        <v>4715</v>
      </c>
      <c r="C1275" t="s">
        <v>29</v>
      </c>
      <c r="D1275" t="s">
        <v>4716</v>
      </c>
      <c r="E1275" t="s">
        <v>4717</v>
      </c>
      <c r="F1275" t="s">
        <v>4718</v>
      </c>
      <c r="G1275" t="s">
        <v>24</v>
      </c>
      <c r="H1275" t="s">
        <v>4719</v>
      </c>
      <c r="N1275" t="s">
        <v>246</v>
      </c>
      <c r="X1275" s="2">
        <f>IFERROR(VLOOKUP(I1275,'Rate Sheet'!$D:$F,3,FALSE),0)</f>
        <v>0</v>
      </c>
      <c r="Y1275" s="2">
        <f>IFERROR(VLOOKUP(J1275,'Rate Sheet'!$D:$F,3,FALSE),0)</f>
        <v>0</v>
      </c>
      <c r="Z1275" s="2">
        <f>IFERROR(VLOOKUP(K1275,'Rate Sheet'!$D:$F,3,FALSE),0)</f>
        <v>0</v>
      </c>
      <c r="AA1275" s="2">
        <f t="shared" si="20"/>
        <v>0</v>
      </c>
    </row>
    <row r="1276" spans="1:28" x14ac:dyDescent="0.25">
      <c r="A1276" t="s">
        <v>33</v>
      </c>
      <c r="B1276" t="s">
        <v>4720</v>
      </c>
      <c r="C1276" t="s">
        <v>21</v>
      </c>
      <c r="D1276" t="s">
        <v>4720</v>
      </c>
      <c r="E1276" t="s">
        <v>284</v>
      </c>
      <c r="F1276" t="s">
        <v>4721</v>
      </c>
      <c r="G1276" t="s">
        <v>24</v>
      </c>
      <c r="H1276" s="1" t="s">
        <v>4722</v>
      </c>
      <c r="I1276" t="s">
        <v>73</v>
      </c>
      <c r="N1276" t="s">
        <v>4723</v>
      </c>
      <c r="S1276" t="s">
        <v>75</v>
      </c>
      <c r="V1276" t="s">
        <v>5741</v>
      </c>
      <c r="W1276" t="s">
        <v>4723</v>
      </c>
      <c r="X1276" s="2">
        <f>IFERROR(VLOOKUP(I1276,'Rate Sheet'!$D:$F,3,FALSE),0)</f>
        <v>8.6983333333333324</v>
      </c>
      <c r="Y1276" s="2">
        <f>IFERROR(VLOOKUP(J1276,'Rate Sheet'!$D:$F,3,FALSE),0)</f>
        <v>0</v>
      </c>
      <c r="Z1276" s="2">
        <f>IFERROR(VLOOKUP(K1276,'Rate Sheet'!$D:$F,3,FALSE),0)</f>
        <v>0</v>
      </c>
      <c r="AA1276" s="2">
        <f t="shared" si="20"/>
        <v>8.6983333333333324</v>
      </c>
      <c r="AB1276">
        <v>1</v>
      </c>
    </row>
    <row r="1277" spans="1:28" x14ac:dyDescent="0.25">
      <c r="A1277" t="s">
        <v>33</v>
      </c>
      <c r="B1277" t="s">
        <v>4724</v>
      </c>
      <c r="C1277" t="s">
        <v>29</v>
      </c>
      <c r="D1277" t="s">
        <v>4724</v>
      </c>
      <c r="E1277" t="s">
        <v>939</v>
      </c>
      <c r="F1277" t="s">
        <v>4725</v>
      </c>
      <c r="G1277" t="s">
        <v>24</v>
      </c>
      <c r="H1277" t="s">
        <v>4726</v>
      </c>
      <c r="N1277" t="s">
        <v>861</v>
      </c>
      <c r="R1277" t="s">
        <v>48</v>
      </c>
      <c r="X1277" s="2">
        <f>IFERROR(VLOOKUP(I1277,'Rate Sheet'!$D:$F,3,FALSE),0)</f>
        <v>0</v>
      </c>
      <c r="Y1277" s="2">
        <f>IFERROR(VLOOKUP(J1277,'Rate Sheet'!$D:$F,3,FALSE),0)</f>
        <v>0</v>
      </c>
      <c r="Z1277" s="2">
        <f>IFERROR(VLOOKUP(K1277,'Rate Sheet'!$D:$F,3,FALSE),0)</f>
        <v>0</v>
      </c>
      <c r="AA1277" s="2">
        <f t="shared" si="20"/>
        <v>0</v>
      </c>
    </row>
    <row r="1278" spans="1:28" x14ac:dyDescent="0.25">
      <c r="A1278" t="s">
        <v>33</v>
      </c>
      <c r="B1278" t="s">
        <v>4727</v>
      </c>
      <c r="C1278" t="s">
        <v>29</v>
      </c>
      <c r="D1278" t="s">
        <v>4727</v>
      </c>
      <c r="E1278" t="s">
        <v>4728</v>
      </c>
      <c r="F1278" t="s">
        <v>4729</v>
      </c>
      <c r="G1278" t="s">
        <v>24</v>
      </c>
      <c r="H1278" s="1" t="s">
        <v>4730</v>
      </c>
      <c r="N1278" t="s">
        <v>2312</v>
      </c>
      <c r="X1278" s="2">
        <f>IFERROR(VLOOKUP(I1278,'Rate Sheet'!$D:$F,3,FALSE),0)</f>
        <v>0</v>
      </c>
      <c r="Y1278" s="2">
        <f>IFERROR(VLOOKUP(J1278,'Rate Sheet'!$D:$F,3,FALSE),0)</f>
        <v>0</v>
      </c>
      <c r="Z1278" s="2">
        <f>IFERROR(VLOOKUP(K1278,'Rate Sheet'!$D:$F,3,FALSE),0)</f>
        <v>0</v>
      </c>
      <c r="AA1278" s="2">
        <f t="shared" si="20"/>
        <v>0</v>
      </c>
    </row>
    <row r="1279" spans="1:28" x14ac:dyDescent="0.25">
      <c r="A1279" t="s">
        <v>33</v>
      </c>
      <c r="B1279" t="s">
        <v>4731</v>
      </c>
      <c r="C1279" t="s">
        <v>21</v>
      </c>
      <c r="D1279" t="s">
        <v>4731</v>
      </c>
      <c r="E1279" t="s">
        <v>4732</v>
      </c>
      <c r="F1279" t="s">
        <v>4733</v>
      </c>
      <c r="G1279" t="s">
        <v>24</v>
      </c>
      <c r="H1279" t="s">
        <v>4734</v>
      </c>
      <c r="I1279" t="s">
        <v>46</v>
      </c>
      <c r="N1279" t="s">
        <v>4302</v>
      </c>
      <c r="S1279" t="s">
        <v>48</v>
      </c>
      <c r="V1279" t="s">
        <v>5742</v>
      </c>
      <c r="W1279" t="s">
        <v>5743</v>
      </c>
      <c r="X1279" s="2">
        <f>IFERROR(VLOOKUP(I1279,'Rate Sheet'!$D:$F,3,FALSE),0)</f>
        <v>14.333333333333334</v>
      </c>
      <c r="Y1279" s="2">
        <f>IFERROR(VLOOKUP(J1279,'Rate Sheet'!$D:$F,3,FALSE),0)</f>
        <v>0</v>
      </c>
      <c r="Z1279" s="2">
        <f>IFERROR(VLOOKUP(K1279,'Rate Sheet'!$D:$F,3,FALSE),0)</f>
        <v>0</v>
      </c>
      <c r="AA1279" s="2">
        <f t="shared" si="20"/>
        <v>14.333333333333334</v>
      </c>
      <c r="AB1279">
        <v>1</v>
      </c>
    </row>
    <row r="1280" spans="1:28" x14ac:dyDescent="0.25">
      <c r="A1280" t="s">
        <v>33</v>
      </c>
      <c r="B1280" t="s">
        <v>4735</v>
      </c>
      <c r="C1280" t="s">
        <v>21</v>
      </c>
      <c r="D1280" t="s">
        <v>4735</v>
      </c>
      <c r="E1280" t="s">
        <v>778</v>
      </c>
      <c r="F1280" t="s">
        <v>4736</v>
      </c>
      <c r="G1280" t="s">
        <v>24</v>
      </c>
      <c r="H1280" t="s">
        <v>4737</v>
      </c>
      <c r="X1280" s="2">
        <f>IFERROR(VLOOKUP(I1280,'Rate Sheet'!$D:$F,3,FALSE),0)</f>
        <v>0</v>
      </c>
      <c r="Y1280" s="2">
        <f>IFERROR(VLOOKUP(J1280,'Rate Sheet'!$D:$F,3,FALSE),0)</f>
        <v>0</v>
      </c>
      <c r="Z1280" s="2">
        <f>IFERROR(VLOOKUP(K1280,'Rate Sheet'!$D:$F,3,FALSE),0)</f>
        <v>0</v>
      </c>
      <c r="AA1280" s="2">
        <f t="shared" si="20"/>
        <v>0</v>
      </c>
    </row>
    <row r="1281" spans="1:28" x14ac:dyDescent="0.25">
      <c r="A1281" t="s">
        <v>33</v>
      </c>
      <c r="B1281" t="s">
        <v>4738</v>
      </c>
      <c r="C1281" t="s">
        <v>29</v>
      </c>
      <c r="D1281" t="s">
        <v>4738</v>
      </c>
      <c r="E1281" t="s">
        <v>894</v>
      </c>
      <c r="F1281" t="s">
        <v>4739</v>
      </c>
      <c r="G1281" t="s">
        <v>24</v>
      </c>
      <c r="H1281" t="s">
        <v>4740</v>
      </c>
      <c r="I1281" t="s">
        <v>46</v>
      </c>
      <c r="N1281" t="s">
        <v>246</v>
      </c>
      <c r="S1281" t="s">
        <v>48</v>
      </c>
      <c r="V1281" t="s">
        <v>5661</v>
      </c>
      <c r="W1281" t="s">
        <v>246</v>
      </c>
      <c r="X1281" s="2">
        <f>IFERROR(VLOOKUP(I1281,'Rate Sheet'!$D:$F,3,FALSE),0)</f>
        <v>14.333333333333334</v>
      </c>
      <c r="Y1281" s="2">
        <f>IFERROR(VLOOKUP(J1281,'Rate Sheet'!$D:$F,3,FALSE),0)</f>
        <v>0</v>
      </c>
      <c r="Z1281" s="2">
        <f>IFERROR(VLOOKUP(K1281,'Rate Sheet'!$D:$F,3,FALSE),0)</f>
        <v>0</v>
      </c>
      <c r="AA1281" s="2">
        <f t="shared" si="20"/>
        <v>14.333333333333334</v>
      </c>
      <c r="AB1281">
        <v>1</v>
      </c>
    </row>
    <row r="1282" spans="1:28" x14ac:dyDescent="0.25">
      <c r="A1282" t="s">
        <v>33</v>
      </c>
      <c r="B1282" t="s">
        <v>4741</v>
      </c>
      <c r="C1282" t="s">
        <v>21</v>
      </c>
      <c r="D1282" t="s">
        <v>4741</v>
      </c>
      <c r="E1282" t="s">
        <v>1557</v>
      </c>
      <c r="F1282" t="s">
        <v>4742</v>
      </c>
      <c r="G1282" t="s">
        <v>24</v>
      </c>
      <c r="H1282" t="s">
        <v>4743</v>
      </c>
      <c r="X1282" s="2">
        <f>IFERROR(VLOOKUP(I1282,'Rate Sheet'!$D:$F,3,FALSE),0)</f>
        <v>0</v>
      </c>
      <c r="Y1282" s="2">
        <f>IFERROR(VLOOKUP(J1282,'Rate Sheet'!$D:$F,3,FALSE),0)</f>
        <v>0</v>
      </c>
      <c r="Z1282" s="2">
        <f>IFERROR(VLOOKUP(K1282,'Rate Sheet'!$D:$F,3,FALSE),0)</f>
        <v>0</v>
      </c>
      <c r="AA1282" s="2">
        <f t="shared" si="20"/>
        <v>0</v>
      </c>
    </row>
    <row r="1283" spans="1:28" x14ac:dyDescent="0.25">
      <c r="A1283" t="s">
        <v>33</v>
      </c>
      <c r="B1283" t="s">
        <v>4744</v>
      </c>
      <c r="C1283" t="s">
        <v>29</v>
      </c>
      <c r="D1283" t="s">
        <v>4744</v>
      </c>
      <c r="E1283" t="s">
        <v>435</v>
      </c>
      <c r="F1283" t="s">
        <v>2602</v>
      </c>
      <c r="G1283" t="s">
        <v>24</v>
      </c>
      <c r="H1283" t="s">
        <v>4745</v>
      </c>
      <c r="I1283" t="s">
        <v>46</v>
      </c>
      <c r="N1283" t="s">
        <v>638</v>
      </c>
      <c r="S1283" t="s">
        <v>48</v>
      </c>
      <c r="V1283" t="s">
        <v>5612</v>
      </c>
      <c r="W1283" t="s">
        <v>5613</v>
      </c>
      <c r="X1283" s="2">
        <f>IFERROR(VLOOKUP(I1283,'Rate Sheet'!$D:$F,3,FALSE),0)</f>
        <v>14.333333333333334</v>
      </c>
      <c r="Y1283" s="2">
        <f>IFERROR(VLOOKUP(J1283,'Rate Sheet'!$D:$F,3,FALSE),0)</f>
        <v>0</v>
      </c>
      <c r="Z1283" s="2">
        <f>IFERROR(VLOOKUP(K1283,'Rate Sheet'!$D:$F,3,FALSE),0)</f>
        <v>0</v>
      </c>
      <c r="AA1283" s="2">
        <f t="shared" si="20"/>
        <v>14.333333333333334</v>
      </c>
      <c r="AB1283">
        <v>1</v>
      </c>
    </row>
    <row r="1284" spans="1:28" x14ac:dyDescent="0.25">
      <c r="A1284" t="s">
        <v>33</v>
      </c>
      <c r="B1284" t="s">
        <v>4746</v>
      </c>
      <c r="C1284" t="s">
        <v>29</v>
      </c>
      <c r="D1284" t="s">
        <v>4746</v>
      </c>
      <c r="E1284" t="s">
        <v>710</v>
      </c>
      <c r="F1284" t="s">
        <v>4747</v>
      </c>
      <c r="G1284" t="s">
        <v>24</v>
      </c>
      <c r="H1284" t="s">
        <v>4748</v>
      </c>
      <c r="I1284" t="s">
        <v>46</v>
      </c>
      <c r="S1284" t="s">
        <v>48</v>
      </c>
      <c r="V1284" t="s">
        <v>5756</v>
      </c>
      <c r="W1284" t="s">
        <v>3808</v>
      </c>
      <c r="X1284" s="2">
        <f>IFERROR(VLOOKUP(I1284,'Rate Sheet'!$D:$F,3,FALSE),0)</f>
        <v>14.333333333333334</v>
      </c>
      <c r="Y1284" s="2">
        <f>IFERROR(VLOOKUP(J1284,'Rate Sheet'!$D:$F,3,FALSE),0)</f>
        <v>0</v>
      </c>
      <c r="Z1284" s="2">
        <f>IFERROR(VLOOKUP(K1284,'Rate Sheet'!$D:$F,3,FALSE),0)</f>
        <v>0</v>
      </c>
      <c r="AA1284" s="2">
        <f t="shared" si="20"/>
        <v>14.333333333333334</v>
      </c>
      <c r="AB1284">
        <v>1</v>
      </c>
    </row>
    <row r="1285" spans="1:28" x14ac:dyDescent="0.25">
      <c r="A1285" t="s">
        <v>33</v>
      </c>
      <c r="B1285" t="s">
        <v>4749</v>
      </c>
      <c r="C1285" t="s">
        <v>21</v>
      </c>
      <c r="D1285" t="s">
        <v>4749</v>
      </c>
      <c r="E1285" t="s">
        <v>778</v>
      </c>
      <c r="F1285" t="s">
        <v>4750</v>
      </c>
      <c r="G1285" t="s">
        <v>24</v>
      </c>
      <c r="H1285" t="s">
        <v>4751</v>
      </c>
      <c r="N1285" t="s">
        <v>74</v>
      </c>
      <c r="R1285" t="s">
        <v>48</v>
      </c>
      <c r="X1285" s="2">
        <f>IFERROR(VLOOKUP(I1285,'Rate Sheet'!$D:$F,3,FALSE),0)</f>
        <v>0</v>
      </c>
      <c r="Y1285" s="2">
        <f>IFERROR(VLOOKUP(J1285,'Rate Sheet'!$D:$F,3,FALSE),0)</f>
        <v>0</v>
      </c>
      <c r="Z1285" s="2">
        <f>IFERROR(VLOOKUP(K1285,'Rate Sheet'!$D:$F,3,FALSE),0)</f>
        <v>0</v>
      </c>
      <c r="AA1285" s="2">
        <f t="shared" si="20"/>
        <v>0</v>
      </c>
    </row>
    <row r="1286" spans="1:28" x14ac:dyDescent="0.25">
      <c r="A1286" t="s">
        <v>33</v>
      </c>
      <c r="B1286" t="s">
        <v>4752</v>
      </c>
      <c r="C1286" t="s">
        <v>21</v>
      </c>
      <c r="D1286" t="s">
        <v>4752</v>
      </c>
      <c r="E1286" t="s">
        <v>939</v>
      </c>
      <c r="F1286" t="s">
        <v>4753</v>
      </c>
      <c r="G1286" t="s">
        <v>24</v>
      </c>
      <c r="H1286" t="s">
        <v>4754</v>
      </c>
      <c r="X1286" s="2">
        <f>IFERROR(VLOOKUP(I1286,'Rate Sheet'!$D:$F,3,FALSE),0)</f>
        <v>0</v>
      </c>
      <c r="Y1286" s="2">
        <f>IFERROR(VLOOKUP(J1286,'Rate Sheet'!$D:$F,3,FALSE),0)</f>
        <v>0</v>
      </c>
      <c r="Z1286" s="2">
        <f>IFERROR(VLOOKUP(K1286,'Rate Sheet'!$D:$F,3,FALSE),0)</f>
        <v>0</v>
      </c>
      <c r="AA1286" s="2">
        <f t="shared" si="20"/>
        <v>0</v>
      </c>
    </row>
    <row r="1287" spans="1:28" x14ac:dyDescent="0.25">
      <c r="A1287" t="s">
        <v>33</v>
      </c>
      <c r="B1287" t="s">
        <v>4755</v>
      </c>
      <c r="C1287" t="s">
        <v>21</v>
      </c>
      <c r="D1287" t="s">
        <v>4756</v>
      </c>
      <c r="E1287" t="s">
        <v>3350</v>
      </c>
      <c r="F1287" t="s">
        <v>4757</v>
      </c>
      <c r="G1287" t="s">
        <v>24</v>
      </c>
      <c r="H1287" t="s">
        <v>4758</v>
      </c>
      <c r="I1287" t="s">
        <v>46</v>
      </c>
      <c r="N1287" t="s">
        <v>548</v>
      </c>
      <c r="S1287" t="s">
        <v>48</v>
      </c>
      <c r="V1287" t="s">
        <v>5598</v>
      </c>
      <c r="W1287" t="s">
        <v>119</v>
      </c>
      <c r="X1287" s="2">
        <f>IFERROR(VLOOKUP(I1287,'Rate Sheet'!$D:$F,3,FALSE),0)</f>
        <v>14.333333333333334</v>
      </c>
      <c r="Y1287" s="2">
        <f>IFERROR(VLOOKUP(J1287,'Rate Sheet'!$D:$F,3,FALSE),0)</f>
        <v>0</v>
      </c>
      <c r="Z1287" s="2">
        <f>IFERROR(VLOOKUP(K1287,'Rate Sheet'!$D:$F,3,FALSE),0)</f>
        <v>0</v>
      </c>
      <c r="AA1287" s="2">
        <f t="shared" si="20"/>
        <v>14.333333333333334</v>
      </c>
      <c r="AB1287">
        <v>1</v>
      </c>
    </row>
    <row r="1288" spans="1:28" x14ac:dyDescent="0.25">
      <c r="A1288" t="s">
        <v>33</v>
      </c>
      <c r="B1288" t="s">
        <v>4759</v>
      </c>
      <c r="C1288" t="s">
        <v>21</v>
      </c>
      <c r="D1288" t="s">
        <v>4759</v>
      </c>
      <c r="E1288" t="s">
        <v>886</v>
      </c>
      <c r="F1288" t="s">
        <v>4760</v>
      </c>
      <c r="G1288" t="s">
        <v>24</v>
      </c>
      <c r="H1288" t="s">
        <v>4761</v>
      </c>
      <c r="X1288" s="2">
        <f>IFERROR(VLOOKUP(I1288,'Rate Sheet'!$D:$F,3,FALSE),0)</f>
        <v>0</v>
      </c>
      <c r="Y1288" s="2">
        <f>IFERROR(VLOOKUP(J1288,'Rate Sheet'!$D:$F,3,FALSE),0)</f>
        <v>0</v>
      </c>
      <c r="Z1288" s="2">
        <f>IFERROR(VLOOKUP(K1288,'Rate Sheet'!$D:$F,3,FALSE),0)</f>
        <v>0</v>
      </c>
      <c r="AA1288" s="2">
        <f t="shared" si="20"/>
        <v>0</v>
      </c>
    </row>
    <row r="1289" spans="1:28" x14ac:dyDescent="0.25">
      <c r="A1289" t="s">
        <v>33</v>
      </c>
      <c r="B1289" t="s">
        <v>4762</v>
      </c>
      <c r="C1289" t="s">
        <v>29</v>
      </c>
      <c r="D1289" t="s">
        <v>4762</v>
      </c>
      <c r="E1289" t="s">
        <v>4763</v>
      </c>
      <c r="F1289" t="s">
        <v>4764</v>
      </c>
      <c r="G1289" t="s">
        <v>24</v>
      </c>
      <c r="H1289" s="1" t="s">
        <v>4765</v>
      </c>
      <c r="I1289" t="s">
        <v>46</v>
      </c>
      <c r="N1289" t="s">
        <v>246</v>
      </c>
      <c r="S1289" t="s">
        <v>48</v>
      </c>
      <c r="V1289" t="s">
        <v>5661</v>
      </c>
      <c r="W1289" t="s">
        <v>246</v>
      </c>
      <c r="X1289" s="2">
        <f>IFERROR(VLOOKUP(I1289,'Rate Sheet'!$D:$F,3,FALSE),0)</f>
        <v>14.333333333333334</v>
      </c>
      <c r="Y1289" s="2">
        <f>IFERROR(VLOOKUP(J1289,'Rate Sheet'!$D:$F,3,FALSE),0)</f>
        <v>0</v>
      </c>
      <c r="Z1289" s="2">
        <f>IFERROR(VLOOKUP(K1289,'Rate Sheet'!$D:$F,3,FALSE),0)</f>
        <v>0</v>
      </c>
      <c r="AA1289" s="2">
        <f t="shared" si="20"/>
        <v>14.333333333333334</v>
      </c>
      <c r="AB1289">
        <v>1</v>
      </c>
    </row>
    <row r="1290" spans="1:28" x14ac:dyDescent="0.25">
      <c r="A1290" t="s">
        <v>33</v>
      </c>
      <c r="B1290" t="s">
        <v>4766</v>
      </c>
      <c r="C1290" t="s">
        <v>29</v>
      </c>
      <c r="D1290" t="s">
        <v>4766</v>
      </c>
      <c r="E1290" t="s">
        <v>4767</v>
      </c>
      <c r="F1290" t="s">
        <v>4768</v>
      </c>
      <c r="G1290" t="s">
        <v>24</v>
      </c>
      <c r="H1290" t="s">
        <v>4769</v>
      </c>
      <c r="I1290" t="s">
        <v>46</v>
      </c>
      <c r="N1290" t="s">
        <v>3808</v>
      </c>
      <c r="S1290" t="s">
        <v>48</v>
      </c>
      <c r="V1290" t="s">
        <v>5756</v>
      </c>
      <c r="W1290" t="s">
        <v>3808</v>
      </c>
      <c r="X1290" s="2">
        <f>IFERROR(VLOOKUP(I1290,'Rate Sheet'!$D:$F,3,FALSE),0)</f>
        <v>14.333333333333334</v>
      </c>
      <c r="Y1290" s="2">
        <f>IFERROR(VLOOKUP(J1290,'Rate Sheet'!$D:$F,3,FALSE),0)</f>
        <v>0</v>
      </c>
      <c r="Z1290" s="2">
        <f>IFERROR(VLOOKUP(K1290,'Rate Sheet'!$D:$F,3,FALSE),0)</f>
        <v>0</v>
      </c>
      <c r="AA1290" s="2">
        <f t="shared" si="20"/>
        <v>14.333333333333334</v>
      </c>
      <c r="AB1290">
        <v>1</v>
      </c>
    </row>
    <row r="1291" spans="1:28" x14ac:dyDescent="0.25">
      <c r="A1291" t="s">
        <v>33</v>
      </c>
      <c r="B1291" t="s">
        <v>4770</v>
      </c>
      <c r="C1291" t="s">
        <v>21</v>
      </c>
      <c r="D1291" t="s">
        <v>4770</v>
      </c>
      <c r="E1291" t="s">
        <v>4211</v>
      </c>
      <c r="F1291" t="s">
        <v>4771</v>
      </c>
      <c r="G1291" t="s">
        <v>24</v>
      </c>
      <c r="H1291" t="s">
        <v>4772</v>
      </c>
      <c r="N1291" t="s">
        <v>3868</v>
      </c>
      <c r="R1291" t="s">
        <v>48</v>
      </c>
      <c r="X1291" s="2">
        <f>IFERROR(VLOOKUP(I1291,'Rate Sheet'!$D:$F,3,FALSE),0)</f>
        <v>0</v>
      </c>
      <c r="Y1291" s="2">
        <f>IFERROR(VLOOKUP(J1291,'Rate Sheet'!$D:$F,3,FALSE),0)</f>
        <v>0</v>
      </c>
      <c r="Z1291" s="2">
        <f>IFERROR(VLOOKUP(K1291,'Rate Sheet'!$D:$F,3,FALSE),0)</f>
        <v>0</v>
      </c>
      <c r="AA1291" s="2">
        <f t="shared" si="20"/>
        <v>0</v>
      </c>
    </row>
    <row r="1292" spans="1:28" x14ac:dyDescent="0.25">
      <c r="A1292" t="s">
        <v>33</v>
      </c>
      <c r="B1292" t="s">
        <v>4773</v>
      </c>
      <c r="C1292" t="s">
        <v>21</v>
      </c>
      <c r="D1292" t="s">
        <v>4773</v>
      </c>
      <c r="E1292" t="s">
        <v>4774</v>
      </c>
      <c r="F1292" t="s">
        <v>4775</v>
      </c>
      <c r="G1292" t="s">
        <v>24</v>
      </c>
      <c r="H1292" t="s">
        <v>4776</v>
      </c>
      <c r="N1292" t="s">
        <v>3868</v>
      </c>
      <c r="R1292" t="s">
        <v>48</v>
      </c>
      <c r="X1292" s="2">
        <f>IFERROR(VLOOKUP(I1292,'Rate Sheet'!$D:$F,3,FALSE),0)</f>
        <v>0</v>
      </c>
      <c r="Y1292" s="2">
        <f>IFERROR(VLOOKUP(J1292,'Rate Sheet'!$D:$F,3,FALSE),0)</f>
        <v>0</v>
      </c>
      <c r="Z1292" s="2">
        <f>IFERROR(VLOOKUP(K1292,'Rate Sheet'!$D:$F,3,FALSE),0)</f>
        <v>0</v>
      </c>
      <c r="AA1292" s="2">
        <f t="shared" si="20"/>
        <v>0</v>
      </c>
    </row>
    <row r="1293" spans="1:28" x14ac:dyDescent="0.25">
      <c r="A1293" t="s">
        <v>33</v>
      </c>
      <c r="B1293" t="s">
        <v>4777</v>
      </c>
      <c r="C1293" t="s">
        <v>21</v>
      </c>
      <c r="D1293" t="s">
        <v>4777</v>
      </c>
      <c r="E1293" t="s">
        <v>727</v>
      </c>
      <c r="F1293" t="s">
        <v>4778</v>
      </c>
      <c r="G1293" t="s">
        <v>24</v>
      </c>
      <c r="H1293" t="s">
        <v>4779</v>
      </c>
      <c r="N1293" t="s">
        <v>4229</v>
      </c>
      <c r="R1293" t="s">
        <v>48</v>
      </c>
      <c r="X1293" s="2">
        <f>IFERROR(VLOOKUP(I1293,'Rate Sheet'!$D:$F,3,FALSE),0)</f>
        <v>0</v>
      </c>
      <c r="Y1293" s="2">
        <f>IFERROR(VLOOKUP(J1293,'Rate Sheet'!$D:$F,3,FALSE),0)</f>
        <v>0</v>
      </c>
      <c r="Z1293" s="2">
        <f>IFERROR(VLOOKUP(K1293,'Rate Sheet'!$D:$F,3,FALSE),0)</f>
        <v>0</v>
      </c>
      <c r="AA1293" s="2">
        <f t="shared" si="20"/>
        <v>0</v>
      </c>
    </row>
    <row r="1294" spans="1:28" x14ac:dyDescent="0.25">
      <c r="A1294" t="s">
        <v>33</v>
      </c>
      <c r="B1294" t="s">
        <v>4780</v>
      </c>
      <c r="C1294" t="s">
        <v>29</v>
      </c>
      <c r="D1294" t="s">
        <v>4780</v>
      </c>
      <c r="E1294" t="s">
        <v>4141</v>
      </c>
      <c r="F1294" t="s">
        <v>4781</v>
      </c>
      <c r="G1294" t="s">
        <v>24</v>
      </c>
      <c r="H1294" t="s">
        <v>4782</v>
      </c>
      <c r="N1294" t="s">
        <v>190</v>
      </c>
      <c r="R1294" t="s">
        <v>48</v>
      </c>
      <c r="X1294" s="2">
        <f>IFERROR(VLOOKUP(I1294,'Rate Sheet'!$D:$F,3,FALSE),0)</f>
        <v>0</v>
      </c>
      <c r="Y1294" s="2">
        <f>IFERROR(VLOOKUP(J1294,'Rate Sheet'!$D:$F,3,FALSE),0)</f>
        <v>0</v>
      </c>
      <c r="Z1294" s="2">
        <f>IFERROR(VLOOKUP(K1294,'Rate Sheet'!$D:$F,3,FALSE),0)</f>
        <v>0</v>
      </c>
      <c r="AA1294" s="2">
        <f t="shared" si="20"/>
        <v>0</v>
      </c>
    </row>
    <row r="1295" spans="1:28" x14ac:dyDescent="0.25">
      <c r="A1295" t="s">
        <v>33</v>
      </c>
      <c r="B1295" t="s">
        <v>4783</v>
      </c>
      <c r="C1295" t="s">
        <v>21</v>
      </c>
      <c r="D1295" t="s">
        <v>4783</v>
      </c>
      <c r="E1295" t="s">
        <v>4784</v>
      </c>
      <c r="F1295" t="s">
        <v>4785</v>
      </c>
      <c r="G1295" t="s">
        <v>24</v>
      </c>
      <c r="H1295" t="s">
        <v>4786</v>
      </c>
      <c r="N1295" t="s">
        <v>53</v>
      </c>
      <c r="X1295" s="2">
        <f>IFERROR(VLOOKUP(I1295,'Rate Sheet'!$D:$F,3,FALSE),0)</f>
        <v>0</v>
      </c>
      <c r="Y1295" s="2">
        <f>IFERROR(VLOOKUP(J1295,'Rate Sheet'!$D:$F,3,FALSE),0)</f>
        <v>0</v>
      </c>
      <c r="Z1295" s="2">
        <f>IFERROR(VLOOKUP(K1295,'Rate Sheet'!$D:$F,3,FALSE),0)</f>
        <v>0</v>
      </c>
      <c r="AA1295" s="2">
        <f t="shared" si="20"/>
        <v>0</v>
      </c>
    </row>
    <row r="1296" spans="1:28" x14ac:dyDescent="0.25">
      <c r="A1296" t="s">
        <v>33</v>
      </c>
      <c r="B1296" t="s">
        <v>4787</v>
      </c>
      <c r="C1296" t="s">
        <v>21</v>
      </c>
      <c r="D1296" t="s">
        <v>4787</v>
      </c>
      <c r="E1296" t="s">
        <v>1003</v>
      </c>
      <c r="F1296" t="s">
        <v>4788</v>
      </c>
      <c r="G1296" t="s">
        <v>24</v>
      </c>
      <c r="H1296" t="s">
        <v>4789</v>
      </c>
      <c r="N1296" t="s">
        <v>38</v>
      </c>
      <c r="R1296" t="s">
        <v>48</v>
      </c>
      <c r="X1296" s="2">
        <f>IFERROR(VLOOKUP(I1296,'Rate Sheet'!$D:$F,3,FALSE),0)</f>
        <v>0</v>
      </c>
      <c r="Y1296" s="2">
        <f>IFERROR(VLOOKUP(J1296,'Rate Sheet'!$D:$F,3,FALSE),0)</f>
        <v>0</v>
      </c>
      <c r="Z1296" s="2">
        <f>IFERROR(VLOOKUP(K1296,'Rate Sheet'!$D:$F,3,FALSE),0)</f>
        <v>0</v>
      </c>
      <c r="AA1296" s="2">
        <f t="shared" si="20"/>
        <v>0</v>
      </c>
    </row>
    <row r="1297" spans="1:28" x14ac:dyDescent="0.25">
      <c r="A1297" t="s">
        <v>33</v>
      </c>
      <c r="B1297" t="s">
        <v>4790</v>
      </c>
      <c r="C1297" t="s">
        <v>21</v>
      </c>
      <c r="D1297" t="s">
        <v>4790</v>
      </c>
      <c r="E1297" t="s">
        <v>4791</v>
      </c>
      <c r="F1297" t="s">
        <v>4792</v>
      </c>
      <c r="G1297" t="s">
        <v>24</v>
      </c>
      <c r="H1297" t="s">
        <v>4793</v>
      </c>
      <c r="N1297" t="s">
        <v>3868</v>
      </c>
      <c r="R1297" t="s">
        <v>48</v>
      </c>
      <c r="X1297" s="2">
        <f>IFERROR(VLOOKUP(I1297,'Rate Sheet'!$D:$F,3,FALSE),0)</f>
        <v>0</v>
      </c>
      <c r="Y1297" s="2">
        <f>IFERROR(VLOOKUP(J1297,'Rate Sheet'!$D:$F,3,FALSE),0)</f>
        <v>0</v>
      </c>
      <c r="Z1297" s="2">
        <f>IFERROR(VLOOKUP(K1297,'Rate Sheet'!$D:$F,3,FALSE),0)</f>
        <v>0</v>
      </c>
      <c r="AA1297" s="2">
        <f t="shared" si="20"/>
        <v>0</v>
      </c>
    </row>
    <row r="1298" spans="1:28" x14ac:dyDescent="0.25">
      <c r="A1298" t="s">
        <v>33</v>
      </c>
      <c r="B1298" t="s">
        <v>4794</v>
      </c>
      <c r="C1298" t="s">
        <v>29</v>
      </c>
      <c r="D1298" t="s">
        <v>4794</v>
      </c>
      <c r="E1298" t="s">
        <v>3222</v>
      </c>
      <c r="F1298" t="s">
        <v>4795</v>
      </c>
      <c r="G1298" t="s">
        <v>24</v>
      </c>
      <c r="H1298" t="s">
        <v>4796</v>
      </c>
      <c r="N1298" t="s">
        <v>3808</v>
      </c>
      <c r="R1298" t="s">
        <v>48</v>
      </c>
      <c r="X1298" s="2">
        <f>IFERROR(VLOOKUP(I1298,'Rate Sheet'!$D:$F,3,FALSE),0)</f>
        <v>0</v>
      </c>
      <c r="Y1298" s="2">
        <f>IFERROR(VLOOKUP(J1298,'Rate Sheet'!$D:$F,3,FALSE),0)</f>
        <v>0</v>
      </c>
      <c r="Z1298" s="2">
        <f>IFERROR(VLOOKUP(K1298,'Rate Sheet'!$D:$F,3,FALSE),0)</f>
        <v>0</v>
      </c>
      <c r="AA1298" s="2">
        <f t="shared" si="20"/>
        <v>0</v>
      </c>
    </row>
    <row r="1299" spans="1:28" x14ac:dyDescent="0.25">
      <c r="A1299" t="s">
        <v>33</v>
      </c>
      <c r="B1299" t="s">
        <v>4797</v>
      </c>
      <c r="C1299" t="s">
        <v>21</v>
      </c>
      <c r="D1299" t="s">
        <v>4797</v>
      </c>
      <c r="E1299" t="s">
        <v>660</v>
      </c>
      <c r="F1299" t="s">
        <v>4798</v>
      </c>
      <c r="G1299" t="s">
        <v>24</v>
      </c>
      <c r="H1299" t="s">
        <v>4799</v>
      </c>
      <c r="N1299" t="s">
        <v>3868</v>
      </c>
      <c r="R1299" t="s">
        <v>48</v>
      </c>
      <c r="X1299" s="2">
        <f>IFERROR(VLOOKUP(I1299,'Rate Sheet'!$D:$F,3,FALSE),0)</f>
        <v>0</v>
      </c>
      <c r="Y1299" s="2">
        <f>IFERROR(VLOOKUP(J1299,'Rate Sheet'!$D:$F,3,FALSE),0)</f>
        <v>0</v>
      </c>
      <c r="Z1299" s="2">
        <f>IFERROR(VLOOKUP(K1299,'Rate Sheet'!$D:$F,3,FALSE),0)</f>
        <v>0</v>
      </c>
      <c r="AA1299" s="2">
        <f t="shared" si="20"/>
        <v>0</v>
      </c>
    </row>
    <row r="1300" spans="1:28" x14ac:dyDescent="0.25">
      <c r="A1300" t="s">
        <v>33</v>
      </c>
      <c r="B1300" t="s">
        <v>4800</v>
      </c>
      <c r="C1300" t="s">
        <v>21</v>
      </c>
      <c r="D1300" t="s">
        <v>4800</v>
      </c>
      <c r="E1300" t="s">
        <v>1749</v>
      </c>
      <c r="F1300" t="s">
        <v>4801</v>
      </c>
      <c r="G1300" t="s">
        <v>24</v>
      </c>
      <c r="H1300" t="s">
        <v>4802</v>
      </c>
      <c r="N1300" t="s">
        <v>185</v>
      </c>
      <c r="R1300" t="s">
        <v>48</v>
      </c>
      <c r="X1300" s="2">
        <f>IFERROR(VLOOKUP(I1300,'Rate Sheet'!$D:$F,3,FALSE),0)</f>
        <v>0</v>
      </c>
      <c r="Y1300" s="2">
        <f>IFERROR(VLOOKUP(J1300,'Rate Sheet'!$D:$F,3,FALSE),0)</f>
        <v>0</v>
      </c>
      <c r="Z1300" s="2">
        <f>IFERROR(VLOOKUP(K1300,'Rate Sheet'!$D:$F,3,FALSE),0)</f>
        <v>0</v>
      </c>
      <c r="AA1300" s="2">
        <f t="shared" si="20"/>
        <v>0</v>
      </c>
    </row>
    <row r="1301" spans="1:28" x14ac:dyDescent="0.25">
      <c r="A1301" t="s">
        <v>33</v>
      </c>
      <c r="B1301" t="s">
        <v>4803</v>
      </c>
      <c r="C1301" t="s">
        <v>21</v>
      </c>
      <c r="D1301" t="s">
        <v>4803</v>
      </c>
      <c r="E1301" t="s">
        <v>226</v>
      </c>
      <c r="F1301" t="s">
        <v>4701</v>
      </c>
      <c r="G1301" t="s">
        <v>24</v>
      </c>
      <c r="H1301" t="s">
        <v>4804</v>
      </c>
      <c r="N1301" t="s">
        <v>1013</v>
      </c>
      <c r="R1301" t="s">
        <v>48</v>
      </c>
      <c r="X1301" s="2">
        <f>IFERROR(VLOOKUP(I1301,'Rate Sheet'!$D:$F,3,FALSE),0)</f>
        <v>0</v>
      </c>
      <c r="Y1301" s="2">
        <f>IFERROR(VLOOKUP(J1301,'Rate Sheet'!$D:$F,3,FALSE),0)</f>
        <v>0</v>
      </c>
      <c r="Z1301" s="2">
        <f>IFERROR(VLOOKUP(K1301,'Rate Sheet'!$D:$F,3,FALSE),0)</f>
        <v>0</v>
      </c>
      <c r="AA1301" s="2">
        <f t="shared" si="20"/>
        <v>0</v>
      </c>
    </row>
    <row r="1302" spans="1:28" x14ac:dyDescent="0.25">
      <c r="A1302" t="s">
        <v>33</v>
      </c>
      <c r="B1302" t="s">
        <v>4805</v>
      </c>
      <c r="C1302" t="s">
        <v>21</v>
      </c>
      <c r="D1302" t="s">
        <v>4806</v>
      </c>
      <c r="E1302" t="s">
        <v>4807</v>
      </c>
      <c r="F1302" t="s">
        <v>2831</v>
      </c>
      <c r="G1302" t="s">
        <v>24</v>
      </c>
      <c r="H1302" t="s">
        <v>4808</v>
      </c>
      <c r="I1302" t="s">
        <v>46</v>
      </c>
      <c r="N1302" t="s">
        <v>246</v>
      </c>
      <c r="S1302" t="s">
        <v>48</v>
      </c>
      <c r="V1302" s="10" t="s">
        <v>5661</v>
      </c>
      <c r="W1302" s="10" t="s">
        <v>246</v>
      </c>
      <c r="X1302" s="2">
        <f>IFERROR(VLOOKUP(I1302,'Rate Sheet'!$D:$F,3,FALSE),0)</f>
        <v>14.333333333333334</v>
      </c>
      <c r="Y1302" s="2">
        <f>IFERROR(VLOOKUP(J1302,'Rate Sheet'!$D:$F,3,FALSE),0)</f>
        <v>0</v>
      </c>
      <c r="Z1302" s="2">
        <f>IFERROR(VLOOKUP(K1302,'Rate Sheet'!$D:$F,3,FALSE),0)</f>
        <v>0</v>
      </c>
      <c r="AA1302" s="2">
        <f t="shared" si="20"/>
        <v>14.333333333333334</v>
      </c>
      <c r="AB1302">
        <v>1</v>
      </c>
    </row>
    <row r="1303" spans="1:28" x14ac:dyDescent="0.25">
      <c r="A1303" t="s">
        <v>33</v>
      </c>
      <c r="B1303" t="s">
        <v>4809</v>
      </c>
      <c r="C1303" t="s">
        <v>21</v>
      </c>
      <c r="D1303" t="s">
        <v>4809</v>
      </c>
      <c r="E1303" t="s">
        <v>4059</v>
      </c>
      <c r="F1303" t="s">
        <v>4810</v>
      </c>
      <c r="G1303" t="s">
        <v>24</v>
      </c>
      <c r="H1303" t="s">
        <v>4811</v>
      </c>
      <c r="N1303" t="s">
        <v>2758</v>
      </c>
      <c r="R1303" t="s">
        <v>48</v>
      </c>
      <c r="X1303" s="2">
        <f>IFERROR(VLOOKUP(I1303,'Rate Sheet'!$D:$F,3,FALSE),0)</f>
        <v>0</v>
      </c>
      <c r="Y1303" s="2">
        <f>IFERROR(VLOOKUP(J1303,'Rate Sheet'!$D:$F,3,FALSE),0)</f>
        <v>0</v>
      </c>
      <c r="Z1303" s="2">
        <f>IFERROR(VLOOKUP(K1303,'Rate Sheet'!$D:$F,3,FALSE),0)</f>
        <v>0</v>
      </c>
      <c r="AA1303" s="2">
        <f t="shared" si="20"/>
        <v>0</v>
      </c>
    </row>
    <row r="1304" spans="1:28" x14ac:dyDescent="0.25">
      <c r="A1304" t="s">
        <v>33</v>
      </c>
      <c r="B1304" t="s">
        <v>4812</v>
      </c>
      <c r="C1304" t="s">
        <v>21</v>
      </c>
      <c r="D1304" t="s">
        <v>4812</v>
      </c>
      <c r="E1304" t="s">
        <v>4813</v>
      </c>
      <c r="F1304" t="s">
        <v>4814</v>
      </c>
      <c r="G1304" t="s">
        <v>24</v>
      </c>
      <c r="H1304" t="s">
        <v>4815</v>
      </c>
      <c r="I1304" t="s">
        <v>73</v>
      </c>
      <c r="N1304" t="s">
        <v>38</v>
      </c>
      <c r="R1304" t="s">
        <v>48</v>
      </c>
      <c r="S1304" t="s">
        <v>75</v>
      </c>
      <c r="V1304" t="s">
        <v>5582</v>
      </c>
      <c r="W1304" t="s">
        <v>5583</v>
      </c>
      <c r="X1304" s="2">
        <f>IFERROR(VLOOKUP(I1304,'Rate Sheet'!$D:$F,3,FALSE),0)</f>
        <v>8.6983333333333324</v>
      </c>
      <c r="Y1304" s="2">
        <f>IFERROR(VLOOKUP(J1304,'Rate Sheet'!$D:$F,3,FALSE),0)</f>
        <v>0</v>
      </c>
      <c r="Z1304" s="2">
        <f>IFERROR(VLOOKUP(K1304,'Rate Sheet'!$D:$F,3,FALSE),0)</f>
        <v>0</v>
      </c>
      <c r="AA1304" s="2">
        <f t="shared" si="20"/>
        <v>8.6983333333333324</v>
      </c>
      <c r="AB1304">
        <v>1</v>
      </c>
    </row>
    <row r="1305" spans="1:28" x14ac:dyDescent="0.25">
      <c r="A1305" t="s">
        <v>33</v>
      </c>
      <c r="B1305" t="s">
        <v>4816</v>
      </c>
      <c r="C1305" t="s">
        <v>21</v>
      </c>
      <c r="D1305" t="s">
        <v>4816</v>
      </c>
      <c r="E1305" t="s">
        <v>1883</v>
      </c>
      <c r="F1305" t="s">
        <v>4817</v>
      </c>
      <c r="G1305" t="s">
        <v>24</v>
      </c>
      <c r="H1305" t="s">
        <v>4818</v>
      </c>
      <c r="N1305" t="s">
        <v>2975</v>
      </c>
      <c r="R1305" t="s">
        <v>48</v>
      </c>
      <c r="X1305" s="2">
        <f>IFERROR(VLOOKUP(I1305,'Rate Sheet'!$D:$F,3,FALSE),0)</f>
        <v>0</v>
      </c>
      <c r="Y1305" s="2">
        <f>IFERROR(VLOOKUP(J1305,'Rate Sheet'!$D:$F,3,FALSE),0)</f>
        <v>0</v>
      </c>
      <c r="Z1305" s="2">
        <f>IFERROR(VLOOKUP(K1305,'Rate Sheet'!$D:$F,3,FALSE),0)</f>
        <v>0</v>
      </c>
      <c r="AA1305" s="2">
        <f t="shared" si="20"/>
        <v>0</v>
      </c>
    </row>
    <row r="1306" spans="1:28" x14ac:dyDescent="0.25">
      <c r="A1306" t="s">
        <v>33</v>
      </c>
      <c r="B1306" t="s">
        <v>4819</v>
      </c>
      <c r="C1306" t="s">
        <v>29</v>
      </c>
      <c r="D1306" t="s">
        <v>4819</v>
      </c>
      <c r="E1306" t="s">
        <v>3410</v>
      </c>
      <c r="F1306" t="s">
        <v>1664</v>
      </c>
      <c r="G1306" t="s">
        <v>24</v>
      </c>
      <c r="H1306" t="s">
        <v>4820</v>
      </c>
      <c r="N1306" t="s">
        <v>246</v>
      </c>
      <c r="R1306" t="s">
        <v>48</v>
      </c>
      <c r="X1306" s="2">
        <f>IFERROR(VLOOKUP(I1306,'Rate Sheet'!$D:$F,3,FALSE),0)</f>
        <v>0</v>
      </c>
      <c r="Y1306" s="2">
        <f>IFERROR(VLOOKUP(J1306,'Rate Sheet'!$D:$F,3,FALSE),0)</f>
        <v>0</v>
      </c>
      <c r="Z1306" s="2">
        <f>IFERROR(VLOOKUP(K1306,'Rate Sheet'!$D:$F,3,FALSE),0)</f>
        <v>0</v>
      </c>
      <c r="AA1306" s="2">
        <f t="shared" si="20"/>
        <v>0</v>
      </c>
    </row>
    <row r="1307" spans="1:28" x14ac:dyDescent="0.25">
      <c r="A1307" t="s">
        <v>33</v>
      </c>
      <c r="B1307" t="s">
        <v>4821</v>
      </c>
      <c r="C1307" t="s">
        <v>29</v>
      </c>
      <c r="D1307" t="s">
        <v>4821</v>
      </c>
      <c r="E1307" t="s">
        <v>2910</v>
      </c>
      <c r="F1307" t="s">
        <v>4822</v>
      </c>
      <c r="G1307" t="s">
        <v>24</v>
      </c>
      <c r="H1307" t="s">
        <v>4823</v>
      </c>
      <c r="I1307" t="s">
        <v>46</v>
      </c>
      <c r="N1307" t="s">
        <v>3808</v>
      </c>
      <c r="S1307" t="s">
        <v>48</v>
      </c>
      <c r="V1307" t="s">
        <v>5756</v>
      </c>
      <c r="W1307" t="s">
        <v>3808</v>
      </c>
      <c r="X1307" s="2">
        <f>IFERROR(VLOOKUP(I1307,'Rate Sheet'!$D:$F,3,FALSE),0)</f>
        <v>14.333333333333334</v>
      </c>
      <c r="Y1307" s="2">
        <f>IFERROR(VLOOKUP(J1307,'Rate Sheet'!$D:$F,3,FALSE),0)</f>
        <v>0</v>
      </c>
      <c r="Z1307" s="2">
        <f>IFERROR(VLOOKUP(K1307,'Rate Sheet'!$D:$F,3,FALSE),0)</f>
        <v>0</v>
      </c>
      <c r="AA1307" s="2">
        <f t="shared" si="20"/>
        <v>14.333333333333334</v>
      </c>
      <c r="AB1307">
        <v>1</v>
      </c>
    </row>
    <row r="1308" spans="1:28" x14ac:dyDescent="0.25">
      <c r="A1308" t="s">
        <v>33</v>
      </c>
      <c r="B1308" t="s">
        <v>4824</v>
      </c>
      <c r="C1308" t="s">
        <v>21</v>
      </c>
      <c r="D1308" t="s">
        <v>4824</v>
      </c>
      <c r="E1308" t="s">
        <v>1357</v>
      </c>
      <c r="F1308" t="s">
        <v>4825</v>
      </c>
      <c r="G1308" t="s">
        <v>24</v>
      </c>
      <c r="H1308" t="s">
        <v>4826</v>
      </c>
      <c r="R1308" t="s">
        <v>48</v>
      </c>
      <c r="X1308" s="2">
        <f>IFERROR(VLOOKUP(I1308,'Rate Sheet'!$D:$F,3,FALSE),0)</f>
        <v>0</v>
      </c>
      <c r="Y1308" s="2">
        <f>IFERROR(VLOOKUP(J1308,'Rate Sheet'!$D:$F,3,FALSE),0)</f>
        <v>0</v>
      </c>
      <c r="Z1308" s="2">
        <f>IFERROR(VLOOKUP(K1308,'Rate Sheet'!$D:$F,3,FALSE),0)</f>
        <v>0</v>
      </c>
      <c r="AA1308" s="2">
        <f t="shared" si="20"/>
        <v>0</v>
      </c>
    </row>
    <row r="1309" spans="1:28" x14ac:dyDescent="0.25">
      <c r="A1309" t="s">
        <v>33</v>
      </c>
      <c r="B1309" t="s">
        <v>4827</v>
      </c>
      <c r="C1309" t="s">
        <v>21</v>
      </c>
      <c r="D1309" t="s">
        <v>4827</v>
      </c>
      <c r="E1309" t="s">
        <v>4828</v>
      </c>
      <c r="F1309" t="s">
        <v>4829</v>
      </c>
      <c r="G1309" t="s">
        <v>24</v>
      </c>
      <c r="H1309" t="s">
        <v>4830</v>
      </c>
      <c r="I1309" t="s">
        <v>46</v>
      </c>
      <c r="S1309" t="s">
        <v>48</v>
      </c>
      <c r="V1309" t="s">
        <v>5615</v>
      </c>
      <c r="W1309" t="s">
        <v>5616</v>
      </c>
      <c r="X1309" s="2">
        <f>IFERROR(VLOOKUP(I1309,'Rate Sheet'!$D:$F,3,FALSE),0)</f>
        <v>14.333333333333334</v>
      </c>
      <c r="Y1309" s="2">
        <f>IFERROR(VLOOKUP(J1309,'Rate Sheet'!$D:$F,3,FALSE),0)</f>
        <v>0</v>
      </c>
      <c r="Z1309" s="2">
        <f>IFERROR(VLOOKUP(K1309,'Rate Sheet'!$D:$F,3,FALSE),0)</f>
        <v>0</v>
      </c>
      <c r="AA1309" s="2">
        <f t="shared" si="20"/>
        <v>14.333333333333334</v>
      </c>
      <c r="AB1309">
        <v>1</v>
      </c>
    </row>
    <row r="1310" spans="1:28" x14ac:dyDescent="0.25">
      <c r="A1310" t="s">
        <v>33</v>
      </c>
      <c r="B1310" t="s">
        <v>4831</v>
      </c>
      <c r="C1310" t="s">
        <v>21</v>
      </c>
      <c r="D1310" t="s">
        <v>4831</v>
      </c>
      <c r="E1310" t="s">
        <v>412</v>
      </c>
      <c r="F1310" t="s">
        <v>4832</v>
      </c>
      <c r="G1310" t="s">
        <v>24</v>
      </c>
      <c r="H1310" t="s">
        <v>4833</v>
      </c>
      <c r="I1310" t="s">
        <v>73</v>
      </c>
      <c r="N1310" t="s">
        <v>2826</v>
      </c>
      <c r="S1310" t="s">
        <v>75</v>
      </c>
      <c r="V1310" t="s">
        <v>5731</v>
      </c>
      <c r="W1310" t="s">
        <v>5732</v>
      </c>
      <c r="X1310" s="2">
        <f>IFERROR(VLOOKUP(I1310,'Rate Sheet'!$D:$F,3,FALSE),0)</f>
        <v>8.6983333333333324</v>
      </c>
      <c r="Y1310" s="2">
        <f>IFERROR(VLOOKUP(J1310,'Rate Sheet'!$D:$F,3,FALSE),0)</f>
        <v>0</v>
      </c>
      <c r="Z1310" s="2">
        <f>IFERROR(VLOOKUP(K1310,'Rate Sheet'!$D:$F,3,FALSE),0)</f>
        <v>0</v>
      </c>
      <c r="AA1310" s="2">
        <f t="shared" si="20"/>
        <v>8.6983333333333324</v>
      </c>
      <c r="AB1310">
        <v>1</v>
      </c>
    </row>
    <row r="1311" spans="1:28" x14ac:dyDescent="0.25">
      <c r="A1311" t="s">
        <v>33</v>
      </c>
      <c r="B1311" t="s">
        <v>4834</v>
      </c>
      <c r="C1311" t="s">
        <v>21</v>
      </c>
      <c r="D1311" t="s">
        <v>4834</v>
      </c>
      <c r="E1311" t="s">
        <v>4835</v>
      </c>
      <c r="F1311" t="s">
        <v>4836</v>
      </c>
      <c r="G1311" t="s">
        <v>24</v>
      </c>
      <c r="H1311" t="s">
        <v>4837</v>
      </c>
      <c r="X1311" s="2">
        <f>IFERROR(VLOOKUP(I1311,'Rate Sheet'!$D:$F,3,FALSE),0)</f>
        <v>0</v>
      </c>
      <c r="Y1311" s="2">
        <f>IFERROR(VLOOKUP(J1311,'Rate Sheet'!$D:$F,3,FALSE),0)</f>
        <v>0</v>
      </c>
      <c r="Z1311" s="2">
        <f>IFERROR(VLOOKUP(K1311,'Rate Sheet'!$D:$F,3,FALSE),0)</f>
        <v>0</v>
      </c>
      <c r="AA1311" s="2">
        <f t="shared" si="20"/>
        <v>0</v>
      </c>
    </row>
    <row r="1312" spans="1:28" x14ac:dyDescent="0.25">
      <c r="A1312" t="s">
        <v>33</v>
      </c>
      <c r="B1312" t="s">
        <v>4838</v>
      </c>
      <c r="C1312" t="s">
        <v>21</v>
      </c>
      <c r="D1312" t="s">
        <v>4838</v>
      </c>
      <c r="E1312" t="s">
        <v>2922</v>
      </c>
      <c r="F1312" t="s">
        <v>4839</v>
      </c>
      <c r="G1312" t="s">
        <v>24</v>
      </c>
      <c r="H1312" t="s">
        <v>4840</v>
      </c>
      <c r="X1312" s="2">
        <f>IFERROR(VLOOKUP(I1312,'Rate Sheet'!$D:$F,3,FALSE),0)</f>
        <v>0</v>
      </c>
      <c r="Y1312" s="2">
        <f>IFERROR(VLOOKUP(J1312,'Rate Sheet'!$D:$F,3,FALSE),0)</f>
        <v>0</v>
      </c>
      <c r="Z1312" s="2">
        <f>IFERROR(VLOOKUP(K1312,'Rate Sheet'!$D:$F,3,FALSE),0)</f>
        <v>0</v>
      </c>
      <c r="AA1312" s="2">
        <f t="shared" si="20"/>
        <v>0</v>
      </c>
    </row>
    <row r="1313" spans="1:28" x14ac:dyDescent="0.25">
      <c r="A1313" t="s">
        <v>33</v>
      </c>
      <c r="B1313" t="s">
        <v>4841</v>
      </c>
      <c r="C1313" t="s">
        <v>21</v>
      </c>
      <c r="D1313" t="s">
        <v>4841</v>
      </c>
      <c r="E1313" t="s">
        <v>4842</v>
      </c>
      <c r="F1313" t="s">
        <v>1003</v>
      </c>
      <c r="G1313" t="s">
        <v>24</v>
      </c>
      <c r="H1313" t="s">
        <v>4843</v>
      </c>
      <c r="I1313" t="s">
        <v>73</v>
      </c>
      <c r="N1313" t="s">
        <v>181</v>
      </c>
      <c r="S1313" t="s">
        <v>75</v>
      </c>
      <c r="V1313" t="s">
        <v>5609</v>
      </c>
      <c r="W1313" t="s">
        <v>181</v>
      </c>
      <c r="X1313" s="2">
        <f>IFERROR(VLOOKUP(I1313,'Rate Sheet'!$D:$F,3,FALSE),0)</f>
        <v>8.6983333333333324</v>
      </c>
      <c r="Y1313" s="2">
        <f>IFERROR(VLOOKUP(J1313,'Rate Sheet'!$D:$F,3,FALSE),0)</f>
        <v>0</v>
      </c>
      <c r="Z1313" s="2">
        <f>IFERROR(VLOOKUP(K1313,'Rate Sheet'!$D:$F,3,FALSE),0)</f>
        <v>0</v>
      </c>
      <c r="AA1313" s="2">
        <f t="shared" si="20"/>
        <v>8.6983333333333324</v>
      </c>
      <c r="AB1313">
        <v>1</v>
      </c>
    </row>
    <row r="1314" spans="1:28" x14ac:dyDescent="0.25">
      <c r="A1314" t="s">
        <v>33</v>
      </c>
      <c r="B1314" t="s">
        <v>4844</v>
      </c>
      <c r="C1314" t="s">
        <v>21</v>
      </c>
      <c r="D1314" t="s">
        <v>4844</v>
      </c>
      <c r="E1314" t="s">
        <v>829</v>
      </c>
      <c r="F1314" t="s">
        <v>4845</v>
      </c>
      <c r="G1314" t="s">
        <v>24</v>
      </c>
      <c r="H1314" t="s">
        <v>4846</v>
      </c>
      <c r="X1314" s="2">
        <f>IFERROR(VLOOKUP(I1314,'Rate Sheet'!$D:$F,3,FALSE),0)</f>
        <v>0</v>
      </c>
      <c r="Y1314" s="2">
        <f>IFERROR(VLOOKUP(J1314,'Rate Sheet'!$D:$F,3,FALSE),0)</f>
        <v>0</v>
      </c>
      <c r="Z1314" s="2">
        <f>IFERROR(VLOOKUP(K1314,'Rate Sheet'!$D:$F,3,FALSE),0)</f>
        <v>0</v>
      </c>
      <c r="AA1314" s="2">
        <f t="shared" si="20"/>
        <v>0</v>
      </c>
    </row>
    <row r="1315" spans="1:28" x14ac:dyDescent="0.25">
      <c r="A1315" t="s">
        <v>33</v>
      </c>
      <c r="B1315" t="s">
        <v>4847</v>
      </c>
      <c r="C1315" t="s">
        <v>21</v>
      </c>
      <c r="D1315" t="s">
        <v>4847</v>
      </c>
      <c r="E1315" t="s">
        <v>159</v>
      </c>
      <c r="F1315" t="s">
        <v>4601</v>
      </c>
      <c r="G1315" t="s">
        <v>24</v>
      </c>
      <c r="H1315" s="1" t="s">
        <v>4848</v>
      </c>
      <c r="I1315" t="s">
        <v>73</v>
      </c>
      <c r="N1315" t="s">
        <v>2439</v>
      </c>
      <c r="S1315" t="s">
        <v>75</v>
      </c>
      <c r="V1315" t="s">
        <v>5785</v>
      </c>
      <c r="W1315" t="s">
        <v>2439</v>
      </c>
      <c r="X1315" s="2">
        <f>IFERROR(VLOOKUP(I1315,'Rate Sheet'!$D:$F,3,FALSE),0)</f>
        <v>8.6983333333333324</v>
      </c>
      <c r="Y1315" s="2">
        <f>IFERROR(VLOOKUP(J1315,'Rate Sheet'!$D:$F,3,FALSE),0)</f>
        <v>0</v>
      </c>
      <c r="Z1315" s="2">
        <f>IFERROR(VLOOKUP(K1315,'Rate Sheet'!$D:$F,3,FALSE),0)</f>
        <v>0</v>
      </c>
      <c r="AA1315" s="2">
        <f t="shared" si="20"/>
        <v>8.6983333333333324</v>
      </c>
      <c r="AB1315">
        <v>1</v>
      </c>
    </row>
    <row r="1316" spans="1:28" x14ac:dyDescent="0.25">
      <c r="A1316" t="s">
        <v>33</v>
      </c>
      <c r="B1316" t="s">
        <v>4849</v>
      </c>
      <c r="C1316" t="s">
        <v>21</v>
      </c>
      <c r="D1316" t="s">
        <v>4849</v>
      </c>
      <c r="E1316" t="s">
        <v>4850</v>
      </c>
      <c r="F1316" t="s">
        <v>4851</v>
      </c>
      <c r="G1316" t="s">
        <v>24</v>
      </c>
      <c r="H1316" t="s">
        <v>4852</v>
      </c>
      <c r="I1316" t="s">
        <v>46</v>
      </c>
      <c r="J1316" t="s">
        <v>73</v>
      </c>
      <c r="N1316" t="s">
        <v>74</v>
      </c>
      <c r="S1316" t="s">
        <v>4046</v>
      </c>
      <c r="V1316" t="s">
        <v>5586</v>
      </c>
      <c r="W1316" t="s">
        <v>5587</v>
      </c>
      <c r="X1316" s="2">
        <f>IFERROR(VLOOKUP(I1316,'Rate Sheet'!$D:$F,3,FALSE),0)</f>
        <v>14.333333333333334</v>
      </c>
      <c r="Y1316" s="2">
        <f>IFERROR(VLOOKUP(J1316,'Rate Sheet'!$D:$F,3,FALSE),0)</f>
        <v>8.6983333333333324</v>
      </c>
      <c r="Z1316" s="2">
        <f>IFERROR(VLOOKUP(K1316,'Rate Sheet'!$D:$F,3,FALSE),0)</f>
        <v>0</v>
      </c>
      <c r="AA1316" s="2">
        <f t="shared" si="20"/>
        <v>23.031666666666666</v>
      </c>
      <c r="AB1316">
        <v>1</v>
      </c>
    </row>
    <row r="1317" spans="1:28" x14ac:dyDescent="0.25">
      <c r="A1317" t="s">
        <v>33</v>
      </c>
      <c r="B1317" t="s">
        <v>4853</v>
      </c>
      <c r="C1317" t="s">
        <v>29</v>
      </c>
      <c r="D1317" t="s">
        <v>4853</v>
      </c>
      <c r="E1317" t="s">
        <v>449</v>
      </c>
      <c r="F1317" t="s">
        <v>4854</v>
      </c>
      <c r="G1317" t="s">
        <v>24</v>
      </c>
      <c r="H1317" t="s">
        <v>4855</v>
      </c>
      <c r="I1317" t="s">
        <v>46</v>
      </c>
      <c r="N1317" t="s">
        <v>601</v>
      </c>
      <c r="S1317" t="s">
        <v>48</v>
      </c>
      <c r="V1317" t="s">
        <v>5695</v>
      </c>
      <c r="W1317" t="s">
        <v>601</v>
      </c>
      <c r="X1317" s="2">
        <f>IFERROR(VLOOKUP(I1317,'Rate Sheet'!$D:$F,3,FALSE),0)</f>
        <v>14.333333333333334</v>
      </c>
      <c r="Y1317" s="2">
        <f>IFERROR(VLOOKUP(J1317,'Rate Sheet'!$D:$F,3,FALSE),0)</f>
        <v>0</v>
      </c>
      <c r="Z1317" s="2">
        <f>IFERROR(VLOOKUP(K1317,'Rate Sheet'!$D:$F,3,FALSE),0)</f>
        <v>0</v>
      </c>
      <c r="AA1317" s="2">
        <f t="shared" si="20"/>
        <v>14.333333333333334</v>
      </c>
      <c r="AB1317">
        <v>1</v>
      </c>
    </row>
    <row r="1318" spans="1:28" x14ac:dyDescent="0.25">
      <c r="A1318" t="s">
        <v>33</v>
      </c>
      <c r="B1318" t="s">
        <v>4856</v>
      </c>
      <c r="C1318" t="s">
        <v>21</v>
      </c>
      <c r="D1318" t="s">
        <v>4856</v>
      </c>
      <c r="E1318" t="s">
        <v>4857</v>
      </c>
      <c r="F1318" t="s">
        <v>4858</v>
      </c>
      <c r="G1318" t="s">
        <v>24</v>
      </c>
      <c r="H1318" t="s">
        <v>4859</v>
      </c>
      <c r="I1318" t="s">
        <v>46</v>
      </c>
      <c r="N1318" t="s">
        <v>38</v>
      </c>
      <c r="S1318" t="s">
        <v>48</v>
      </c>
      <c r="V1318" t="s">
        <v>5582</v>
      </c>
      <c r="W1318" t="s">
        <v>5583</v>
      </c>
      <c r="X1318" s="2">
        <f>IFERROR(VLOOKUP(I1318,'Rate Sheet'!$D:$F,3,FALSE),0)</f>
        <v>14.333333333333334</v>
      </c>
      <c r="Y1318" s="2">
        <f>IFERROR(VLOOKUP(J1318,'Rate Sheet'!$D:$F,3,FALSE),0)</f>
        <v>0</v>
      </c>
      <c r="Z1318" s="2">
        <f>IFERROR(VLOOKUP(K1318,'Rate Sheet'!$D:$F,3,FALSE),0)</f>
        <v>0</v>
      </c>
      <c r="AA1318" s="2">
        <f t="shared" si="20"/>
        <v>14.333333333333334</v>
      </c>
      <c r="AB1318">
        <v>1</v>
      </c>
    </row>
    <row r="1319" spans="1:28" x14ac:dyDescent="0.25">
      <c r="A1319" t="s">
        <v>33</v>
      </c>
      <c r="B1319" t="s">
        <v>4860</v>
      </c>
      <c r="C1319" t="s">
        <v>21</v>
      </c>
      <c r="D1319" t="s">
        <v>4860</v>
      </c>
      <c r="E1319" t="s">
        <v>4861</v>
      </c>
      <c r="F1319" t="s">
        <v>4862</v>
      </c>
      <c r="G1319" t="s">
        <v>24</v>
      </c>
      <c r="H1319" t="s">
        <v>4863</v>
      </c>
      <c r="I1319" t="s">
        <v>46</v>
      </c>
      <c r="N1319" t="s">
        <v>3868</v>
      </c>
      <c r="S1319" t="s">
        <v>48</v>
      </c>
      <c r="V1319" t="s">
        <v>5708</v>
      </c>
      <c r="W1319" t="s">
        <v>5709</v>
      </c>
      <c r="X1319" s="2">
        <f>IFERROR(VLOOKUP(I1319,'Rate Sheet'!$D:$F,3,FALSE),0)</f>
        <v>14.333333333333334</v>
      </c>
      <c r="Y1319" s="2">
        <f>IFERROR(VLOOKUP(J1319,'Rate Sheet'!$D:$F,3,FALSE),0)</f>
        <v>0</v>
      </c>
      <c r="Z1319" s="2">
        <f>IFERROR(VLOOKUP(K1319,'Rate Sheet'!$D:$F,3,FALSE),0)</f>
        <v>0</v>
      </c>
      <c r="AA1319" s="2">
        <f t="shared" si="20"/>
        <v>14.333333333333334</v>
      </c>
      <c r="AB1319">
        <v>1</v>
      </c>
    </row>
    <row r="1320" spans="1:28" x14ac:dyDescent="0.25">
      <c r="A1320" t="s">
        <v>33</v>
      </c>
      <c r="B1320" t="s">
        <v>4864</v>
      </c>
      <c r="C1320" t="s">
        <v>21</v>
      </c>
      <c r="D1320" t="s">
        <v>4864</v>
      </c>
      <c r="E1320" t="s">
        <v>4865</v>
      </c>
      <c r="F1320" t="s">
        <v>792</v>
      </c>
      <c r="G1320" t="s">
        <v>24</v>
      </c>
      <c r="H1320" s="1" t="s">
        <v>4866</v>
      </c>
      <c r="I1320" t="s">
        <v>46</v>
      </c>
      <c r="N1320" t="s">
        <v>3868</v>
      </c>
      <c r="S1320" t="s">
        <v>48</v>
      </c>
      <c r="V1320" t="s">
        <v>5708</v>
      </c>
      <c r="W1320" t="s">
        <v>5709</v>
      </c>
      <c r="X1320" s="2">
        <f>IFERROR(VLOOKUP(I1320,'Rate Sheet'!$D:$F,3,FALSE),0)</f>
        <v>14.333333333333334</v>
      </c>
      <c r="Y1320" s="2">
        <f>IFERROR(VLOOKUP(J1320,'Rate Sheet'!$D:$F,3,FALSE),0)</f>
        <v>0</v>
      </c>
      <c r="Z1320" s="2">
        <f>IFERROR(VLOOKUP(K1320,'Rate Sheet'!$D:$F,3,FALSE),0)</f>
        <v>0</v>
      </c>
      <c r="AA1320" s="2">
        <f t="shared" si="20"/>
        <v>14.333333333333334</v>
      </c>
      <c r="AB1320">
        <v>1</v>
      </c>
    </row>
    <row r="1321" spans="1:28" x14ac:dyDescent="0.25">
      <c r="A1321" t="s">
        <v>33</v>
      </c>
      <c r="B1321" t="s">
        <v>4867</v>
      </c>
      <c r="C1321" t="s">
        <v>21</v>
      </c>
      <c r="D1321" t="s">
        <v>4867</v>
      </c>
      <c r="E1321" t="s">
        <v>4868</v>
      </c>
      <c r="F1321" t="s">
        <v>4869</v>
      </c>
      <c r="G1321" t="s">
        <v>24</v>
      </c>
      <c r="H1321" t="s">
        <v>4870</v>
      </c>
      <c r="X1321" s="2">
        <f>IFERROR(VLOOKUP(I1321,'Rate Sheet'!$D:$F,3,FALSE),0)</f>
        <v>0</v>
      </c>
      <c r="Y1321" s="2">
        <f>IFERROR(VLOOKUP(J1321,'Rate Sheet'!$D:$F,3,FALSE),0)</f>
        <v>0</v>
      </c>
      <c r="Z1321" s="2">
        <f>IFERROR(VLOOKUP(K1321,'Rate Sheet'!$D:$F,3,FALSE),0)</f>
        <v>0</v>
      </c>
      <c r="AA1321" s="2">
        <f t="shared" si="20"/>
        <v>0</v>
      </c>
    </row>
    <row r="1322" spans="1:28" x14ac:dyDescent="0.25">
      <c r="A1322" t="s">
        <v>33</v>
      </c>
      <c r="B1322" t="s">
        <v>4871</v>
      </c>
      <c r="C1322" t="s">
        <v>21</v>
      </c>
      <c r="D1322" t="s">
        <v>4871</v>
      </c>
      <c r="E1322" t="s">
        <v>236</v>
      </c>
      <c r="F1322" t="s">
        <v>2749</v>
      </c>
      <c r="G1322" t="s">
        <v>24</v>
      </c>
      <c r="H1322" t="s">
        <v>4872</v>
      </c>
      <c r="I1322" t="s">
        <v>46</v>
      </c>
      <c r="N1322" t="s">
        <v>620</v>
      </c>
      <c r="S1322" t="s">
        <v>48</v>
      </c>
      <c r="V1322" t="s">
        <v>5659</v>
      </c>
      <c r="W1322" t="s">
        <v>620</v>
      </c>
      <c r="X1322" s="2">
        <f>IFERROR(VLOOKUP(I1322,'Rate Sheet'!$D:$F,3,FALSE),0)</f>
        <v>14.333333333333334</v>
      </c>
      <c r="Y1322" s="2">
        <f>IFERROR(VLOOKUP(J1322,'Rate Sheet'!$D:$F,3,FALSE),0)</f>
        <v>0</v>
      </c>
      <c r="Z1322" s="2">
        <f>IFERROR(VLOOKUP(K1322,'Rate Sheet'!$D:$F,3,FALSE),0)</f>
        <v>0</v>
      </c>
      <c r="AA1322" s="2">
        <f t="shared" si="20"/>
        <v>14.333333333333334</v>
      </c>
      <c r="AB1322">
        <v>1</v>
      </c>
    </row>
    <row r="1323" spans="1:28" x14ac:dyDescent="0.25">
      <c r="A1323" t="s">
        <v>33</v>
      </c>
      <c r="B1323" t="s">
        <v>4873</v>
      </c>
      <c r="C1323" t="s">
        <v>21</v>
      </c>
      <c r="D1323" t="s">
        <v>4873</v>
      </c>
      <c r="E1323" t="s">
        <v>2527</v>
      </c>
      <c r="F1323" t="s">
        <v>4874</v>
      </c>
      <c r="G1323" t="s">
        <v>24</v>
      </c>
      <c r="H1323" s="1" t="s">
        <v>4875</v>
      </c>
      <c r="I1323" t="s">
        <v>73</v>
      </c>
      <c r="N1323" t="s">
        <v>38</v>
      </c>
      <c r="S1323" t="s">
        <v>75</v>
      </c>
      <c r="V1323" t="s">
        <v>5582</v>
      </c>
      <c r="W1323" t="s">
        <v>5583</v>
      </c>
      <c r="X1323" s="2">
        <f>IFERROR(VLOOKUP(I1323,'Rate Sheet'!$D:$F,3,FALSE),0)</f>
        <v>8.6983333333333324</v>
      </c>
      <c r="Y1323" s="2">
        <f>IFERROR(VLOOKUP(J1323,'Rate Sheet'!$D:$F,3,FALSE),0)</f>
        <v>0</v>
      </c>
      <c r="Z1323" s="2">
        <f>IFERROR(VLOOKUP(K1323,'Rate Sheet'!$D:$F,3,FALSE),0)</f>
        <v>0</v>
      </c>
      <c r="AA1323" s="2">
        <f t="shared" si="20"/>
        <v>8.6983333333333324</v>
      </c>
      <c r="AB1323">
        <v>1</v>
      </c>
    </row>
    <row r="1324" spans="1:28" x14ac:dyDescent="0.25">
      <c r="A1324" t="s">
        <v>33</v>
      </c>
      <c r="B1324" t="s">
        <v>4876</v>
      </c>
      <c r="C1324" t="s">
        <v>29</v>
      </c>
      <c r="D1324" t="s">
        <v>4876</v>
      </c>
      <c r="E1324" t="s">
        <v>1424</v>
      </c>
      <c r="F1324" t="s">
        <v>2255</v>
      </c>
      <c r="G1324" t="s">
        <v>24</v>
      </c>
      <c r="H1324" t="s">
        <v>4877</v>
      </c>
      <c r="I1324" t="s">
        <v>73</v>
      </c>
      <c r="S1324" t="s">
        <v>75</v>
      </c>
      <c r="V1324" t="s">
        <v>5661</v>
      </c>
      <c r="W1324" t="s">
        <v>246</v>
      </c>
      <c r="X1324" s="2">
        <f>IFERROR(VLOOKUP(I1324,'Rate Sheet'!$D:$F,3,FALSE),0)</f>
        <v>8.6983333333333324</v>
      </c>
      <c r="Y1324" s="2">
        <f>IFERROR(VLOOKUP(J1324,'Rate Sheet'!$D:$F,3,FALSE),0)</f>
        <v>0</v>
      </c>
      <c r="Z1324" s="2">
        <f>IFERROR(VLOOKUP(K1324,'Rate Sheet'!$D:$F,3,FALSE),0)</f>
        <v>0</v>
      </c>
      <c r="AA1324" s="2">
        <f t="shared" si="20"/>
        <v>8.6983333333333324</v>
      </c>
      <c r="AB1324">
        <v>1</v>
      </c>
    </row>
    <row r="1325" spans="1:28" x14ac:dyDescent="0.25">
      <c r="A1325" t="s">
        <v>33</v>
      </c>
      <c r="B1325" t="s">
        <v>4878</v>
      </c>
      <c r="C1325" t="s">
        <v>21</v>
      </c>
      <c r="D1325" t="s">
        <v>4878</v>
      </c>
      <c r="E1325" t="s">
        <v>4879</v>
      </c>
      <c r="F1325" t="s">
        <v>4880</v>
      </c>
      <c r="G1325" t="s">
        <v>24</v>
      </c>
      <c r="H1325" t="s">
        <v>4881</v>
      </c>
      <c r="I1325" t="s">
        <v>73</v>
      </c>
      <c r="N1325" t="s">
        <v>692</v>
      </c>
      <c r="S1325" t="s">
        <v>75</v>
      </c>
      <c r="V1325" t="s">
        <v>5640</v>
      </c>
      <c r="W1325" t="s">
        <v>5641</v>
      </c>
      <c r="X1325" s="2">
        <f>IFERROR(VLOOKUP(I1325,'Rate Sheet'!$D:$F,3,FALSE),0)</f>
        <v>8.6983333333333324</v>
      </c>
      <c r="Y1325" s="2">
        <f>IFERROR(VLOOKUP(J1325,'Rate Sheet'!$D:$F,3,FALSE),0)</f>
        <v>0</v>
      </c>
      <c r="Z1325" s="2">
        <f>IFERROR(VLOOKUP(K1325,'Rate Sheet'!$D:$F,3,FALSE),0)</f>
        <v>0</v>
      </c>
      <c r="AA1325" s="2">
        <f t="shared" si="20"/>
        <v>8.6983333333333324</v>
      </c>
      <c r="AB1325">
        <v>1</v>
      </c>
    </row>
    <row r="1326" spans="1:28" x14ac:dyDescent="0.25">
      <c r="A1326" t="s">
        <v>33</v>
      </c>
      <c r="B1326" t="s">
        <v>4882</v>
      </c>
      <c r="C1326" t="s">
        <v>21</v>
      </c>
      <c r="D1326" t="s">
        <v>4882</v>
      </c>
      <c r="E1326" t="s">
        <v>939</v>
      </c>
      <c r="F1326" t="s">
        <v>4883</v>
      </c>
      <c r="G1326" t="s">
        <v>24</v>
      </c>
      <c r="H1326" t="s">
        <v>4884</v>
      </c>
      <c r="I1326" t="s">
        <v>73</v>
      </c>
      <c r="N1326" t="s">
        <v>74</v>
      </c>
      <c r="S1326" t="s">
        <v>75</v>
      </c>
      <c r="V1326" t="s">
        <v>5586</v>
      </c>
      <c r="W1326" t="s">
        <v>5587</v>
      </c>
      <c r="X1326" s="2">
        <f>IFERROR(VLOOKUP(I1326,'Rate Sheet'!$D:$F,3,FALSE),0)</f>
        <v>8.6983333333333324</v>
      </c>
      <c r="Y1326" s="2">
        <f>IFERROR(VLOOKUP(J1326,'Rate Sheet'!$D:$F,3,FALSE),0)</f>
        <v>0</v>
      </c>
      <c r="Z1326" s="2">
        <f>IFERROR(VLOOKUP(K1326,'Rate Sheet'!$D:$F,3,FALSE),0)</f>
        <v>0</v>
      </c>
      <c r="AA1326" s="2">
        <f t="shared" si="20"/>
        <v>8.6983333333333324</v>
      </c>
      <c r="AB1326">
        <v>1</v>
      </c>
    </row>
    <row r="1327" spans="1:28" x14ac:dyDescent="0.25">
      <c r="A1327" t="s">
        <v>33</v>
      </c>
      <c r="B1327" t="s">
        <v>4885</v>
      </c>
      <c r="C1327" t="s">
        <v>21</v>
      </c>
      <c r="D1327" t="s">
        <v>4885</v>
      </c>
      <c r="E1327" t="s">
        <v>367</v>
      </c>
      <c r="F1327" t="s">
        <v>4886</v>
      </c>
      <c r="G1327" t="s">
        <v>24</v>
      </c>
      <c r="H1327" t="s">
        <v>4887</v>
      </c>
      <c r="I1327" t="s">
        <v>46</v>
      </c>
      <c r="N1327" t="s">
        <v>185</v>
      </c>
      <c r="S1327" t="s">
        <v>48</v>
      </c>
      <c r="V1327" t="s">
        <v>5610</v>
      </c>
      <c r="W1327" t="s">
        <v>5611</v>
      </c>
      <c r="X1327" s="2">
        <f>IFERROR(VLOOKUP(I1327,'Rate Sheet'!$D:$F,3,FALSE),0)</f>
        <v>14.333333333333334</v>
      </c>
      <c r="Y1327" s="2">
        <f>IFERROR(VLOOKUP(J1327,'Rate Sheet'!$D:$F,3,FALSE),0)</f>
        <v>0</v>
      </c>
      <c r="Z1327" s="2">
        <f>IFERROR(VLOOKUP(K1327,'Rate Sheet'!$D:$F,3,FALSE),0)</f>
        <v>0</v>
      </c>
      <c r="AA1327" s="2">
        <f t="shared" si="20"/>
        <v>14.333333333333334</v>
      </c>
      <c r="AB1327">
        <v>1</v>
      </c>
    </row>
    <row r="1328" spans="1:28" x14ac:dyDescent="0.25">
      <c r="A1328" t="s">
        <v>33</v>
      </c>
      <c r="B1328" t="s">
        <v>4888</v>
      </c>
      <c r="C1328" t="s">
        <v>29</v>
      </c>
      <c r="D1328" t="s">
        <v>4888</v>
      </c>
      <c r="E1328" t="s">
        <v>723</v>
      </c>
      <c r="F1328" t="s">
        <v>4889</v>
      </c>
      <c r="G1328" t="s">
        <v>24</v>
      </c>
      <c r="H1328" t="s">
        <v>4890</v>
      </c>
      <c r="I1328" t="s">
        <v>73</v>
      </c>
      <c r="N1328" t="s">
        <v>861</v>
      </c>
      <c r="S1328" t="s">
        <v>75</v>
      </c>
      <c r="V1328" t="s">
        <v>5728</v>
      </c>
      <c r="W1328" t="s">
        <v>861</v>
      </c>
      <c r="X1328" s="2">
        <f>IFERROR(VLOOKUP(I1328,'Rate Sheet'!$D:$F,3,FALSE),0)</f>
        <v>8.6983333333333324</v>
      </c>
      <c r="Y1328" s="2">
        <f>IFERROR(VLOOKUP(J1328,'Rate Sheet'!$D:$F,3,FALSE),0)</f>
        <v>0</v>
      </c>
      <c r="Z1328" s="2">
        <f>IFERROR(VLOOKUP(K1328,'Rate Sheet'!$D:$F,3,FALSE),0)</f>
        <v>0</v>
      </c>
      <c r="AA1328" s="2">
        <f t="shared" si="20"/>
        <v>8.6983333333333324</v>
      </c>
      <c r="AB1328">
        <v>1</v>
      </c>
    </row>
    <row r="1329" spans="1:28" x14ac:dyDescent="0.25">
      <c r="A1329" t="s">
        <v>33</v>
      </c>
      <c r="B1329" t="s">
        <v>4891</v>
      </c>
      <c r="C1329" t="s">
        <v>92</v>
      </c>
      <c r="D1329" t="s">
        <v>4891</v>
      </c>
      <c r="E1329" t="s">
        <v>1488</v>
      </c>
      <c r="F1329" t="s">
        <v>1068</v>
      </c>
      <c r="G1329" t="s">
        <v>24</v>
      </c>
      <c r="H1329" t="s">
        <v>4892</v>
      </c>
      <c r="I1329" t="s">
        <v>73</v>
      </c>
      <c r="N1329" t="s">
        <v>97</v>
      </c>
      <c r="S1329" t="s">
        <v>75</v>
      </c>
      <c r="V1329" t="s">
        <v>5592</v>
      </c>
      <c r="W1329" t="s">
        <v>97</v>
      </c>
      <c r="X1329" s="2">
        <f>IFERROR(VLOOKUP(I1329,'Rate Sheet'!$D:$F,3,FALSE),0)</f>
        <v>8.6983333333333324</v>
      </c>
      <c r="Y1329" s="2">
        <f>IFERROR(VLOOKUP(J1329,'Rate Sheet'!$D:$F,3,FALSE),0)</f>
        <v>0</v>
      </c>
      <c r="Z1329" s="2">
        <f>IFERROR(VLOOKUP(K1329,'Rate Sheet'!$D:$F,3,FALSE),0)</f>
        <v>0</v>
      </c>
      <c r="AA1329" s="2">
        <f t="shared" ref="AA1329:AA1391" si="21">SUM(X1329:Z1329)</f>
        <v>8.6983333333333324</v>
      </c>
      <c r="AB1329">
        <v>1</v>
      </c>
    </row>
    <row r="1330" spans="1:28" x14ac:dyDescent="0.25">
      <c r="A1330" t="s">
        <v>33</v>
      </c>
      <c r="B1330" t="s">
        <v>4893</v>
      </c>
      <c r="C1330" t="s">
        <v>21</v>
      </c>
      <c r="D1330" t="s">
        <v>4893</v>
      </c>
      <c r="E1330" t="s">
        <v>4894</v>
      </c>
      <c r="F1330" t="s">
        <v>4895</v>
      </c>
      <c r="G1330" t="s">
        <v>24</v>
      </c>
      <c r="H1330" t="s">
        <v>4896</v>
      </c>
      <c r="I1330" t="s">
        <v>73</v>
      </c>
      <c r="N1330" t="s">
        <v>1923</v>
      </c>
      <c r="S1330" t="s">
        <v>75</v>
      </c>
      <c r="V1330" t="s">
        <v>5666</v>
      </c>
      <c r="W1330" t="s">
        <v>1923</v>
      </c>
      <c r="X1330" s="2">
        <f>IFERROR(VLOOKUP(I1330,'Rate Sheet'!$D:$F,3,FALSE),0)</f>
        <v>8.6983333333333324</v>
      </c>
      <c r="Y1330" s="2">
        <f>IFERROR(VLOOKUP(J1330,'Rate Sheet'!$D:$F,3,FALSE),0)</f>
        <v>0</v>
      </c>
      <c r="Z1330" s="2">
        <f>IFERROR(VLOOKUP(K1330,'Rate Sheet'!$D:$F,3,FALSE),0)</f>
        <v>0</v>
      </c>
      <c r="AA1330" s="2">
        <f t="shared" si="21"/>
        <v>8.6983333333333324</v>
      </c>
      <c r="AB1330">
        <v>1</v>
      </c>
    </row>
    <row r="1331" spans="1:28" x14ac:dyDescent="0.25">
      <c r="A1331" t="s">
        <v>33</v>
      </c>
      <c r="B1331" t="s">
        <v>4897</v>
      </c>
      <c r="C1331" t="s">
        <v>29</v>
      </c>
      <c r="D1331" t="s">
        <v>4898</v>
      </c>
      <c r="E1331" t="s">
        <v>428</v>
      </c>
      <c r="F1331" t="s">
        <v>2480</v>
      </c>
      <c r="G1331" t="s">
        <v>24</v>
      </c>
      <c r="H1331" t="s">
        <v>4899</v>
      </c>
      <c r="I1331" t="s">
        <v>46</v>
      </c>
      <c r="N1331" t="s">
        <v>517</v>
      </c>
      <c r="S1331" t="s">
        <v>48</v>
      </c>
      <c r="V1331" s="10" t="s">
        <v>5682</v>
      </c>
      <c r="W1331" s="10" t="s">
        <v>517</v>
      </c>
      <c r="X1331" s="2">
        <f>IFERROR(VLOOKUP(I1331,'Rate Sheet'!$D:$F,3,FALSE),0)</f>
        <v>14.333333333333334</v>
      </c>
      <c r="Y1331" s="2">
        <f>IFERROR(VLOOKUP(J1331,'Rate Sheet'!$D:$F,3,FALSE),0)</f>
        <v>0</v>
      </c>
      <c r="Z1331" s="2">
        <f>IFERROR(VLOOKUP(K1331,'Rate Sheet'!$D:$F,3,FALSE),0)</f>
        <v>0</v>
      </c>
      <c r="AA1331" s="2">
        <f t="shared" si="21"/>
        <v>14.333333333333334</v>
      </c>
      <c r="AB1331">
        <v>1</v>
      </c>
    </row>
    <row r="1332" spans="1:28" x14ac:dyDescent="0.25">
      <c r="A1332" t="s">
        <v>33</v>
      </c>
      <c r="B1332" t="s">
        <v>4900</v>
      </c>
      <c r="C1332" t="s">
        <v>21</v>
      </c>
      <c r="D1332" t="s">
        <v>4900</v>
      </c>
      <c r="E1332" t="s">
        <v>3483</v>
      </c>
      <c r="F1332" t="s">
        <v>4503</v>
      </c>
      <c r="G1332" t="s">
        <v>24</v>
      </c>
      <c r="H1332" t="s">
        <v>4901</v>
      </c>
      <c r="I1332" t="s">
        <v>73</v>
      </c>
      <c r="N1332" t="s">
        <v>47</v>
      </c>
      <c r="S1332" t="s">
        <v>75</v>
      </c>
      <c r="V1332" t="s">
        <v>5578</v>
      </c>
      <c r="W1332" t="s">
        <v>5579</v>
      </c>
      <c r="X1332" s="2">
        <f>IFERROR(VLOOKUP(I1332,'Rate Sheet'!$D:$F,3,FALSE),0)</f>
        <v>8.6983333333333324</v>
      </c>
      <c r="Y1332" s="2">
        <f>IFERROR(VLOOKUP(J1332,'Rate Sheet'!$D:$F,3,FALSE),0)</f>
        <v>0</v>
      </c>
      <c r="Z1332" s="2">
        <f>IFERROR(VLOOKUP(K1332,'Rate Sheet'!$D:$F,3,FALSE),0)</f>
        <v>0</v>
      </c>
      <c r="AA1332" s="2">
        <f t="shared" si="21"/>
        <v>8.6983333333333324</v>
      </c>
      <c r="AB1332">
        <v>1</v>
      </c>
    </row>
    <row r="1333" spans="1:28" x14ac:dyDescent="0.25">
      <c r="A1333" t="s">
        <v>33</v>
      </c>
      <c r="B1333" t="s">
        <v>4902</v>
      </c>
      <c r="C1333" t="s">
        <v>21</v>
      </c>
      <c r="D1333" t="s">
        <v>4902</v>
      </c>
      <c r="E1333" t="s">
        <v>4903</v>
      </c>
      <c r="F1333" t="s">
        <v>4904</v>
      </c>
      <c r="G1333" t="s">
        <v>24</v>
      </c>
      <c r="H1333" t="s">
        <v>4905</v>
      </c>
      <c r="I1333" t="s">
        <v>73</v>
      </c>
      <c r="N1333" t="s">
        <v>747</v>
      </c>
      <c r="S1333" t="s">
        <v>75</v>
      </c>
      <c r="V1333" t="s">
        <v>5664</v>
      </c>
      <c r="W1333" t="s">
        <v>747</v>
      </c>
      <c r="X1333" s="2">
        <f>IFERROR(VLOOKUP(I1333,'Rate Sheet'!$D:$F,3,FALSE),0)</f>
        <v>8.6983333333333324</v>
      </c>
      <c r="Y1333" s="2">
        <f>IFERROR(VLOOKUP(J1333,'Rate Sheet'!$D:$F,3,FALSE),0)</f>
        <v>0</v>
      </c>
      <c r="Z1333" s="2">
        <f>IFERROR(VLOOKUP(K1333,'Rate Sheet'!$D:$F,3,FALSE),0)</f>
        <v>0</v>
      </c>
      <c r="AA1333" s="2">
        <f t="shared" si="21"/>
        <v>8.6983333333333324</v>
      </c>
      <c r="AB1333">
        <v>1</v>
      </c>
    </row>
    <row r="1334" spans="1:28" x14ac:dyDescent="0.25">
      <c r="A1334" t="s">
        <v>33</v>
      </c>
      <c r="B1334" t="s">
        <v>4906</v>
      </c>
      <c r="C1334" t="s">
        <v>21</v>
      </c>
      <c r="D1334" t="s">
        <v>4906</v>
      </c>
      <c r="E1334" t="s">
        <v>4907</v>
      </c>
      <c r="F1334" t="s">
        <v>1073</v>
      </c>
      <c r="G1334" t="s">
        <v>24</v>
      </c>
      <c r="H1334" t="s">
        <v>4908</v>
      </c>
      <c r="I1334" t="s">
        <v>73</v>
      </c>
      <c r="N1334" t="s">
        <v>181</v>
      </c>
      <c r="S1334" t="s">
        <v>75</v>
      </c>
      <c r="V1334" t="s">
        <v>5609</v>
      </c>
      <c r="W1334" t="s">
        <v>181</v>
      </c>
      <c r="X1334" s="2">
        <f>IFERROR(VLOOKUP(I1334,'Rate Sheet'!$D:$F,3,FALSE),0)</f>
        <v>8.6983333333333324</v>
      </c>
      <c r="Y1334" s="2">
        <f>IFERROR(VLOOKUP(J1334,'Rate Sheet'!$D:$F,3,FALSE),0)</f>
        <v>0</v>
      </c>
      <c r="Z1334" s="2">
        <f>IFERROR(VLOOKUP(K1334,'Rate Sheet'!$D:$F,3,FALSE),0)</f>
        <v>0</v>
      </c>
      <c r="AA1334" s="2">
        <f t="shared" si="21"/>
        <v>8.6983333333333324</v>
      </c>
      <c r="AB1334">
        <v>1</v>
      </c>
    </row>
    <row r="1335" spans="1:28" x14ac:dyDescent="0.25">
      <c r="A1335" t="s">
        <v>33</v>
      </c>
      <c r="B1335" t="s">
        <v>4909</v>
      </c>
      <c r="C1335" t="s">
        <v>21</v>
      </c>
      <c r="D1335" t="s">
        <v>4909</v>
      </c>
      <c r="E1335" t="s">
        <v>727</v>
      </c>
      <c r="F1335" t="s">
        <v>595</v>
      </c>
      <c r="G1335" t="s">
        <v>24</v>
      </c>
      <c r="H1335" t="s">
        <v>4910</v>
      </c>
      <c r="I1335" t="s">
        <v>46</v>
      </c>
      <c r="N1335" t="s">
        <v>185</v>
      </c>
      <c r="S1335" t="s">
        <v>48</v>
      </c>
      <c r="V1335" t="s">
        <v>5610</v>
      </c>
      <c r="W1335" t="s">
        <v>5611</v>
      </c>
      <c r="X1335" s="2">
        <f>IFERROR(VLOOKUP(I1335,'Rate Sheet'!$D:$F,3,FALSE),0)</f>
        <v>14.333333333333334</v>
      </c>
      <c r="Y1335" s="2">
        <f>IFERROR(VLOOKUP(J1335,'Rate Sheet'!$D:$F,3,FALSE),0)</f>
        <v>0</v>
      </c>
      <c r="Z1335" s="2">
        <f>IFERROR(VLOOKUP(K1335,'Rate Sheet'!$D:$F,3,FALSE),0)</f>
        <v>0</v>
      </c>
      <c r="AA1335" s="2">
        <f t="shared" si="21"/>
        <v>14.333333333333334</v>
      </c>
      <c r="AB1335">
        <v>1</v>
      </c>
    </row>
    <row r="1336" spans="1:28" x14ac:dyDescent="0.25">
      <c r="A1336" t="s">
        <v>33</v>
      </c>
      <c r="B1336" t="s">
        <v>4911</v>
      </c>
      <c r="C1336" t="s">
        <v>21</v>
      </c>
      <c r="D1336" t="s">
        <v>4911</v>
      </c>
      <c r="E1336" t="s">
        <v>894</v>
      </c>
      <c r="F1336" t="s">
        <v>4912</v>
      </c>
      <c r="G1336" t="s">
        <v>24</v>
      </c>
      <c r="H1336" t="s">
        <v>4913</v>
      </c>
      <c r="I1336" t="s">
        <v>73</v>
      </c>
      <c r="N1336" t="s">
        <v>803</v>
      </c>
      <c r="S1336" t="s">
        <v>75</v>
      </c>
      <c r="V1336" t="s">
        <v>5656</v>
      </c>
      <c r="W1336" t="s">
        <v>1331</v>
      </c>
      <c r="X1336" s="2">
        <f>IFERROR(VLOOKUP(I1336,'Rate Sheet'!$D:$F,3,FALSE),0)</f>
        <v>8.6983333333333324</v>
      </c>
      <c r="Y1336" s="2">
        <f>IFERROR(VLOOKUP(J1336,'Rate Sheet'!$D:$F,3,FALSE),0)</f>
        <v>0</v>
      </c>
      <c r="Z1336" s="2">
        <f>IFERROR(VLOOKUP(K1336,'Rate Sheet'!$D:$F,3,FALSE),0)</f>
        <v>0</v>
      </c>
      <c r="AA1336" s="2">
        <f t="shared" si="21"/>
        <v>8.6983333333333324</v>
      </c>
      <c r="AB1336">
        <v>1</v>
      </c>
    </row>
    <row r="1337" spans="1:28" x14ac:dyDescent="0.25">
      <c r="A1337" t="s">
        <v>33</v>
      </c>
      <c r="B1337" t="s">
        <v>4914</v>
      </c>
      <c r="C1337" t="s">
        <v>21</v>
      </c>
      <c r="D1337" t="s">
        <v>4914</v>
      </c>
      <c r="E1337" t="s">
        <v>2269</v>
      </c>
      <c r="F1337" t="s">
        <v>4915</v>
      </c>
      <c r="G1337" t="s">
        <v>24</v>
      </c>
      <c r="H1337" t="s">
        <v>4916</v>
      </c>
      <c r="I1337" t="s">
        <v>46</v>
      </c>
      <c r="S1337" t="s">
        <v>48</v>
      </c>
      <c r="V1337" t="s">
        <v>5610</v>
      </c>
      <c r="W1337" t="s">
        <v>5611</v>
      </c>
      <c r="X1337" s="2">
        <f>IFERROR(VLOOKUP(I1337,'Rate Sheet'!$D:$F,3,FALSE),0)</f>
        <v>14.333333333333334</v>
      </c>
      <c r="Y1337" s="2">
        <f>IFERROR(VLOOKUP(J1337,'Rate Sheet'!$D:$F,3,FALSE),0)</f>
        <v>0</v>
      </c>
      <c r="Z1337" s="2">
        <f>IFERROR(VLOOKUP(K1337,'Rate Sheet'!$D:$F,3,FALSE),0)</f>
        <v>0</v>
      </c>
      <c r="AA1337" s="2">
        <f t="shared" si="21"/>
        <v>14.333333333333334</v>
      </c>
      <c r="AB1337">
        <v>1</v>
      </c>
    </row>
    <row r="1338" spans="1:28" x14ac:dyDescent="0.25">
      <c r="A1338" t="s">
        <v>33</v>
      </c>
      <c r="B1338" t="s">
        <v>4917</v>
      </c>
      <c r="C1338" t="s">
        <v>21</v>
      </c>
      <c r="D1338" t="s">
        <v>4917</v>
      </c>
      <c r="E1338" t="s">
        <v>4918</v>
      </c>
      <c r="F1338" t="s">
        <v>4919</v>
      </c>
      <c r="G1338" t="s">
        <v>24</v>
      </c>
      <c r="H1338" t="s">
        <v>4920</v>
      </c>
      <c r="I1338" t="s">
        <v>46</v>
      </c>
      <c r="N1338" t="s">
        <v>620</v>
      </c>
      <c r="S1338" t="s">
        <v>48</v>
      </c>
      <c r="V1338" t="s">
        <v>5659</v>
      </c>
      <c r="W1338" t="s">
        <v>620</v>
      </c>
      <c r="X1338" s="2">
        <f>IFERROR(VLOOKUP(I1338,'Rate Sheet'!$D:$F,3,FALSE),0)</f>
        <v>14.333333333333334</v>
      </c>
      <c r="Y1338" s="2">
        <f>IFERROR(VLOOKUP(J1338,'Rate Sheet'!$D:$F,3,FALSE),0)</f>
        <v>0</v>
      </c>
      <c r="Z1338" s="2">
        <f>IFERROR(VLOOKUP(K1338,'Rate Sheet'!$D:$F,3,FALSE),0)</f>
        <v>0</v>
      </c>
      <c r="AA1338" s="2">
        <f t="shared" si="21"/>
        <v>14.333333333333334</v>
      </c>
      <c r="AB1338">
        <v>1</v>
      </c>
    </row>
    <row r="1339" spans="1:28" x14ac:dyDescent="0.25">
      <c r="A1339" t="s">
        <v>33</v>
      </c>
      <c r="B1339" t="s">
        <v>4921</v>
      </c>
      <c r="C1339" t="s">
        <v>21</v>
      </c>
      <c r="D1339" t="s">
        <v>4921</v>
      </c>
      <c r="E1339" t="s">
        <v>187</v>
      </c>
      <c r="F1339" t="s">
        <v>4922</v>
      </c>
      <c r="G1339" t="s">
        <v>24</v>
      </c>
      <c r="H1339" t="s">
        <v>4923</v>
      </c>
      <c r="X1339" s="2">
        <f>IFERROR(VLOOKUP(I1339,'Rate Sheet'!$D:$F,3,FALSE),0)</f>
        <v>0</v>
      </c>
      <c r="Y1339" s="2">
        <f>IFERROR(VLOOKUP(J1339,'Rate Sheet'!$D:$F,3,FALSE),0)</f>
        <v>0</v>
      </c>
      <c r="Z1339" s="2">
        <f>IFERROR(VLOOKUP(K1339,'Rate Sheet'!$D:$F,3,FALSE),0)</f>
        <v>0</v>
      </c>
      <c r="AA1339" s="2">
        <f t="shared" si="21"/>
        <v>0</v>
      </c>
    </row>
    <row r="1340" spans="1:28" x14ac:dyDescent="0.25">
      <c r="A1340" t="s">
        <v>33</v>
      </c>
      <c r="B1340" t="s">
        <v>4924</v>
      </c>
      <c r="C1340" t="s">
        <v>29</v>
      </c>
      <c r="D1340" t="s">
        <v>4924</v>
      </c>
      <c r="E1340" t="s">
        <v>4925</v>
      </c>
      <c r="F1340" t="s">
        <v>4926</v>
      </c>
      <c r="G1340" t="s">
        <v>24</v>
      </c>
      <c r="H1340" t="s">
        <v>4927</v>
      </c>
      <c r="I1340" t="s">
        <v>46</v>
      </c>
      <c r="N1340" t="s">
        <v>2312</v>
      </c>
      <c r="S1340" t="s">
        <v>48</v>
      </c>
      <c r="V1340" t="s">
        <v>5727</v>
      </c>
      <c r="W1340" t="s">
        <v>2312</v>
      </c>
      <c r="X1340" s="2">
        <f>IFERROR(VLOOKUP(I1340,'Rate Sheet'!$D:$F,3,FALSE),0)</f>
        <v>14.333333333333334</v>
      </c>
      <c r="Y1340" s="2">
        <f>IFERROR(VLOOKUP(J1340,'Rate Sheet'!$D:$F,3,FALSE),0)</f>
        <v>0</v>
      </c>
      <c r="Z1340" s="2">
        <f>IFERROR(VLOOKUP(K1340,'Rate Sheet'!$D:$F,3,FALSE),0)</f>
        <v>0</v>
      </c>
      <c r="AA1340" s="2">
        <f t="shared" si="21"/>
        <v>14.333333333333334</v>
      </c>
      <c r="AB1340">
        <v>1</v>
      </c>
    </row>
    <row r="1341" spans="1:28" x14ac:dyDescent="0.25">
      <c r="A1341" t="s">
        <v>33</v>
      </c>
      <c r="B1341" t="s">
        <v>4928</v>
      </c>
      <c r="C1341" t="s">
        <v>21</v>
      </c>
      <c r="D1341" t="s">
        <v>4928</v>
      </c>
      <c r="E1341" t="s">
        <v>606</v>
      </c>
      <c r="F1341" t="s">
        <v>4670</v>
      </c>
      <c r="G1341" t="s">
        <v>24</v>
      </c>
      <c r="H1341" t="s">
        <v>4929</v>
      </c>
      <c r="X1341" s="2">
        <f>IFERROR(VLOOKUP(I1341,'Rate Sheet'!$D:$F,3,FALSE),0)</f>
        <v>0</v>
      </c>
      <c r="Y1341" s="2">
        <f>IFERROR(VLOOKUP(J1341,'Rate Sheet'!$D:$F,3,FALSE),0)</f>
        <v>0</v>
      </c>
      <c r="Z1341" s="2">
        <f>IFERROR(VLOOKUP(K1341,'Rate Sheet'!$D:$F,3,FALSE),0)</f>
        <v>0</v>
      </c>
      <c r="AA1341" s="2">
        <f t="shared" si="21"/>
        <v>0</v>
      </c>
    </row>
    <row r="1342" spans="1:28" x14ac:dyDescent="0.25">
      <c r="A1342" t="s">
        <v>33</v>
      </c>
      <c r="B1342" t="s">
        <v>4930</v>
      </c>
      <c r="C1342" t="s">
        <v>21</v>
      </c>
      <c r="D1342" t="s">
        <v>4930</v>
      </c>
      <c r="E1342" t="s">
        <v>126</v>
      </c>
      <c r="F1342" t="s">
        <v>4750</v>
      </c>
      <c r="G1342" t="s">
        <v>24</v>
      </c>
      <c r="H1342" t="s">
        <v>4931</v>
      </c>
      <c r="I1342" t="s">
        <v>73</v>
      </c>
      <c r="N1342" t="s">
        <v>803</v>
      </c>
      <c r="S1342" t="s">
        <v>75</v>
      </c>
      <c r="V1342" t="s">
        <v>5665</v>
      </c>
      <c r="W1342" t="s">
        <v>803</v>
      </c>
      <c r="X1342" s="2">
        <f>IFERROR(VLOOKUP(I1342,'Rate Sheet'!$D:$F,3,FALSE),0)</f>
        <v>8.6983333333333324</v>
      </c>
      <c r="Y1342" s="2">
        <f>IFERROR(VLOOKUP(J1342,'Rate Sheet'!$D:$F,3,FALSE),0)</f>
        <v>0</v>
      </c>
      <c r="Z1342" s="2">
        <f>IFERROR(VLOOKUP(K1342,'Rate Sheet'!$D:$F,3,FALSE),0)</f>
        <v>0</v>
      </c>
      <c r="AA1342" s="2">
        <f t="shared" si="21"/>
        <v>8.6983333333333324</v>
      </c>
      <c r="AB1342">
        <v>1</v>
      </c>
    </row>
    <row r="1343" spans="1:28" x14ac:dyDescent="0.25">
      <c r="A1343" t="s">
        <v>33</v>
      </c>
      <c r="B1343" t="s">
        <v>4932</v>
      </c>
      <c r="C1343" t="s">
        <v>21</v>
      </c>
      <c r="D1343" t="s">
        <v>4932</v>
      </c>
      <c r="E1343" t="s">
        <v>4933</v>
      </c>
      <c r="F1343" t="s">
        <v>4934</v>
      </c>
      <c r="G1343" t="s">
        <v>24</v>
      </c>
      <c r="H1343" t="s">
        <v>4935</v>
      </c>
      <c r="I1343" t="s">
        <v>73</v>
      </c>
      <c r="N1343" t="s">
        <v>349</v>
      </c>
      <c r="S1343" t="s">
        <v>75</v>
      </c>
      <c r="V1343" t="s">
        <v>5630</v>
      </c>
      <c r="W1343" t="s">
        <v>5631</v>
      </c>
      <c r="X1343" s="2">
        <f>IFERROR(VLOOKUP(I1343,'Rate Sheet'!$D:$F,3,FALSE),0)</f>
        <v>8.6983333333333324</v>
      </c>
      <c r="Y1343" s="2">
        <f>IFERROR(VLOOKUP(J1343,'Rate Sheet'!$D:$F,3,FALSE),0)</f>
        <v>0</v>
      </c>
      <c r="Z1343" s="2">
        <f>IFERROR(VLOOKUP(K1343,'Rate Sheet'!$D:$F,3,FALSE),0)</f>
        <v>0</v>
      </c>
      <c r="AA1343" s="2">
        <f t="shared" si="21"/>
        <v>8.6983333333333324</v>
      </c>
      <c r="AB1343">
        <v>1</v>
      </c>
    </row>
    <row r="1344" spans="1:28" x14ac:dyDescent="0.25">
      <c r="A1344" t="s">
        <v>33</v>
      </c>
      <c r="B1344" t="s">
        <v>4936</v>
      </c>
      <c r="C1344" t="s">
        <v>21</v>
      </c>
      <c r="D1344" t="s">
        <v>4936</v>
      </c>
      <c r="E1344" t="s">
        <v>1076</v>
      </c>
      <c r="F1344" t="s">
        <v>432</v>
      </c>
      <c r="G1344" t="s">
        <v>24</v>
      </c>
      <c r="H1344" t="s">
        <v>4937</v>
      </c>
      <c r="X1344" s="2">
        <f>IFERROR(VLOOKUP(I1344,'Rate Sheet'!$D:$F,3,FALSE),0)</f>
        <v>0</v>
      </c>
      <c r="Y1344" s="2">
        <f>IFERROR(VLOOKUP(J1344,'Rate Sheet'!$D:$F,3,FALSE),0)</f>
        <v>0</v>
      </c>
      <c r="Z1344" s="2">
        <f>IFERROR(VLOOKUP(K1344,'Rate Sheet'!$D:$F,3,FALSE),0)</f>
        <v>0</v>
      </c>
      <c r="AA1344" s="2">
        <f t="shared" si="21"/>
        <v>0</v>
      </c>
    </row>
    <row r="1345" spans="1:28" x14ac:dyDescent="0.25">
      <c r="A1345" t="s">
        <v>33</v>
      </c>
      <c r="B1345" t="s">
        <v>4938</v>
      </c>
      <c r="C1345" t="s">
        <v>29</v>
      </c>
      <c r="D1345" t="s">
        <v>4938</v>
      </c>
      <c r="E1345" t="s">
        <v>519</v>
      </c>
      <c r="F1345" t="s">
        <v>4939</v>
      </c>
      <c r="G1345" t="s">
        <v>24</v>
      </c>
      <c r="H1345" t="s">
        <v>4940</v>
      </c>
      <c r="I1345" t="s">
        <v>73</v>
      </c>
      <c r="S1345" t="s">
        <v>75</v>
      </c>
      <c r="V1345" t="s">
        <v>5661</v>
      </c>
      <c r="W1345" t="s">
        <v>246</v>
      </c>
      <c r="X1345" s="2">
        <f>IFERROR(VLOOKUP(I1345,'Rate Sheet'!$D:$F,3,FALSE),0)</f>
        <v>8.6983333333333324</v>
      </c>
      <c r="Y1345" s="2">
        <f>IFERROR(VLOOKUP(J1345,'Rate Sheet'!$D:$F,3,FALSE),0)</f>
        <v>0</v>
      </c>
      <c r="Z1345" s="2">
        <f>IFERROR(VLOOKUP(K1345,'Rate Sheet'!$D:$F,3,FALSE),0)</f>
        <v>0</v>
      </c>
      <c r="AA1345" s="2">
        <f t="shared" si="21"/>
        <v>8.6983333333333324</v>
      </c>
      <c r="AB1345">
        <v>1</v>
      </c>
    </row>
    <row r="1346" spans="1:28" x14ac:dyDescent="0.25">
      <c r="A1346" t="s">
        <v>33</v>
      </c>
      <c r="B1346" t="s">
        <v>4941</v>
      </c>
      <c r="C1346" t="s">
        <v>29</v>
      </c>
      <c r="D1346" t="s">
        <v>4941</v>
      </c>
      <c r="E1346" t="s">
        <v>1393</v>
      </c>
      <c r="F1346" t="s">
        <v>1424</v>
      </c>
      <c r="G1346" t="s">
        <v>24</v>
      </c>
      <c r="H1346" t="s">
        <v>4942</v>
      </c>
      <c r="R1346" t="s">
        <v>48</v>
      </c>
      <c r="X1346" s="2">
        <f>IFERROR(VLOOKUP(I1346,'Rate Sheet'!$D:$F,3,FALSE),0)</f>
        <v>0</v>
      </c>
      <c r="Y1346" s="2">
        <f>IFERROR(VLOOKUP(J1346,'Rate Sheet'!$D:$F,3,FALSE),0)</f>
        <v>0</v>
      </c>
      <c r="Z1346" s="2">
        <f>IFERROR(VLOOKUP(K1346,'Rate Sheet'!$D:$F,3,FALSE),0)</f>
        <v>0</v>
      </c>
      <c r="AA1346" s="2">
        <f t="shared" si="21"/>
        <v>0</v>
      </c>
    </row>
    <row r="1347" spans="1:28" x14ac:dyDescent="0.25">
      <c r="A1347" t="s">
        <v>33</v>
      </c>
      <c r="B1347" t="s">
        <v>4943</v>
      </c>
      <c r="C1347" t="s">
        <v>21</v>
      </c>
      <c r="D1347" t="s">
        <v>4943</v>
      </c>
      <c r="E1347" t="s">
        <v>4944</v>
      </c>
      <c r="F1347" t="s">
        <v>4945</v>
      </c>
      <c r="G1347" t="s">
        <v>24</v>
      </c>
      <c r="H1347" t="s">
        <v>4946</v>
      </c>
      <c r="N1347" t="s">
        <v>53</v>
      </c>
      <c r="R1347" t="s">
        <v>48</v>
      </c>
      <c r="X1347" s="2">
        <f>IFERROR(VLOOKUP(I1347,'Rate Sheet'!$D:$F,3,FALSE),0)</f>
        <v>0</v>
      </c>
      <c r="Y1347" s="2">
        <f>IFERROR(VLOOKUP(J1347,'Rate Sheet'!$D:$F,3,FALSE),0)</f>
        <v>0</v>
      </c>
      <c r="Z1347" s="2">
        <f>IFERROR(VLOOKUP(K1347,'Rate Sheet'!$D:$F,3,FALSE),0)</f>
        <v>0</v>
      </c>
      <c r="AA1347" s="2">
        <f t="shared" si="21"/>
        <v>0</v>
      </c>
    </row>
    <row r="1348" spans="1:28" x14ac:dyDescent="0.25">
      <c r="A1348" t="s">
        <v>33</v>
      </c>
      <c r="B1348" t="s">
        <v>4947</v>
      </c>
      <c r="C1348" t="s">
        <v>21</v>
      </c>
      <c r="D1348" t="s">
        <v>4947</v>
      </c>
      <c r="E1348" t="s">
        <v>4948</v>
      </c>
      <c r="F1348" t="s">
        <v>4949</v>
      </c>
      <c r="G1348" t="s">
        <v>24</v>
      </c>
      <c r="H1348" t="s">
        <v>4950</v>
      </c>
      <c r="I1348" t="s">
        <v>46</v>
      </c>
      <c r="N1348" t="s">
        <v>185</v>
      </c>
      <c r="S1348" t="s">
        <v>48</v>
      </c>
      <c r="V1348" s="10" t="s">
        <v>5610</v>
      </c>
      <c r="W1348" s="10" t="s">
        <v>5611</v>
      </c>
      <c r="X1348" s="2">
        <f>IFERROR(VLOOKUP(I1348,'Rate Sheet'!$D:$F,3,FALSE),0)</f>
        <v>14.333333333333334</v>
      </c>
      <c r="Y1348" s="2">
        <f>IFERROR(VLOOKUP(J1348,'Rate Sheet'!$D:$F,3,FALSE),0)</f>
        <v>0</v>
      </c>
      <c r="Z1348" s="2">
        <f>IFERROR(VLOOKUP(K1348,'Rate Sheet'!$D:$F,3,FALSE),0)</f>
        <v>0</v>
      </c>
      <c r="AA1348" s="2">
        <f t="shared" si="21"/>
        <v>14.333333333333334</v>
      </c>
      <c r="AB1348">
        <v>1</v>
      </c>
    </row>
    <row r="1349" spans="1:28" x14ac:dyDescent="0.25">
      <c r="A1349" t="s">
        <v>33</v>
      </c>
      <c r="B1349" t="s">
        <v>4951</v>
      </c>
      <c r="C1349" t="s">
        <v>21</v>
      </c>
      <c r="D1349" t="s">
        <v>4951</v>
      </c>
      <c r="E1349" t="s">
        <v>1010</v>
      </c>
      <c r="F1349" t="s">
        <v>4952</v>
      </c>
      <c r="G1349" t="s">
        <v>24</v>
      </c>
      <c r="H1349" t="s">
        <v>4953</v>
      </c>
      <c r="X1349" s="2">
        <f>IFERROR(VLOOKUP(I1349,'Rate Sheet'!$D:$F,3,FALSE),0)</f>
        <v>0</v>
      </c>
      <c r="Y1349" s="2">
        <f>IFERROR(VLOOKUP(J1349,'Rate Sheet'!$D:$F,3,FALSE),0)</f>
        <v>0</v>
      </c>
      <c r="Z1349" s="2">
        <f>IFERROR(VLOOKUP(K1349,'Rate Sheet'!$D:$F,3,FALSE),0)</f>
        <v>0</v>
      </c>
      <c r="AA1349" s="2">
        <f t="shared" si="21"/>
        <v>0</v>
      </c>
    </row>
    <row r="1350" spans="1:28" x14ac:dyDescent="0.25">
      <c r="A1350" t="s">
        <v>33</v>
      </c>
      <c r="B1350" t="s">
        <v>4954</v>
      </c>
      <c r="C1350" t="s">
        <v>21</v>
      </c>
      <c r="D1350" t="s">
        <v>4954</v>
      </c>
      <c r="E1350" t="s">
        <v>4955</v>
      </c>
      <c r="F1350" t="s">
        <v>4956</v>
      </c>
      <c r="G1350" t="s">
        <v>24</v>
      </c>
      <c r="H1350" t="s">
        <v>4957</v>
      </c>
      <c r="I1350" t="s">
        <v>46</v>
      </c>
      <c r="S1350" t="s">
        <v>48</v>
      </c>
      <c r="V1350" t="s">
        <v>5708</v>
      </c>
      <c r="W1350" t="s">
        <v>5709</v>
      </c>
      <c r="X1350" s="2">
        <f>IFERROR(VLOOKUP(I1350,'Rate Sheet'!$D:$F,3,FALSE),0)</f>
        <v>14.333333333333334</v>
      </c>
      <c r="Y1350" s="2">
        <f>IFERROR(VLOOKUP(J1350,'Rate Sheet'!$D:$F,3,FALSE),0)</f>
        <v>0</v>
      </c>
      <c r="Z1350" s="2">
        <f>IFERROR(VLOOKUP(K1350,'Rate Sheet'!$D:$F,3,FALSE),0)</f>
        <v>0</v>
      </c>
      <c r="AA1350" s="2">
        <f t="shared" si="21"/>
        <v>14.333333333333334</v>
      </c>
      <c r="AB1350">
        <v>1</v>
      </c>
    </row>
    <row r="1351" spans="1:28" x14ac:dyDescent="0.25">
      <c r="A1351" t="s">
        <v>33</v>
      </c>
      <c r="B1351" t="s">
        <v>4958</v>
      </c>
      <c r="C1351" t="s">
        <v>21</v>
      </c>
      <c r="D1351" t="s">
        <v>4958</v>
      </c>
      <c r="E1351" t="s">
        <v>1749</v>
      </c>
      <c r="F1351" t="s">
        <v>1291</v>
      </c>
      <c r="G1351" t="s">
        <v>24</v>
      </c>
      <c r="H1351" t="s">
        <v>4959</v>
      </c>
      <c r="I1351" t="s">
        <v>46</v>
      </c>
      <c r="N1351" t="s">
        <v>3868</v>
      </c>
      <c r="S1351" t="s">
        <v>48</v>
      </c>
      <c r="V1351" t="s">
        <v>5708</v>
      </c>
      <c r="W1351" t="s">
        <v>5709</v>
      </c>
      <c r="X1351" s="2">
        <f>IFERROR(VLOOKUP(I1351,'Rate Sheet'!$D:$F,3,FALSE),0)</f>
        <v>14.333333333333334</v>
      </c>
      <c r="Y1351" s="2">
        <f>IFERROR(VLOOKUP(J1351,'Rate Sheet'!$D:$F,3,FALSE),0)</f>
        <v>0</v>
      </c>
      <c r="Z1351" s="2">
        <f>IFERROR(VLOOKUP(K1351,'Rate Sheet'!$D:$F,3,FALSE),0)</f>
        <v>0</v>
      </c>
      <c r="AA1351" s="2">
        <f t="shared" si="21"/>
        <v>14.333333333333334</v>
      </c>
      <c r="AB1351">
        <v>1</v>
      </c>
    </row>
    <row r="1352" spans="1:28" x14ac:dyDescent="0.25">
      <c r="A1352" t="s">
        <v>33</v>
      </c>
      <c r="B1352" t="s">
        <v>4960</v>
      </c>
      <c r="C1352" t="s">
        <v>29</v>
      </c>
      <c r="D1352" t="s">
        <v>4961</v>
      </c>
      <c r="E1352" t="s">
        <v>796</v>
      </c>
      <c r="F1352" t="s">
        <v>4642</v>
      </c>
      <c r="G1352" t="s">
        <v>24</v>
      </c>
      <c r="H1352" t="s">
        <v>4962</v>
      </c>
      <c r="X1352" s="2">
        <f>IFERROR(VLOOKUP(I1352,'Rate Sheet'!$D:$F,3,FALSE),0)</f>
        <v>0</v>
      </c>
      <c r="Y1352" s="2">
        <f>IFERROR(VLOOKUP(J1352,'Rate Sheet'!$D:$F,3,FALSE),0)</f>
        <v>0</v>
      </c>
      <c r="Z1352" s="2">
        <f>IFERROR(VLOOKUP(K1352,'Rate Sheet'!$D:$F,3,FALSE),0)</f>
        <v>0</v>
      </c>
      <c r="AA1352" s="2">
        <f t="shared" si="21"/>
        <v>0</v>
      </c>
    </row>
    <row r="1353" spans="1:28" x14ac:dyDescent="0.25">
      <c r="A1353" t="s">
        <v>33</v>
      </c>
      <c r="B1353" t="s">
        <v>4963</v>
      </c>
      <c r="C1353" t="s">
        <v>21</v>
      </c>
      <c r="D1353" t="s">
        <v>4963</v>
      </c>
      <c r="E1353" t="s">
        <v>4964</v>
      </c>
      <c r="F1353" t="s">
        <v>4540</v>
      </c>
      <c r="G1353" t="s">
        <v>24</v>
      </c>
      <c r="H1353" t="s">
        <v>4965</v>
      </c>
      <c r="I1353" t="s">
        <v>73</v>
      </c>
      <c r="S1353" t="s">
        <v>75</v>
      </c>
      <c r="V1353" t="s">
        <v>5578</v>
      </c>
      <c r="W1353" t="s">
        <v>5579</v>
      </c>
      <c r="X1353" s="2">
        <f>IFERROR(VLOOKUP(I1353,'Rate Sheet'!$D:$F,3,FALSE),0)</f>
        <v>8.6983333333333324</v>
      </c>
      <c r="Y1353" s="2">
        <f>IFERROR(VLOOKUP(J1353,'Rate Sheet'!$D:$F,3,FALSE),0)</f>
        <v>0</v>
      </c>
      <c r="Z1353" s="2">
        <f>IFERROR(VLOOKUP(K1353,'Rate Sheet'!$D:$F,3,FALSE),0)</f>
        <v>0</v>
      </c>
      <c r="AA1353" s="2">
        <f t="shared" si="21"/>
        <v>8.6983333333333324</v>
      </c>
      <c r="AB1353">
        <v>1</v>
      </c>
    </row>
    <row r="1354" spans="1:28" x14ac:dyDescent="0.25">
      <c r="A1354" t="s">
        <v>33</v>
      </c>
      <c r="B1354" t="s">
        <v>4966</v>
      </c>
      <c r="C1354" t="s">
        <v>92</v>
      </c>
      <c r="D1354" t="s">
        <v>4966</v>
      </c>
      <c r="E1354" t="s">
        <v>131</v>
      </c>
      <c r="F1354" t="s">
        <v>4967</v>
      </c>
      <c r="G1354" t="s">
        <v>24</v>
      </c>
      <c r="H1354" t="s">
        <v>4968</v>
      </c>
      <c r="I1354" t="s">
        <v>73</v>
      </c>
      <c r="N1354" t="s">
        <v>1577</v>
      </c>
      <c r="S1354" t="s">
        <v>75</v>
      </c>
      <c r="V1354" t="s">
        <v>5705</v>
      </c>
      <c r="W1354" t="s">
        <v>1577</v>
      </c>
      <c r="X1354" s="2">
        <f>IFERROR(VLOOKUP(I1354,'Rate Sheet'!$D:$F,3,FALSE),0)</f>
        <v>8.6983333333333324</v>
      </c>
      <c r="Y1354" s="2">
        <f>IFERROR(VLOOKUP(J1354,'Rate Sheet'!$D:$F,3,FALSE),0)</f>
        <v>0</v>
      </c>
      <c r="Z1354" s="2">
        <f>IFERROR(VLOOKUP(K1354,'Rate Sheet'!$D:$F,3,FALSE),0)</f>
        <v>0</v>
      </c>
      <c r="AA1354" s="2">
        <f t="shared" si="21"/>
        <v>8.6983333333333324</v>
      </c>
      <c r="AB1354">
        <v>1</v>
      </c>
    </row>
    <row r="1355" spans="1:28" x14ac:dyDescent="0.25">
      <c r="A1355" t="s">
        <v>19</v>
      </c>
      <c r="B1355" t="s">
        <v>4969</v>
      </c>
      <c r="C1355" t="s">
        <v>4970</v>
      </c>
      <c r="D1355" t="s">
        <v>4969</v>
      </c>
      <c r="E1355" t="s">
        <v>1357</v>
      </c>
      <c r="F1355" t="s">
        <v>3169</v>
      </c>
      <c r="G1355" t="s">
        <v>2391</v>
      </c>
      <c r="H1355" t="s">
        <v>4971</v>
      </c>
      <c r="I1355" t="s">
        <v>46</v>
      </c>
      <c r="N1355" t="s">
        <v>4972</v>
      </c>
      <c r="S1355" t="s">
        <v>48</v>
      </c>
      <c r="V1355" s="10" t="s">
        <v>5748</v>
      </c>
      <c r="W1355" s="10" t="s">
        <v>4972</v>
      </c>
      <c r="X1355" s="2">
        <f>IFERROR(VLOOKUP(I1355,'Rate Sheet'!$D:$F,3,FALSE),0)</f>
        <v>14.333333333333334</v>
      </c>
      <c r="Y1355" s="2">
        <f>IFERROR(VLOOKUP(J1355,'Rate Sheet'!$D:$F,3,FALSE),0)</f>
        <v>0</v>
      </c>
      <c r="Z1355" s="2">
        <f>IFERROR(VLOOKUP(K1355,'Rate Sheet'!$D:$F,3,FALSE),0)</f>
        <v>0</v>
      </c>
      <c r="AA1355" s="2">
        <f t="shared" si="21"/>
        <v>14.333333333333334</v>
      </c>
      <c r="AB1355">
        <v>1</v>
      </c>
    </row>
    <row r="1356" spans="1:28" x14ac:dyDescent="0.25">
      <c r="A1356" t="s">
        <v>19</v>
      </c>
      <c r="B1356" t="s">
        <v>4973</v>
      </c>
      <c r="C1356" t="s">
        <v>4970</v>
      </c>
      <c r="D1356" t="s">
        <v>4973</v>
      </c>
      <c r="E1356" t="s">
        <v>4974</v>
      </c>
      <c r="F1356" t="s">
        <v>3239</v>
      </c>
      <c r="G1356" t="s">
        <v>2391</v>
      </c>
      <c r="H1356" t="s">
        <v>4975</v>
      </c>
      <c r="I1356" t="s">
        <v>46</v>
      </c>
      <c r="N1356" t="s">
        <v>4972</v>
      </c>
      <c r="S1356" t="s">
        <v>48</v>
      </c>
      <c r="V1356" s="10" t="s">
        <v>5748</v>
      </c>
      <c r="W1356" s="10" t="s">
        <v>4972</v>
      </c>
      <c r="X1356" s="2">
        <f>IFERROR(VLOOKUP(I1356,'Rate Sheet'!$D:$F,3,FALSE),0)</f>
        <v>14.333333333333334</v>
      </c>
      <c r="Y1356" s="2">
        <f>IFERROR(VLOOKUP(J1356,'Rate Sheet'!$D:$F,3,FALSE),0)</f>
        <v>0</v>
      </c>
      <c r="Z1356" s="2">
        <f>IFERROR(VLOOKUP(K1356,'Rate Sheet'!$D:$F,3,FALSE),0)</f>
        <v>0</v>
      </c>
      <c r="AA1356" s="2">
        <f t="shared" si="21"/>
        <v>14.333333333333334</v>
      </c>
      <c r="AB1356">
        <v>1</v>
      </c>
    </row>
    <row r="1357" spans="1:28" x14ac:dyDescent="0.25">
      <c r="A1357" t="s">
        <v>19</v>
      </c>
      <c r="B1357" t="s">
        <v>4976</v>
      </c>
      <c r="C1357" t="s">
        <v>4970</v>
      </c>
      <c r="D1357" t="s">
        <v>4976</v>
      </c>
      <c r="E1357" t="s">
        <v>4038</v>
      </c>
      <c r="F1357" t="s">
        <v>1847</v>
      </c>
      <c r="G1357" t="s">
        <v>2391</v>
      </c>
      <c r="H1357" t="s">
        <v>4977</v>
      </c>
      <c r="I1357" t="s">
        <v>46</v>
      </c>
      <c r="N1357" t="s">
        <v>4972</v>
      </c>
      <c r="S1357" t="s">
        <v>48</v>
      </c>
      <c r="V1357" s="10" t="s">
        <v>5748</v>
      </c>
      <c r="W1357" s="10" t="s">
        <v>4972</v>
      </c>
      <c r="X1357" s="2">
        <f>IFERROR(VLOOKUP(I1357,'Rate Sheet'!$D:$F,3,FALSE),0)</f>
        <v>14.333333333333334</v>
      </c>
      <c r="Y1357" s="2">
        <f>IFERROR(VLOOKUP(J1357,'Rate Sheet'!$D:$F,3,FALSE),0)</f>
        <v>0</v>
      </c>
      <c r="Z1357" s="2">
        <f>IFERROR(VLOOKUP(K1357,'Rate Sheet'!$D:$F,3,FALSE),0)</f>
        <v>0</v>
      </c>
      <c r="AA1357" s="2">
        <f t="shared" si="21"/>
        <v>14.333333333333334</v>
      </c>
      <c r="AB1357">
        <v>1</v>
      </c>
    </row>
    <row r="1358" spans="1:28" x14ac:dyDescent="0.25">
      <c r="A1358" t="s">
        <v>33</v>
      </c>
      <c r="B1358" t="s">
        <v>4978</v>
      </c>
      <c r="C1358" t="s">
        <v>21</v>
      </c>
      <c r="D1358" t="s">
        <v>4978</v>
      </c>
      <c r="E1358" t="s">
        <v>100</v>
      </c>
      <c r="F1358" t="s">
        <v>4979</v>
      </c>
      <c r="G1358" t="s">
        <v>24</v>
      </c>
      <c r="H1358" t="s">
        <v>4980</v>
      </c>
      <c r="I1358" t="s">
        <v>46</v>
      </c>
      <c r="N1358" t="s">
        <v>914</v>
      </c>
      <c r="S1358" t="s">
        <v>48</v>
      </c>
      <c r="V1358" t="s">
        <v>5686</v>
      </c>
      <c r="W1358" t="s">
        <v>5687</v>
      </c>
      <c r="X1358" s="2">
        <f>IFERROR(VLOOKUP(I1358,'Rate Sheet'!$D:$F,3,FALSE),0)</f>
        <v>14.333333333333334</v>
      </c>
      <c r="Y1358" s="2">
        <f>IFERROR(VLOOKUP(J1358,'Rate Sheet'!$D:$F,3,FALSE),0)</f>
        <v>0</v>
      </c>
      <c r="Z1358" s="2">
        <f>IFERROR(VLOOKUP(K1358,'Rate Sheet'!$D:$F,3,FALSE),0)</f>
        <v>0</v>
      </c>
      <c r="AA1358" s="2">
        <f t="shared" si="21"/>
        <v>14.333333333333334</v>
      </c>
      <c r="AB1358">
        <v>1</v>
      </c>
    </row>
    <row r="1359" spans="1:28" x14ac:dyDescent="0.25">
      <c r="A1359" t="s">
        <v>33</v>
      </c>
      <c r="B1359" t="s">
        <v>4981</v>
      </c>
      <c r="C1359" t="s">
        <v>21</v>
      </c>
      <c r="D1359" t="s">
        <v>4981</v>
      </c>
      <c r="E1359" t="s">
        <v>710</v>
      </c>
      <c r="F1359" t="s">
        <v>4278</v>
      </c>
      <c r="G1359" t="s">
        <v>24</v>
      </c>
      <c r="H1359" t="s">
        <v>4982</v>
      </c>
      <c r="X1359" s="2">
        <f>IFERROR(VLOOKUP(I1359,'Rate Sheet'!$D:$F,3,FALSE),0)</f>
        <v>0</v>
      </c>
      <c r="Y1359" s="2">
        <f>IFERROR(VLOOKUP(J1359,'Rate Sheet'!$D:$F,3,FALSE),0)</f>
        <v>0</v>
      </c>
      <c r="Z1359" s="2">
        <f>IFERROR(VLOOKUP(K1359,'Rate Sheet'!$D:$F,3,FALSE),0)</f>
        <v>0</v>
      </c>
      <c r="AA1359" s="2">
        <f t="shared" si="21"/>
        <v>0</v>
      </c>
    </row>
    <row r="1360" spans="1:28" x14ac:dyDescent="0.25">
      <c r="A1360" t="s">
        <v>33</v>
      </c>
      <c r="B1360" t="s">
        <v>4983</v>
      </c>
      <c r="C1360" t="s">
        <v>29</v>
      </c>
      <c r="D1360" t="s">
        <v>4983</v>
      </c>
      <c r="E1360" t="s">
        <v>424</v>
      </c>
      <c r="F1360" t="s">
        <v>4984</v>
      </c>
      <c r="G1360" t="s">
        <v>24</v>
      </c>
      <c r="H1360" t="s">
        <v>4985</v>
      </c>
      <c r="I1360" t="s">
        <v>46</v>
      </c>
      <c r="N1360" t="s">
        <v>190</v>
      </c>
      <c r="S1360" t="s">
        <v>48</v>
      </c>
      <c r="V1360" t="s">
        <v>5612</v>
      </c>
      <c r="W1360" t="s">
        <v>5613</v>
      </c>
      <c r="X1360" s="2">
        <f>IFERROR(VLOOKUP(I1360,'Rate Sheet'!$D:$F,3,FALSE),0)</f>
        <v>14.333333333333334</v>
      </c>
      <c r="Y1360" s="2">
        <f>IFERROR(VLOOKUP(J1360,'Rate Sheet'!$D:$F,3,FALSE),0)</f>
        <v>0</v>
      </c>
      <c r="Z1360" s="2">
        <f>IFERROR(VLOOKUP(K1360,'Rate Sheet'!$D:$F,3,FALSE),0)</f>
        <v>0</v>
      </c>
      <c r="AA1360" s="2">
        <f t="shared" si="21"/>
        <v>14.333333333333334</v>
      </c>
      <c r="AB1360">
        <v>1</v>
      </c>
    </row>
    <row r="1361" spans="1:28" x14ac:dyDescent="0.25">
      <c r="A1361" t="s">
        <v>33</v>
      </c>
      <c r="B1361" t="s">
        <v>4986</v>
      </c>
      <c r="C1361" t="s">
        <v>21</v>
      </c>
      <c r="D1361" t="s">
        <v>4986</v>
      </c>
      <c r="E1361" t="s">
        <v>4987</v>
      </c>
      <c r="F1361" t="s">
        <v>4988</v>
      </c>
      <c r="G1361" t="s">
        <v>24</v>
      </c>
      <c r="H1361" t="s">
        <v>4989</v>
      </c>
      <c r="I1361" t="s">
        <v>73</v>
      </c>
      <c r="N1361" t="s">
        <v>185</v>
      </c>
      <c r="S1361" t="s">
        <v>75</v>
      </c>
      <c r="V1361" t="s">
        <v>5610</v>
      </c>
      <c r="W1361" t="s">
        <v>5611</v>
      </c>
      <c r="X1361" s="2">
        <f>IFERROR(VLOOKUP(I1361,'Rate Sheet'!$D:$F,3,FALSE),0)</f>
        <v>8.6983333333333324</v>
      </c>
      <c r="Y1361" s="2">
        <f>IFERROR(VLOOKUP(J1361,'Rate Sheet'!$D:$F,3,FALSE),0)</f>
        <v>0</v>
      </c>
      <c r="Z1361" s="2">
        <f>IFERROR(VLOOKUP(K1361,'Rate Sheet'!$D:$F,3,FALSE),0)</f>
        <v>0</v>
      </c>
      <c r="AA1361" s="2">
        <f t="shared" si="21"/>
        <v>8.6983333333333324</v>
      </c>
      <c r="AB1361">
        <v>1</v>
      </c>
    </row>
    <row r="1362" spans="1:28" x14ac:dyDescent="0.25">
      <c r="A1362" t="s">
        <v>33</v>
      </c>
      <c r="B1362" t="s">
        <v>4990</v>
      </c>
      <c r="C1362" t="s">
        <v>29</v>
      </c>
      <c r="D1362" t="s">
        <v>4990</v>
      </c>
      <c r="E1362" t="s">
        <v>3645</v>
      </c>
      <c r="F1362" t="s">
        <v>4991</v>
      </c>
      <c r="G1362" t="s">
        <v>24</v>
      </c>
      <c r="H1362" t="s">
        <v>4992</v>
      </c>
      <c r="I1362" t="s">
        <v>73</v>
      </c>
      <c r="N1362" t="s">
        <v>601</v>
      </c>
      <c r="S1362" t="s">
        <v>75</v>
      </c>
      <c r="V1362" t="s">
        <v>5695</v>
      </c>
      <c r="W1362" t="s">
        <v>601</v>
      </c>
      <c r="X1362" s="2">
        <f>IFERROR(VLOOKUP(I1362,'Rate Sheet'!$D:$F,3,FALSE),0)</f>
        <v>8.6983333333333324</v>
      </c>
      <c r="Y1362" s="2">
        <f>IFERROR(VLOOKUP(J1362,'Rate Sheet'!$D:$F,3,FALSE),0)</f>
        <v>0</v>
      </c>
      <c r="Z1362" s="2">
        <f>IFERROR(VLOOKUP(K1362,'Rate Sheet'!$D:$F,3,FALSE),0)</f>
        <v>0</v>
      </c>
      <c r="AA1362" s="2">
        <f t="shared" si="21"/>
        <v>8.6983333333333324</v>
      </c>
      <c r="AB1362">
        <v>1</v>
      </c>
    </row>
    <row r="1363" spans="1:28" x14ac:dyDescent="0.25">
      <c r="A1363" t="s">
        <v>33</v>
      </c>
      <c r="B1363" t="s">
        <v>4993</v>
      </c>
      <c r="C1363" t="s">
        <v>21</v>
      </c>
      <c r="D1363" t="s">
        <v>4993</v>
      </c>
      <c r="E1363" t="s">
        <v>4994</v>
      </c>
      <c r="F1363" t="s">
        <v>4995</v>
      </c>
      <c r="G1363" t="s">
        <v>24</v>
      </c>
      <c r="H1363" t="s">
        <v>4996</v>
      </c>
      <c r="N1363" t="s">
        <v>53</v>
      </c>
      <c r="R1363" t="s">
        <v>48</v>
      </c>
      <c r="X1363" s="2">
        <f>IFERROR(VLOOKUP(I1363,'Rate Sheet'!$D:$F,3,FALSE),0)</f>
        <v>0</v>
      </c>
      <c r="Y1363" s="2">
        <f>IFERROR(VLOOKUP(J1363,'Rate Sheet'!$D:$F,3,FALSE),0)</f>
        <v>0</v>
      </c>
      <c r="Z1363" s="2">
        <f>IFERROR(VLOOKUP(K1363,'Rate Sheet'!$D:$F,3,FALSE),0)</f>
        <v>0</v>
      </c>
      <c r="AA1363" s="2">
        <f t="shared" si="21"/>
        <v>0</v>
      </c>
    </row>
    <row r="1364" spans="1:28" x14ac:dyDescent="0.25">
      <c r="A1364" t="s">
        <v>33</v>
      </c>
      <c r="B1364" t="s">
        <v>4997</v>
      </c>
      <c r="C1364" t="s">
        <v>21</v>
      </c>
      <c r="D1364" t="s">
        <v>4997</v>
      </c>
      <c r="E1364" t="s">
        <v>334</v>
      </c>
      <c r="F1364" t="s">
        <v>4998</v>
      </c>
      <c r="G1364" t="s">
        <v>24</v>
      </c>
      <c r="H1364" t="s">
        <v>4999</v>
      </c>
      <c r="I1364" t="s">
        <v>46</v>
      </c>
      <c r="N1364" t="s">
        <v>317</v>
      </c>
      <c r="S1364" t="s">
        <v>48</v>
      </c>
      <c r="V1364" t="s">
        <v>5786</v>
      </c>
      <c r="W1364" t="s">
        <v>683</v>
      </c>
      <c r="X1364" s="2">
        <f>IFERROR(VLOOKUP(I1364,'Rate Sheet'!$D:$F,3,FALSE),0)</f>
        <v>14.333333333333334</v>
      </c>
      <c r="Y1364" s="2">
        <f>IFERROR(VLOOKUP(J1364,'Rate Sheet'!$D:$F,3,FALSE),0)</f>
        <v>0</v>
      </c>
      <c r="Z1364" s="2">
        <f>IFERROR(VLOOKUP(K1364,'Rate Sheet'!$D:$F,3,FALSE),0)</f>
        <v>0</v>
      </c>
      <c r="AA1364" s="2">
        <f t="shared" si="21"/>
        <v>14.333333333333334</v>
      </c>
      <c r="AB1364">
        <v>1</v>
      </c>
    </row>
    <row r="1365" spans="1:28" x14ac:dyDescent="0.25">
      <c r="A1365" t="s">
        <v>33</v>
      </c>
      <c r="B1365" t="s">
        <v>5000</v>
      </c>
      <c r="C1365" t="s">
        <v>21</v>
      </c>
      <c r="D1365" t="s">
        <v>5000</v>
      </c>
      <c r="E1365" t="s">
        <v>145</v>
      </c>
      <c r="F1365" t="s">
        <v>5001</v>
      </c>
      <c r="G1365" t="s">
        <v>24</v>
      </c>
      <c r="H1365" t="s">
        <v>5002</v>
      </c>
      <c r="I1365" t="s">
        <v>73</v>
      </c>
      <c r="N1365" t="s">
        <v>1042</v>
      </c>
      <c r="S1365" t="s">
        <v>75</v>
      </c>
      <c r="V1365" t="s">
        <v>5683</v>
      </c>
      <c r="W1365" t="s">
        <v>5684</v>
      </c>
      <c r="X1365" s="2">
        <f>IFERROR(VLOOKUP(I1365,'Rate Sheet'!$D:$F,3,FALSE),0)</f>
        <v>8.6983333333333324</v>
      </c>
      <c r="Y1365" s="2">
        <f>IFERROR(VLOOKUP(J1365,'Rate Sheet'!$D:$F,3,FALSE),0)</f>
        <v>0</v>
      </c>
      <c r="Z1365" s="2">
        <f>IFERROR(VLOOKUP(K1365,'Rate Sheet'!$D:$F,3,FALSE),0)</f>
        <v>0</v>
      </c>
      <c r="AA1365" s="2">
        <f t="shared" si="21"/>
        <v>8.6983333333333324</v>
      </c>
      <c r="AB1365">
        <v>1</v>
      </c>
    </row>
    <row r="1366" spans="1:28" x14ac:dyDescent="0.25">
      <c r="A1366" t="s">
        <v>33</v>
      </c>
      <c r="B1366" t="s">
        <v>5003</v>
      </c>
      <c r="C1366" t="s">
        <v>21</v>
      </c>
      <c r="D1366" t="s">
        <v>5003</v>
      </c>
      <c r="E1366" t="s">
        <v>135</v>
      </c>
      <c r="F1366" t="s">
        <v>5004</v>
      </c>
      <c r="G1366" t="s">
        <v>24</v>
      </c>
      <c r="H1366" t="s">
        <v>5005</v>
      </c>
      <c r="X1366" s="2">
        <f>IFERROR(VLOOKUP(I1366,'Rate Sheet'!$D:$F,3,FALSE),0)</f>
        <v>0</v>
      </c>
      <c r="Y1366" s="2">
        <f>IFERROR(VLOOKUP(J1366,'Rate Sheet'!$D:$F,3,FALSE),0)</f>
        <v>0</v>
      </c>
      <c r="Z1366" s="2">
        <f>IFERROR(VLOOKUP(K1366,'Rate Sheet'!$D:$F,3,FALSE),0)</f>
        <v>0</v>
      </c>
      <c r="AA1366" s="2">
        <f t="shared" si="21"/>
        <v>0</v>
      </c>
    </row>
    <row r="1367" spans="1:28" x14ac:dyDescent="0.25">
      <c r="A1367" t="s">
        <v>33</v>
      </c>
      <c r="B1367" t="s">
        <v>5006</v>
      </c>
      <c r="C1367" t="s">
        <v>29</v>
      </c>
      <c r="D1367" t="s">
        <v>5007</v>
      </c>
      <c r="E1367" t="s">
        <v>939</v>
      </c>
      <c r="F1367" t="s">
        <v>5008</v>
      </c>
      <c r="G1367" t="s">
        <v>24</v>
      </c>
      <c r="H1367" t="s">
        <v>5009</v>
      </c>
      <c r="I1367" t="s">
        <v>73</v>
      </c>
      <c r="N1367" t="s">
        <v>601</v>
      </c>
      <c r="S1367" t="s">
        <v>75</v>
      </c>
      <c r="V1367" t="s">
        <v>5695</v>
      </c>
      <c r="W1367" t="s">
        <v>601</v>
      </c>
      <c r="X1367" s="2">
        <f>IFERROR(VLOOKUP(I1367,'Rate Sheet'!$D:$F,3,FALSE),0)</f>
        <v>8.6983333333333324</v>
      </c>
      <c r="Y1367" s="2">
        <f>IFERROR(VLOOKUP(J1367,'Rate Sheet'!$D:$F,3,FALSE),0)</f>
        <v>0</v>
      </c>
      <c r="Z1367" s="2">
        <f>IFERROR(VLOOKUP(K1367,'Rate Sheet'!$D:$F,3,FALSE),0)</f>
        <v>0</v>
      </c>
      <c r="AA1367" s="2">
        <f t="shared" si="21"/>
        <v>8.6983333333333324</v>
      </c>
      <c r="AB1367">
        <v>1</v>
      </c>
    </row>
    <row r="1368" spans="1:28" x14ac:dyDescent="0.25">
      <c r="A1368" t="s">
        <v>33</v>
      </c>
      <c r="B1368" t="s">
        <v>5010</v>
      </c>
      <c r="C1368" t="s">
        <v>21</v>
      </c>
      <c r="D1368" t="s">
        <v>5010</v>
      </c>
      <c r="E1368" t="s">
        <v>3549</v>
      </c>
      <c r="F1368" t="s">
        <v>922</v>
      </c>
      <c r="G1368" t="s">
        <v>24</v>
      </c>
      <c r="H1368" t="s">
        <v>5011</v>
      </c>
      <c r="I1368" t="s">
        <v>73</v>
      </c>
      <c r="N1368" t="s">
        <v>207</v>
      </c>
      <c r="S1368" t="s">
        <v>75</v>
      </c>
      <c r="V1368" t="s">
        <v>5614</v>
      </c>
      <c r="W1368" t="s">
        <v>1184</v>
      </c>
      <c r="X1368" s="2">
        <f>IFERROR(VLOOKUP(I1368,'Rate Sheet'!$D:$F,3,FALSE),0)</f>
        <v>8.6983333333333324</v>
      </c>
      <c r="Y1368" s="2">
        <f>IFERROR(VLOOKUP(J1368,'Rate Sheet'!$D:$F,3,FALSE),0)</f>
        <v>0</v>
      </c>
      <c r="Z1368" s="2">
        <f>IFERROR(VLOOKUP(K1368,'Rate Sheet'!$D:$F,3,FALSE),0)</f>
        <v>0</v>
      </c>
      <c r="AA1368" s="2">
        <f t="shared" si="21"/>
        <v>8.6983333333333324</v>
      </c>
      <c r="AB1368">
        <v>1</v>
      </c>
    </row>
    <row r="1369" spans="1:28" x14ac:dyDescent="0.25">
      <c r="A1369" t="s">
        <v>33</v>
      </c>
      <c r="B1369" t="s">
        <v>5012</v>
      </c>
      <c r="C1369" t="s">
        <v>21</v>
      </c>
      <c r="D1369" t="s">
        <v>5012</v>
      </c>
      <c r="E1369" t="s">
        <v>5013</v>
      </c>
      <c r="F1369" t="s">
        <v>2712</v>
      </c>
      <c r="G1369" t="s">
        <v>24</v>
      </c>
      <c r="H1369" t="s">
        <v>5014</v>
      </c>
      <c r="I1369" t="s">
        <v>73</v>
      </c>
      <c r="N1369" t="s">
        <v>2014</v>
      </c>
      <c r="S1369" t="s">
        <v>75</v>
      </c>
      <c r="V1369" t="s">
        <v>5707</v>
      </c>
      <c r="W1369" t="s">
        <v>2014</v>
      </c>
      <c r="X1369" s="2">
        <f>IFERROR(VLOOKUP(I1369,'Rate Sheet'!$D:$F,3,FALSE),0)</f>
        <v>8.6983333333333324</v>
      </c>
      <c r="Y1369" s="2">
        <f>IFERROR(VLOOKUP(J1369,'Rate Sheet'!$D:$F,3,FALSE),0)</f>
        <v>0</v>
      </c>
      <c r="Z1369" s="2">
        <f>IFERROR(VLOOKUP(K1369,'Rate Sheet'!$D:$F,3,FALSE),0)</f>
        <v>0</v>
      </c>
      <c r="AA1369" s="2">
        <f t="shared" si="21"/>
        <v>8.6983333333333324</v>
      </c>
      <c r="AB1369">
        <v>1</v>
      </c>
    </row>
    <row r="1370" spans="1:28" x14ac:dyDescent="0.25">
      <c r="A1370" t="s">
        <v>33</v>
      </c>
      <c r="B1370" t="s">
        <v>5015</v>
      </c>
      <c r="C1370" t="s">
        <v>21</v>
      </c>
      <c r="D1370" t="s">
        <v>5015</v>
      </c>
      <c r="E1370" t="s">
        <v>5016</v>
      </c>
      <c r="F1370" t="s">
        <v>5017</v>
      </c>
      <c r="G1370" t="s">
        <v>24</v>
      </c>
      <c r="H1370" t="s">
        <v>5018</v>
      </c>
      <c r="I1370" t="s">
        <v>73</v>
      </c>
      <c r="N1370" t="s">
        <v>2762</v>
      </c>
      <c r="S1370" t="s">
        <v>75</v>
      </c>
      <c r="V1370" t="s">
        <v>5653</v>
      </c>
      <c r="W1370" t="s">
        <v>5654</v>
      </c>
      <c r="X1370" s="2">
        <f>IFERROR(VLOOKUP(I1370,'Rate Sheet'!$D:$F,3,FALSE),0)</f>
        <v>8.6983333333333324</v>
      </c>
      <c r="Y1370" s="2">
        <f>IFERROR(VLOOKUP(J1370,'Rate Sheet'!$D:$F,3,FALSE),0)</f>
        <v>0</v>
      </c>
      <c r="Z1370" s="2">
        <f>IFERROR(VLOOKUP(K1370,'Rate Sheet'!$D:$F,3,FALSE),0)</f>
        <v>0</v>
      </c>
      <c r="AA1370" s="2">
        <f t="shared" si="21"/>
        <v>8.6983333333333324</v>
      </c>
      <c r="AB1370">
        <v>1</v>
      </c>
    </row>
    <row r="1371" spans="1:28" x14ac:dyDescent="0.25">
      <c r="A1371" t="s">
        <v>33</v>
      </c>
      <c r="B1371" t="s">
        <v>5019</v>
      </c>
      <c r="C1371" t="s">
        <v>21</v>
      </c>
      <c r="D1371" t="s">
        <v>5019</v>
      </c>
      <c r="E1371" t="s">
        <v>131</v>
      </c>
      <c r="F1371" t="s">
        <v>5020</v>
      </c>
      <c r="G1371" t="s">
        <v>24</v>
      </c>
      <c r="H1371" t="s">
        <v>5021</v>
      </c>
      <c r="X1371" s="2">
        <f>IFERROR(VLOOKUP(I1371,'Rate Sheet'!$D:$F,3,FALSE),0)</f>
        <v>0</v>
      </c>
      <c r="Y1371" s="2">
        <f>IFERROR(VLOOKUP(J1371,'Rate Sheet'!$D:$F,3,FALSE),0)</f>
        <v>0</v>
      </c>
      <c r="Z1371" s="2">
        <f>IFERROR(VLOOKUP(K1371,'Rate Sheet'!$D:$F,3,FALSE),0)</f>
        <v>0</v>
      </c>
      <c r="AA1371" s="2">
        <f t="shared" si="21"/>
        <v>0</v>
      </c>
    </row>
    <row r="1372" spans="1:28" x14ac:dyDescent="0.25">
      <c r="A1372" t="s">
        <v>33</v>
      </c>
      <c r="B1372" t="s">
        <v>5022</v>
      </c>
      <c r="C1372" t="s">
        <v>21</v>
      </c>
      <c r="D1372" t="s">
        <v>5022</v>
      </c>
      <c r="E1372" t="s">
        <v>4304</v>
      </c>
      <c r="F1372" t="s">
        <v>330</v>
      </c>
      <c r="G1372" t="s">
        <v>24</v>
      </c>
      <c r="H1372" t="s">
        <v>5023</v>
      </c>
      <c r="I1372" t="s">
        <v>73</v>
      </c>
      <c r="N1372" t="s">
        <v>38</v>
      </c>
      <c r="S1372" t="s">
        <v>75</v>
      </c>
      <c r="V1372" t="s">
        <v>5582</v>
      </c>
      <c r="W1372" t="s">
        <v>5583</v>
      </c>
      <c r="X1372" s="2">
        <f>IFERROR(VLOOKUP(I1372,'Rate Sheet'!$D:$F,3,FALSE),0)</f>
        <v>8.6983333333333324</v>
      </c>
      <c r="Y1372" s="2">
        <f>IFERROR(VLOOKUP(J1372,'Rate Sheet'!$D:$F,3,FALSE),0)</f>
        <v>0</v>
      </c>
      <c r="Z1372" s="2">
        <f>IFERROR(VLOOKUP(K1372,'Rate Sheet'!$D:$F,3,FALSE),0)</f>
        <v>0</v>
      </c>
      <c r="AA1372" s="2">
        <f t="shared" si="21"/>
        <v>8.6983333333333324</v>
      </c>
      <c r="AB1372">
        <v>1</v>
      </c>
    </row>
    <row r="1373" spans="1:28" x14ac:dyDescent="0.25">
      <c r="A1373" t="s">
        <v>33</v>
      </c>
      <c r="B1373" t="s">
        <v>5024</v>
      </c>
      <c r="C1373" t="s">
        <v>29</v>
      </c>
      <c r="D1373" t="s">
        <v>5024</v>
      </c>
      <c r="E1373" t="s">
        <v>2281</v>
      </c>
      <c r="F1373" t="s">
        <v>854</v>
      </c>
      <c r="G1373" t="s">
        <v>24</v>
      </c>
      <c r="H1373" t="s">
        <v>5025</v>
      </c>
      <c r="I1373" t="s">
        <v>73</v>
      </c>
      <c r="N1373" t="s">
        <v>5026</v>
      </c>
      <c r="S1373" t="s">
        <v>75</v>
      </c>
      <c r="V1373" t="s">
        <v>5787</v>
      </c>
      <c r="W1373" t="s">
        <v>5026</v>
      </c>
      <c r="X1373" s="2">
        <f>IFERROR(VLOOKUP(I1373,'Rate Sheet'!$D:$F,3,FALSE),0)</f>
        <v>8.6983333333333324</v>
      </c>
      <c r="Y1373" s="2">
        <f>IFERROR(VLOOKUP(J1373,'Rate Sheet'!$D:$F,3,FALSE),0)</f>
        <v>0</v>
      </c>
      <c r="Z1373" s="2">
        <f>IFERROR(VLOOKUP(K1373,'Rate Sheet'!$D:$F,3,FALSE),0)</f>
        <v>0</v>
      </c>
      <c r="AA1373" s="2">
        <f t="shared" si="21"/>
        <v>8.6983333333333324</v>
      </c>
      <c r="AB1373">
        <v>1</v>
      </c>
    </row>
    <row r="1374" spans="1:28" x14ac:dyDescent="0.25">
      <c r="A1374" t="s">
        <v>33</v>
      </c>
      <c r="B1374" t="s">
        <v>5027</v>
      </c>
      <c r="C1374" t="s">
        <v>21</v>
      </c>
      <c r="D1374" t="s">
        <v>5027</v>
      </c>
      <c r="E1374" t="s">
        <v>5028</v>
      </c>
      <c r="F1374" t="s">
        <v>5029</v>
      </c>
      <c r="G1374" t="s">
        <v>24</v>
      </c>
      <c r="H1374" t="s">
        <v>5030</v>
      </c>
      <c r="I1374" t="s">
        <v>46</v>
      </c>
      <c r="N1374" t="s">
        <v>119</v>
      </c>
      <c r="S1374" t="s">
        <v>48</v>
      </c>
      <c r="V1374" t="s">
        <v>5598</v>
      </c>
      <c r="W1374" t="s">
        <v>119</v>
      </c>
      <c r="X1374" s="2">
        <f>IFERROR(VLOOKUP(I1374,'Rate Sheet'!$D:$F,3,FALSE),0)</f>
        <v>14.333333333333334</v>
      </c>
      <c r="Y1374" s="2">
        <f>IFERROR(VLOOKUP(J1374,'Rate Sheet'!$D:$F,3,FALSE),0)</f>
        <v>0</v>
      </c>
      <c r="Z1374" s="2">
        <f>IFERROR(VLOOKUP(K1374,'Rate Sheet'!$D:$F,3,FALSE),0)</f>
        <v>0</v>
      </c>
      <c r="AA1374" s="2">
        <f t="shared" si="21"/>
        <v>14.333333333333334</v>
      </c>
      <c r="AB1374">
        <v>1</v>
      </c>
    </row>
    <row r="1375" spans="1:28" x14ac:dyDescent="0.25">
      <c r="A1375" t="s">
        <v>33</v>
      </c>
      <c r="B1375" t="s">
        <v>5031</v>
      </c>
      <c r="C1375" t="s">
        <v>21</v>
      </c>
      <c r="D1375" t="s">
        <v>5031</v>
      </c>
      <c r="E1375" t="s">
        <v>135</v>
      </c>
      <c r="F1375" t="s">
        <v>2831</v>
      </c>
      <c r="G1375" t="s">
        <v>24</v>
      </c>
      <c r="H1375" t="s">
        <v>5032</v>
      </c>
      <c r="I1375" t="s">
        <v>46</v>
      </c>
      <c r="N1375" t="s">
        <v>74</v>
      </c>
      <c r="S1375" t="s">
        <v>48</v>
      </c>
      <c r="V1375" t="s">
        <v>5586</v>
      </c>
      <c r="W1375" t="s">
        <v>5587</v>
      </c>
      <c r="X1375" s="2">
        <f>IFERROR(VLOOKUP(I1375,'Rate Sheet'!$D:$F,3,FALSE),0)</f>
        <v>14.333333333333334</v>
      </c>
      <c r="Y1375" s="2">
        <f>IFERROR(VLOOKUP(J1375,'Rate Sheet'!$D:$F,3,FALSE),0)</f>
        <v>0</v>
      </c>
      <c r="Z1375" s="2">
        <f>IFERROR(VLOOKUP(K1375,'Rate Sheet'!$D:$F,3,FALSE),0)</f>
        <v>0</v>
      </c>
      <c r="AA1375" s="2">
        <f t="shared" si="21"/>
        <v>14.333333333333334</v>
      </c>
      <c r="AB1375">
        <v>1</v>
      </c>
    </row>
    <row r="1376" spans="1:28" x14ac:dyDescent="0.25">
      <c r="A1376" t="s">
        <v>33</v>
      </c>
      <c r="B1376" t="s">
        <v>5033</v>
      </c>
      <c r="C1376" t="s">
        <v>29</v>
      </c>
      <c r="D1376" t="s">
        <v>5033</v>
      </c>
      <c r="E1376" t="s">
        <v>757</v>
      </c>
      <c r="F1376" t="s">
        <v>5034</v>
      </c>
      <c r="G1376" t="s">
        <v>24</v>
      </c>
      <c r="H1376" t="s">
        <v>5035</v>
      </c>
      <c r="I1376" t="s">
        <v>46</v>
      </c>
      <c r="N1376" t="s">
        <v>511</v>
      </c>
      <c r="S1376" t="s">
        <v>48</v>
      </c>
      <c r="V1376" t="s">
        <v>5617</v>
      </c>
      <c r="W1376" t="s">
        <v>511</v>
      </c>
      <c r="X1376" s="2">
        <f>IFERROR(VLOOKUP(I1376,'Rate Sheet'!$D:$F,3,FALSE),0)</f>
        <v>14.333333333333334</v>
      </c>
      <c r="Y1376" s="2">
        <f>IFERROR(VLOOKUP(J1376,'Rate Sheet'!$D:$F,3,FALSE),0)</f>
        <v>0</v>
      </c>
      <c r="Z1376" s="2">
        <f>IFERROR(VLOOKUP(K1376,'Rate Sheet'!$D:$F,3,FALSE),0)</f>
        <v>0</v>
      </c>
      <c r="AA1376" s="2">
        <f t="shared" si="21"/>
        <v>14.333333333333334</v>
      </c>
      <c r="AB1376">
        <v>1</v>
      </c>
    </row>
    <row r="1377" spans="1:28" x14ac:dyDescent="0.25">
      <c r="A1377" t="s">
        <v>33</v>
      </c>
      <c r="B1377" t="s">
        <v>5036</v>
      </c>
      <c r="C1377" t="s">
        <v>29</v>
      </c>
      <c r="D1377" t="s">
        <v>5036</v>
      </c>
      <c r="E1377" t="s">
        <v>3222</v>
      </c>
      <c r="F1377" t="s">
        <v>4133</v>
      </c>
      <c r="G1377" t="s">
        <v>24</v>
      </c>
      <c r="H1377" t="s">
        <v>5037</v>
      </c>
      <c r="X1377" s="2">
        <f>IFERROR(VLOOKUP(I1377,'Rate Sheet'!$D:$F,3,FALSE),0)</f>
        <v>0</v>
      </c>
      <c r="Y1377" s="2">
        <f>IFERROR(VLOOKUP(J1377,'Rate Sheet'!$D:$F,3,FALSE),0)</f>
        <v>0</v>
      </c>
      <c r="Z1377" s="2">
        <f>IFERROR(VLOOKUP(K1377,'Rate Sheet'!$D:$F,3,FALSE),0)</f>
        <v>0</v>
      </c>
      <c r="AA1377" s="2">
        <f t="shared" si="21"/>
        <v>0</v>
      </c>
    </row>
    <row r="1378" spans="1:28" x14ac:dyDescent="0.25">
      <c r="A1378" t="s">
        <v>33</v>
      </c>
      <c r="B1378" t="s">
        <v>5038</v>
      </c>
      <c r="C1378" t="s">
        <v>21</v>
      </c>
      <c r="D1378" t="s">
        <v>5038</v>
      </c>
      <c r="E1378" t="s">
        <v>5039</v>
      </c>
      <c r="F1378" t="s">
        <v>5040</v>
      </c>
      <c r="G1378" t="s">
        <v>24</v>
      </c>
      <c r="H1378" t="s">
        <v>5041</v>
      </c>
      <c r="I1378" t="s">
        <v>46</v>
      </c>
      <c r="N1378" t="s">
        <v>3868</v>
      </c>
      <c r="S1378" t="s">
        <v>48</v>
      </c>
      <c r="V1378" t="s">
        <v>5708</v>
      </c>
      <c r="W1378" t="s">
        <v>5709</v>
      </c>
      <c r="X1378" s="2">
        <f>IFERROR(VLOOKUP(I1378,'Rate Sheet'!$D:$F,3,FALSE),0)</f>
        <v>14.333333333333334</v>
      </c>
      <c r="Y1378" s="2">
        <f>IFERROR(VLOOKUP(J1378,'Rate Sheet'!$D:$F,3,FALSE),0)</f>
        <v>0</v>
      </c>
      <c r="Z1378" s="2">
        <f>IFERROR(VLOOKUP(K1378,'Rate Sheet'!$D:$F,3,FALSE),0)</f>
        <v>0</v>
      </c>
      <c r="AA1378" s="2">
        <f t="shared" si="21"/>
        <v>14.333333333333334</v>
      </c>
      <c r="AB1378">
        <v>1</v>
      </c>
    </row>
    <row r="1379" spans="1:28" x14ac:dyDescent="0.25">
      <c r="A1379" t="s">
        <v>33</v>
      </c>
      <c r="B1379" t="s">
        <v>5042</v>
      </c>
      <c r="C1379" t="s">
        <v>21</v>
      </c>
      <c r="D1379" t="s">
        <v>5042</v>
      </c>
      <c r="E1379" t="s">
        <v>5043</v>
      </c>
      <c r="F1379" t="s">
        <v>5044</v>
      </c>
      <c r="G1379" t="s">
        <v>24</v>
      </c>
      <c r="H1379" t="s">
        <v>5045</v>
      </c>
      <c r="I1379" t="s">
        <v>46</v>
      </c>
      <c r="N1379" t="s">
        <v>292</v>
      </c>
      <c r="S1379" t="s">
        <v>48</v>
      </c>
      <c r="V1379" t="s">
        <v>5624</v>
      </c>
      <c r="W1379" t="s">
        <v>292</v>
      </c>
      <c r="X1379" s="2">
        <f>IFERROR(VLOOKUP(I1379,'Rate Sheet'!$D:$F,3,FALSE),0)</f>
        <v>14.333333333333334</v>
      </c>
      <c r="Y1379" s="2">
        <f>IFERROR(VLOOKUP(J1379,'Rate Sheet'!$D:$F,3,FALSE),0)</f>
        <v>0</v>
      </c>
      <c r="Z1379" s="2">
        <f>IFERROR(VLOOKUP(K1379,'Rate Sheet'!$D:$F,3,FALSE),0)</f>
        <v>0</v>
      </c>
      <c r="AA1379" s="2">
        <f t="shared" si="21"/>
        <v>14.333333333333334</v>
      </c>
      <c r="AB1379">
        <v>1</v>
      </c>
    </row>
    <row r="1380" spans="1:28" x14ac:dyDescent="0.25">
      <c r="A1380" t="s">
        <v>33</v>
      </c>
      <c r="B1380" t="s">
        <v>5046</v>
      </c>
      <c r="C1380" t="s">
        <v>29</v>
      </c>
      <c r="D1380" t="s">
        <v>5046</v>
      </c>
      <c r="E1380" t="s">
        <v>5047</v>
      </c>
      <c r="F1380" t="s">
        <v>5048</v>
      </c>
      <c r="G1380" t="s">
        <v>24</v>
      </c>
      <c r="H1380" t="s">
        <v>5049</v>
      </c>
      <c r="I1380" t="s">
        <v>46</v>
      </c>
      <c r="S1380" t="s">
        <v>48</v>
      </c>
      <c r="V1380" t="s">
        <v>5660</v>
      </c>
      <c r="W1380" t="s">
        <v>638</v>
      </c>
      <c r="X1380" s="2">
        <f>IFERROR(VLOOKUP(I1380,'Rate Sheet'!$D:$F,3,FALSE),0)</f>
        <v>14.333333333333334</v>
      </c>
      <c r="Y1380" s="2">
        <f>IFERROR(VLOOKUP(J1380,'Rate Sheet'!$D:$F,3,FALSE),0)</f>
        <v>0</v>
      </c>
      <c r="Z1380" s="2">
        <f>IFERROR(VLOOKUP(K1380,'Rate Sheet'!$D:$F,3,FALSE),0)</f>
        <v>0</v>
      </c>
      <c r="AA1380" s="2">
        <f t="shared" si="21"/>
        <v>14.333333333333334</v>
      </c>
      <c r="AB1380">
        <v>1</v>
      </c>
    </row>
    <row r="1381" spans="1:28" x14ac:dyDescent="0.25">
      <c r="A1381" t="s">
        <v>33</v>
      </c>
      <c r="B1381" t="s">
        <v>5050</v>
      </c>
      <c r="C1381" t="s">
        <v>29</v>
      </c>
      <c r="D1381" t="s">
        <v>5050</v>
      </c>
      <c r="E1381" t="s">
        <v>5051</v>
      </c>
      <c r="F1381" t="s">
        <v>5052</v>
      </c>
      <c r="G1381" t="s">
        <v>24</v>
      </c>
      <c r="H1381" t="s">
        <v>5053</v>
      </c>
      <c r="I1381" t="s">
        <v>73</v>
      </c>
      <c r="N1381" t="s">
        <v>511</v>
      </c>
      <c r="S1381" t="s">
        <v>75</v>
      </c>
      <c r="V1381" t="s">
        <v>5617</v>
      </c>
      <c r="W1381" t="s">
        <v>511</v>
      </c>
      <c r="X1381" s="2">
        <f>IFERROR(VLOOKUP(I1381,'Rate Sheet'!$D:$F,3,FALSE),0)</f>
        <v>8.6983333333333324</v>
      </c>
      <c r="Y1381" s="2">
        <f>IFERROR(VLOOKUP(J1381,'Rate Sheet'!$D:$F,3,FALSE),0)</f>
        <v>0</v>
      </c>
      <c r="Z1381" s="2">
        <f>IFERROR(VLOOKUP(K1381,'Rate Sheet'!$D:$F,3,FALSE),0)</f>
        <v>0</v>
      </c>
      <c r="AA1381" s="2">
        <f t="shared" si="21"/>
        <v>8.6983333333333324</v>
      </c>
      <c r="AB1381">
        <v>1</v>
      </c>
    </row>
    <row r="1382" spans="1:28" x14ac:dyDescent="0.25">
      <c r="A1382" t="s">
        <v>33</v>
      </c>
      <c r="B1382" t="s">
        <v>5054</v>
      </c>
      <c r="C1382" t="s">
        <v>29</v>
      </c>
      <c r="D1382" t="s">
        <v>5054</v>
      </c>
      <c r="E1382" t="s">
        <v>5055</v>
      </c>
      <c r="F1382" t="s">
        <v>5056</v>
      </c>
      <c r="G1382" t="s">
        <v>24</v>
      </c>
      <c r="H1382" t="s">
        <v>5057</v>
      </c>
      <c r="I1382" t="s">
        <v>46</v>
      </c>
      <c r="N1382" t="s">
        <v>511</v>
      </c>
      <c r="S1382" t="s">
        <v>48</v>
      </c>
      <c r="V1382" t="s">
        <v>5617</v>
      </c>
      <c r="W1382" t="s">
        <v>511</v>
      </c>
      <c r="X1382" s="2">
        <f>IFERROR(VLOOKUP(I1382,'Rate Sheet'!$D:$F,3,FALSE),0)</f>
        <v>14.333333333333334</v>
      </c>
      <c r="Y1382" s="2">
        <f>IFERROR(VLOOKUP(J1382,'Rate Sheet'!$D:$F,3,FALSE),0)</f>
        <v>0</v>
      </c>
      <c r="Z1382" s="2">
        <f>IFERROR(VLOOKUP(K1382,'Rate Sheet'!$D:$F,3,FALSE),0)</f>
        <v>0</v>
      </c>
      <c r="AA1382" s="2">
        <f t="shared" si="21"/>
        <v>14.333333333333334</v>
      </c>
      <c r="AB1382">
        <v>1</v>
      </c>
    </row>
    <row r="1383" spans="1:28" x14ac:dyDescent="0.25">
      <c r="A1383" t="s">
        <v>33</v>
      </c>
      <c r="B1383" t="s">
        <v>5058</v>
      </c>
      <c r="C1383" t="s">
        <v>21</v>
      </c>
      <c r="D1383" t="s">
        <v>5058</v>
      </c>
      <c r="E1383" t="s">
        <v>400</v>
      </c>
      <c r="F1383" t="s">
        <v>5059</v>
      </c>
      <c r="G1383" t="s">
        <v>24</v>
      </c>
      <c r="H1383" t="s">
        <v>5060</v>
      </c>
      <c r="I1383" t="s">
        <v>46</v>
      </c>
      <c r="N1383" t="s">
        <v>5061</v>
      </c>
      <c r="S1383" t="s">
        <v>48</v>
      </c>
      <c r="V1383" t="s">
        <v>5788</v>
      </c>
      <c r="W1383" t="s">
        <v>5061</v>
      </c>
      <c r="X1383" s="2">
        <f>IFERROR(VLOOKUP(I1383,'Rate Sheet'!$D:$F,3,FALSE),0)</f>
        <v>14.333333333333334</v>
      </c>
      <c r="Y1383" s="2">
        <f>IFERROR(VLOOKUP(J1383,'Rate Sheet'!$D:$F,3,FALSE),0)</f>
        <v>0</v>
      </c>
      <c r="Z1383" s="2">
        <f>IFERROR(VLOOKUP(K1383,'Rate Sheet'!$D:$F,3,FALSE),0)</f>
        <v>0</v>
      </c>
      <c r="AA1383" s="2">
        <f t="shared" si="21"/>
        <v>14.333333333333334</v>
      </c>
      <c r="AB1383">
        <v>1</v>
      </c>
    </row>
    <row r="1384" spans="1:28" x14ac:dyDescent="0.25">
      <c r="A1384" t="s">
        <v>33</v>
      </c>
      <c r="B1384" t="s">
        <v>5062</v>
      </c>
      <c r="C1384" t="s">
        <v>21</v>
      </c>
      <c r="D1384" t="s">
        <v>5062</v>
      </c>
      <c r="E1384" t="s">
        <v>70</v>
      </c>
      <c r="F1384" t="s">
        <v>5063</v>
      </c>
      <c r="G1384" t="s">
        <v>24</v>
      </c>
      <c r="H1384" t="s">
        <v>5064</v>
      </c>
      <c r="I1384" t="s">
        <v>96</v>
      </c>
      <c r="N1384" t="s">
        <v>148</v>
      </c>
      <c r="S1384" t="s">
        <v>98</v>
      </c>
      <c r="V1384" t="s">
        <v>5689</v>
      </c>
      <c r="W1384" t="s">
        <v>148</v>
      </c>
      <c r="X1384" s="2">
        <f>IFERROR(VLOOKUP(I1384,'Rate Sheet'!$D:$F,3,FALSE),0)</f>
        <v>82.24</v>
      </c>
      <c r="Y1384" s="2">
        <f>IFERROR(VLOOKUP(J1384,'Rate Sheet'!$D:$F,3,FALSE),0)</f>
        <v>0</v>
      </c>
      <c r="Z1384" s="2">
        <f>IFERROR(VLOOKUP(K1384,'Rate Sheet'!$D:$F,3,FALSE),0)</f>
        <v>0</v>
      </c>
      <c r="AA1384" s="2">
        <f t="shared" si="21"/>
        <v>82.24</v>
      </c>
      <c r="AB1384">
        <v>1</v>
      </c>
    </row>
    <row r="1385" spans="1:28" x14ac:dyDescent="0.25">
      <c r="A1385" t="s">
        <v>33</v>
      </c>
      <c r="B1385" t="s">
        <v>5065</v>
      </c>
      <c r="C1385" t="s">
        <v>21</v>
      </c>
      <c r="D1385" t="s">
        <v>5065</v>
      </c>
      <c r="E1385" t="s">
        <v>5066</v>
      </c>
      <c r="F1385" t="s">
        <v>1376</v>
      </c>
      <c r="G1385" t="s">
        <v>24</v>
      </c>
      <c r="H1385" t="s">
        <v>5067</v>
      </c>
      <c r="I1385" t="s">
        <v>46</v>
      </c>
      <c r="J1385" t="s">
        <v>882</v>
      </c>
      <c r="N1385" t="s">
        <v>119</v>
      </c>
      <c r="S1385" t="s">
        <v>120</v>
      </c>
      <c r="V1385" t="s">
        <v>5598</v>
      </c>
      <c r="W1385" t="s">
        <v>119</v>
      </c>
      <c r="X1385" s="2">
        <f>IFERROR(VLOOKUP(I1385,'Rate Sheet'!$D:$F,3,FALSE),0)</f>
        <v>14.333333333333334</v>
      </c>
      <c r="Y1385" s="2">
        <f>IFERROR(VLOOKUP(J1385,'Rate Sheet'!$D:$F,3,FALSE),0)</f>
        <v>35.979166666666664</v>
      </c>
      <c r="Z1385" s="2">
        <f>IFERROR(VLOOKUP(K1385,'Rate Sheet'!$D:$F,3,FALSE),0)</f>
        <v>0</v>
      </c>
      <c r="AA1385" s="2">
        <f t="shared" si="21"/>
        <v>50.3125</v>
      </c>
      <c r="AB1385">
        <v>1</v>
      </c>
    </row>
    <row r="1386" spans="1:28" x14ac:dyDescent="0.25">
      <c r="A1386" t="s">
        <v>33</v>
      </c>
      <c r="B1386" t="s">
        <v>5068</v>
      </c>
      <c r="C1386" t="s">
        <v>21</v>
      </c>
      <c r="D1386" t="s">
        <v>5068</v>
      </c>
      <c r="E1386" t="s">
        <v>60</v>
      </c>
      <c r="F1386" t="s">
        <v>5069</v>
      </c>
      <c r="G1386" t="s">
        <v>24</v>
      </c>
      <c r="H1386" t="s">
        <v>5070</v>
      </c>
      <c r="I1386" t="s">
        <v>73</v>
      </c>
      <c r="N1386" t="s">
        <v>4302</v>
      </c>
      <c r="S1386" t="s">
        <v>75</v>
      </c>
      <c r="V1386" t="s">
        <v>5742</v>
      </c>
      <c r="W1386" t="s">
        <v>5743</v>
      </c>
      <c r="X1386" s="2">
        <f>IFERROR(VLOOKUP(I1386,'Rate Sheet'!$D:$F,3,FALSE),0)</f>
        <v>8.6983333333333324</v>
      </c>
      <c r="Y1386" s="2">
        <f>IFERROR(VLOOKUP(J1386,'Rate Sheet'!$D:$F,3,FALSE),0)</f>
        <v>0</v>
      </c>
      <c r="Z1386" s="2">
        <f>IFERROR(VLOOKUP(K1386,'Rate Sheet'!$D:$F,3,FALSE),0)</f>
        <v>0</v>
      </c>
      <c r="AA1386" s="2">
        <f t="shared" si="21"/>
        <v>8.6983333333333324</v>
      </c>
      <c r="AB1386">
        <v>1</v>
      </c>
    </row>
    <row r="1387" spans="1:28" x14ac:dyDescent="0.25">
      <c r="A1387" t="s">
        <v>33</v>
      </c>
      <c r="B1387" t="s">
        <v>5075</v>
      </c>
      <c r="C1387" t="s">
        <v>29</v>
      </c>
      <c r="D1387" t="s">
        <v>5076</v>
      </c>
      <c r="E1387" t="s">
        <v>778</v>
      </c>
      <c r="F1387" t="s">
        <v>2717</v>
      </c>
      <c r="G1387" t="s">
        <v>24</v>
      </c>
      <c r="H1387" t="s">
        <v>5077</v>
      </c>
      <c r="N1387" t="s">
        <v>861</v>
      </c>
      <c r="X1387" s="2">
        <f>IFERROR(VLOOKUP(I1387,'Rate Sheet'!$D:$F,3,FALSE),0)</f>
        <v>0</v>
      </c>
      <c r="Y1387" s="2">
        <f>IFERROR(VLOOKUP(J1387,'Rate Sheet'!$D:$F,3,FALSE),0)</f>
        <v>0</v>
      </c>
      <c r="Z1387" s="2">
        <f>IFERROR(VLOOKUP(K1387,'Rate Sheet'!$D:$F,3,FALSE),0)</f>
        <v>0</v>
      </c>
      <c r="AA1387" s="2">
        <f t="shared" si="21"/>
        <v>0</v>
      </c>
    </row>
    <row r="1388" spans="1:28" x14ac:dyDescent="0.25">
      <c r="A1388" t="s">
        <v>33</v>
      </c>
      <c r="B1388" t="s">
        <v>5078</v>
      </c>
      <c r="C1388" t="s">
        <v>21</v>
      </c>
      <c r="D1388" t="s">
        <v>5078</v>
      </c>
      <c r="E1388" t="s">
        <v>209</v>
      </c>
      <c r="F1388" t="s">
        <v>5079</v>
      </c>
      <c r="G1388" t="s">
        <v>24</v>
      </c>
      <c r="H1388" t="s">
        <v>5080</v>
      </c>
      <c r="X1388" s="2">
        <f>IFERROR(VLOOKUP(I1388,'Rate Sheet'!$D:$F,3,FALSE),0)</f>
        <v>0</v>
      </c>
      <c r="Y1388" s="2">
        <f>IFERROR(VLOOKUP(J1388,'Rate Sheet'!$D:$F,3,FALSE),0)</f>
        <v>0</v>
      </c>
      <c r="Z1388" s="2">
        <f>IFERROR(VLOOKUP(K1388,'Rate Sheet'!$D:$F,3,FALSE),0)</f>
        <v>0</v>
      </c>
      <c r="AA1388" s="2">
        <f t="shared" si="21"/>
        <v>0</v>
      </c>
    </row>
    <row r="1389" spans="1:28" x14ac:dyDescent="0.25">
      <c r="A1389" t="s">
        <v>33</v>
      </c>
      <c r="B1389" t="s">
        <v>5081</v>
      </c>
      <c r="C1389" t="s">
        <v>21</v>
      </c>
      <c r="D1389" t="s">
        <v>5081</v>
      </c>
      <c r="E1389" t="s">
        <v>1706</v>
      </c>
      <c r="F1389" t="s">
        <v>5082</v>
      </c>
      <c r="G1389" t="s">
        <v>24</v>
      </c>
      <c r="H1389" t="s">
        <v>5083</v>
      </c>
      <c r="I1389" t="s">
        <v>46</v>
      </c>
      <c r="N1389" t="s">
        <v>74</v>
      </c>
      <c r="S1389" t="s">
        <v>48</v>
      </c>
      <c r="V1389" t="s">
        <v>5586</v>
      </c>
      <c r="W1389" t="s">
        <v>5587</v>
      </c>
      <c r="X1389" s="2">
        <f>IFERROR(VLOOKUP(I1389,'Rate Sheet'!$D:$F,3,FALSE),0)</f>
        <v>14.333333333333334</v>
      </c>
      <c r="Y1389" s="2">
        <f>IFERROR(VLOOKUP(J1389,'Rate Sheet'!$D:$F,3,FALSE),0)</f>
        <v>0</v>
      </c>
      <c r="Z1389" s="2">
        <f>IFERROR(VLOOKUP(K1389,'Rate Sheet'!$D:$F,3,FALSE),0)</f>
        <v>0</v>
      </c>
      <c r="AA1389" s="2">
        <f t="shared" si="21"/>
        <v>14.333333333333334</v>
      </c>
      <c r="AB1389">
        <v>1</v>
      </c>
    </row>
    <row r="1390" spans="1:28" x14ac:dyDescent="0.25">
      <c r="A1390" t="s">
        <v>33</v>
      </c>
      <c r="B1390" t="s">
        <v>5084</v>
      </c>
      <c r="C1390" t="s">
        <v>21</v>
      </c>
      <c r="D1390" t="s">
        <v>5084</v>
      </c>
      <c r="E1390" t="s">
        <v>87</v>
      </c>
      <c r="F1390" t="s">
        <v>5085</v>
      </c>
      <c r="G1390" t="s">
        <v>24</v>
      </c>
      <c r="H1390" t="s">
        <v>5086</v>
      </c>
      <c r="X1390" s="2">
        <f>IFERROR(VLOOKUP(I1390,'Rate Sheet'!$D:$F,3,FALSE),0)</f>
        <v>0</v>
      </c>
      <c r="Y1390" s="2">
        <f>IFERROR(VLOOKUP(J1390,'Rate Sheet'!$D:$F,3,FALSE),0)</f>
        <v>0</v>
      </c>
      <c r="Z1390" s="2">
        <f>IFERROR(VLOOKUP(K1390,'Rate Sheet'!$D:$F,3,FALSE),0)</f>
        <v>0</v>
      </c>
      <c r="AA1390" s="2">
        <f t="shared" si="21"/>
        <v>0</v>
      </c>
    </row>
    <row r="1391" spans="1:28" x14ac:dyDescent="0.25">
      <c r="A1391" t="s">
        <v>33</v>
      </c>
      <c r="B1391" t="s">
        <v>5087</v>
      </c>
      <c r="C1391" t="s">
        <v>92</v>
      </c>
      <c r="D1391" t="s">
        <v>5087</v>
      </c>
      <c r="E1391" t="s">
        <v>1968</v>
      </c>
      <c r="F1391" t="s">
        <v>5088</v>
      </c>
      <c r="G1391" t="s">
        <v>24</v>
      </c>
      <c r="H1391" t="s">
        <v>5089</v>
      </c>
      <c r="I1391" t="s">
        <v>46</v>
      </c>
      <c r="N1391" t="s">
        <v>4057</v>
      </c>
      <c r="S1391" t="s">
        <v>48</v>
      </c>
      <c r="V1391" t="s">
        <v>5789</v>
      </c>
      <c r="W1391" t="s">
        <v>4057</v>
      </c>
      <c r="X1391" s="2">
        <f>IFERROR(VLOOKUP(I1391,'Rate Sheet'!$D:$F,3,FALSE),0)</f>
        <v>14.333333333333334</v>
      </c>
      <c r="Y1391" s="2">
        <f>IFERROR(VLOOKUP(J1391,'Rate Sheet'!$D:$F,3,FALSE),0)</f>
        <v>0</v>
      </c>
      <c r="Z1391" s="2">
        <f>IFERROR(VLOOKUP(K1391,'Rate Sheet'!$D:$F,3,FALSE),0)</f>
        <v>0</v>
      </c>
      <c r="AA1391" s="2">
        <f t="shared" si="21"/>
        <v>14.333333333333334</v>
      </c>
      <c r="AB1391">
        <v>1</v>
      </c>
    </row>
    <row r="1392" spans="1:28" x14ac:dyDescent="0.25">
      <c r="A1392" t="s">
        <v>33</v>
      </c>
      <c r="B1392" t="s">
        <v>5090</v>
      </c>
      <c r="C1392" t="s">
        <v>29</v>
      </c>
      <c r="D1392" t="s">
        <v>5090</v>
      </c>
      <c r="E1392" t="s">
        <v>3283</v>
      </c>
      <c r="F1392" t="s">
        <v>4503</v>
      </c>
      <c r="G1392" t="s">
        <v>24</v>
      </c>
      <c r="H1392" t="s">
        <v>5091</v>
      </c>
      <c r="I1392" t="s">
        <v>46</v>
      </c>
      <c r="N1392" t="s">
        <v>397</v>
      </c>
      <c r="S1392" t="s">
        <v>48</v>
      </c>
      <c r="V1392" t="s">
        <v>5643</v>
      </c>
      <c r="W1392" t="s">
        <v>5644</v>
      </c>
      <c r="X1392" s="2">
        <f>IFERROR(VLOOKUP(I1392,'Rate Sheet'!$D:$F,3,FALSE),0)</f>
        <v>14.333333333333334</v>
      </c>
      <c r="Y1392" s="2">
        <f>IFERROR(VLOOKUP(J1392,'Rate Sheet'!$D:$F,3,FALSE),0)</f>
        <v>0</v>
      </c>
      <c r="Z1392" s="2">
        <f>IFERROR(VLOOKUP(K1392,'Rate Sheet'!$D:$F,3,FALSE),0)</f>
        <v>0</v>
      </c>
      <c r="AA1392" s="2">
        <f t="shared" ref="AA1392:AA1452" si="22">SUM(X1392:Z1392)</f>
        <v>14.333333333333334</v>
      </c>
      <c r="AB1392">
        <v>1</v>
      </c>
    </row>
    <row r="1393" spans="1:28" x14ac:dyDescent="0.25">
      <c r="A1393" t="s">
        <v>33</v>
      </c>
      <c r="B1393" t="s">
        <v>5092</v>
      </c>
      <c r="C1393" t="s">
        <v>21</v>
      </c>
      <c r="D1393" t="s">
        <v>5092</v>
      </c>
      <c r="E1393" t="s">
        <v>5093</v>
      </c>
      <c r="F1393" t="s">
        <v>5094</v>
      </c>
      <c r="G1393" t="s">
        <v>24</v>
      </c>
      <c r="H1393" t="s">
        <v>5095</v>
      </c>
      <c r="X1393" s="2">
        <f>IFERROR(VLOOKUP(I1393,'Rate Sheet'!$D:$F,3,FALSE),0)</f>
        <v>0</v>
      </c>
      <c r="Y1393" s="2">
        <f>IFERROR(VLOOKUP(J1393,'Rate Sheet'!$D:$F,3,FALSE),0)</f>
        <v>0</v>
      </c>
      <c r="Z1393" s="2">
        <f>IFERROR(VLOOKUP(K1393,'Rate Sheet'!$D:$F,3,FALSE),0)</f>
        <v>0</v>
      </c>
      <c r="AA1393" s="2">
        <f t="shared" si="22"/>
        <v>0</v>
      </c>
    </row>
    <row r="1394" spans="1:28" x14ac:dyDescent="0.25">
      <c r="A1394" t="s">
        <v>33</v>
      </c>
      <c r="B1394" t="s">
        <v>5096</v>
      </c>
      <c r="C1394" t="s">
        <v>29</v>
      </c>
      <c r="D1394" t="s">
        <v>5096</v>
      </c>
      <c r="E1394" t="s">
        <v>5097</v>
      </c>
      <c r="F1394" t="s">
        <v>5098</v>
      </c>
      <c r="G1394" t="s">
        <v>24</v>
      </c>
      <c r="H1394" t="s">
        <v>5099</v>
      </c>
      <c r="I1394" t="s">
        <v>73</v>
      </c>
      <c r="N1394" t="s">
        <v>3808</v>
      </c>
      <c r="S1394" t="s">
        <v>75</v>
      </c>
      <c r="V1394" t="s">
        <v>5756</v>
      </c>
      <c r="W1394" t="s">
        <v>3808</v>
      </c>
      <c r="X1394" s="2">
        <f>IFERROR(VLOOKUP(I1394,'Rate Sheet'!$D:$F,3,FALSE),0)</f>
        <v>8.6983333333333324</v>
      </c>
      <c r="Y1394" s="2">
        <f>IFERROR(VLOOKUP(J1394,'Rate Sheet'!$D:$F,3,FALSE),0)</f>
        <v>0</v>
      </c>
      <c r="Z1394" s="2">
        <f>IFERROR(VLOOKUP(K1394,'Rate Sheet'!$D:$F,3,FALSE),0)</f>
        <v>0</v>
      </c>
      <c r="AA1394" s="2">
        <f t="shared" si="22"/>
        <v>8.6983333333333324</v>
      </c>
      <c r="AB1394">
        <v>1</v>
      </c>
    </row>
    <row r="1395" spans="1:28" x14ac:dyDescent="0.25">
      <c r="A1395" t="s">
        <v>33</v>
      </c>
      <c r="B1395" t="s">
        <v>5100</v>
      </c>
      <c r="C1395" t="s">
        <v>21</v>
      </c>
      <c r="D1395" t="s">
        <v>5100</v>
      </c>
      <c r="E1395" t="s">
        <v>5101</v>
      </c>
      <c r="F1395" t="s">
        <v>5102</v>
      </c>
      <c r="G1395" t="s">
        <v>24</v>
      </c>
      <c r="H1395" t="s">
        <v>5103</v>
      </c>
      <c r="I1395" t="s">
        <v>46</v>
      </c>
      <c r="N1395" t="s">
        <v>1042</v>
      </c>
      <c r="S1395" t="s">
        <v>48</v>
      </c>
      <c r="V1395" t="s">
        <v>5683</v>
      </c>
      <c r="W1395" t="s">
        <v>5684</v>
      </c>
      <c r="X1395" s="2">
        <f>IFERROR(VLOOKUP(I1395,'Rate Sheet'!$D:$F,3,FALSE),0)</f>
        <v>14.333333333333334</v>
      </c>
      <c r="Y1395" s="2">
        <f>IFERROR(VLOOKUP(J1395,'Rate Sheet'!$D:$F,3,FALSE),0)</f>
        <v>0</v>
      </c>
      <c r="Z1395" s="2">
        <f>IFERROR(VLOOKUP(K1395,'Rate Sheet'!$D:$F,3,FALSE),0)</f>
        <v>0</v>
      </c>
      <c r="AA1395" s="2">
        <f t="shared" si="22"/>
        <v>14.333333333333334</v>
      </c>
      <c r="AB1395">
        <v>1</v>
      </c>
    </row>
    <row r="1396" spans="1:28" x14ac:dyDescent="0.25">
      <c r="A1396" t="s">
        <v>33</v>
      </c>
      <c r="B1396" t="s">
        <v>5104</v>
      </c>
      <c r="C1396" t="s">
        <v>29</v>
      </c>
      <c r="D1396" t="s">
        <v>5104</v>
      </c>
      <c r="E1396" t="s">
        <v>4567</v>
      </c>
      <c r="F1396" t="s">
        <v>5105</v>
      </c>
      <c r="G1396" t="s">
        <v>24</v>
      </c>
      <c r="H1396" t="s">
        <v>5106</v>
      </c>
      <c r="X1396" s="2">
        <f>IFERROR(VLOOKUP(I1396,'Rate Sheet'!$D:$F,3,FALSE),0)</f>
        <v>0</v>
      </c>
      <c r="Y1396" s="2">
        <f>IFERROR(VLOOKUP(J1396,'Rate Sheet'!$D:$F,3,FALSE),0)</f>
        <v>0</v>
      </c>
      <c r="Z1396" s="2">
        <f>IFERROR(VLOOKUP(K1396,'Rate Sheet'!$D:$F,3,FALSE),0)</f>
        <v>0</v>
      </c>
      <c r="AA1396" s="2">
        <f t="shared" si="22"/>
        <v>0</v>
      </c>
    </row>
    <row r="1397" spans="1:28" x14ac:dyDescent="0.25">
      <c r="A1397" t="s">
        <v>33</v>
      </c>
      <c r="B1397" t="s">
        <v>5107</v>
      </c>
      <c r="C1397" t="s">
        <v>21</v>
      </c>
      <c r="D1397" t="s">
        <v>5107</v>
      </c>
      <c r="E1397" t="s">
        <v>710</v>
      </c>
      <c r="F1397" t="s">
        <v>5108</v>
      </c>
      <c r="G1397" t="s">
        <v>24</v>
      </c>
      <c r="H1397" t="s">
        <v>5109</v>
      </c>
      <c r="I1397" t="s">
        <v>46</v>
      </c>
      <c r="N1397" t="s">
        <v>3868</v>
      </c>
      <c r="S1397" t="s">
        <v>48</v>
      </c>
      <c r="V1397" t="s">
        <v>5708</v>
      </c>
      <c r="W1397" t="s">
        <v>5709</v>
      </c>
      <c r="X1397" s="2">
        <f>IFERROR(VLOOKUP(I1397,'Rate Sheet'!$D:$F,3,FALSE),0)</f>
        <v>14.333333333333334</v>
      </c>
      <c r="Y1397" s="2">
        <f>IFERROR(VLOOKUP(J1397,'Rate Sheet'!$D:$F,3,FALSE),0)</f>
        <v>0</v>
      </c>
      <c r="Z1397" s="2">
        <f>IFERROR(VLOOKUP(K1397,'Rate Sheet'!$D:$F,3,FALSE),0)</f>
        <v>0</v>
      </c>
      <c r="AA1397" s="2">
        <f t="shared" si="22"/>
        <v>14.333333333333334</v>
      </c>
      <c r="AB1397">
        <v>1</v>
      </c>
    </row>
    <row r="1398" spans="1:28" x14ac:dyDescent="0.25">
      <c r="A1398" t="s">
        <v>33</v>
      </c>
      <c r="B1398" t="s">
        <v>5110</v>
      </c>
      <c r="C1398" t="s">
        <v>21</v>
      </c>
      <c r="D1398" t="s">
        <v>5110</v>
      </c>
      <c r="E1398" t="s">
        <v>5111</v>
      </c>
      <c r="F1398" t="s">
        <v>5112</v>
      </c>
      <c r="G1398" t="s">
        <v>24</v>
      </c>
      <c r="H1398" t="s">
        <v>5113</v>
      </c>
      <c r="I1398" t="s">
        <v>46</v>
      </c>
      <c r="N1398" t="s">
        <v>185</v>
      </c>
      <c r="S1398" t="s">
        <v>48</v>
      </c>
      <c r="V1398" t="s">
        <v>5610</v>
      </c>
      <c r="W1398" t="s">
        <v>5611</v>
      </c>
      <c r="X1398" s="2">
        <f>IFERROR(VLOOKUP(I1398,'Rate Sheet'!$D:$F,3,FALSE),0)</f>
        <v>14.333333333333334</v>
      </c>
      <c r="Y1398" s="2">
        <f>IFERROR(VLOOKUP(J1398,'Rate Sheet'!$D:$F,3,FALSE),0)</f>
        <v>0</v>
      </c>
      <c r="Z1398" s="2">
        <f>IFERROR(VLOOKUP(K1398,'Rate Sheet'!$D:$F,3,FALSE),0)</f>
        <v>0</v>
      </c>
      <c r="AA1398" s="2">
        <f t="shared" si="22"/>
        <v>14.333333333333334</v>
      </c>
      <c r="AB1398">
        <v>1</v>
      </c>
    </row>
    <row r="1399" spans="1:28" x14ac:dyDescent="0.25">
      <c r="A1399" t="s">
        <v>33</v>
      </c>
      <c r="B1399" t="s">
        <v>5114</v>
      </c>
      <c r="C1399" t="s">
        <v>29</v>
      </c>
      <c r="D1399" t="s">
        <v>5114</v>
      </c>
      <c r="E1399" t="s">
        <v>4527</v>
      </c>
      <c r="F1399" t="s">
        <v>5115</v>
      </c>
      <c r="G1399" t="s">
        <v>24</v>
      </c>
      <c r="H1399" t="s">
        <v>5116</v>
      </c>
      <c r="I1399" t="s">
        <v>73</v>
      </c>
      <c r="N1399" t="s">
        <v>246</v>
      </c>
      <c r="S1399" t="s">
        <v>75</v>
      </c>
      <c r="V1399" s="10" t="s">
        <v>5661</v>
      </c>
      <c r="W1399" s="10" t="s">
        <v>246</v>
      </c>
      <c r="X1399" s="2">
        <f>IFERROR(VLOOKUP(I1399,'Rate Sheet'!$D:$F,3,FALSE),0)</f>
        <v>8.6983333333333324</v>
      </c>
      <c r="Y1399" s="2">
        <f>IFERROR(VLOOKUP(J1399,'Rate Sheet'!$D:$F,3,FALSE),0)</f>
        <v>0</v>
      </c>
      <c r="Z1399" s="2">
        <f>IFERROR(VLOOKUP(K1399,'Rate Sheet'!$D:$F,3,FALSE),0)</f>
        <v>0</v>
      </c>
      <c r="AA1399" s="2">
        <f t="shared" si="22"/>
        <v>8.6983333333333324</v>
      </c>
      <c r="AB1399">
        <v>1</v>
      </c>
    </row>
    <row r="1400" spans="1:28" x14ac:dyDescent="0.25">
      <c r="A1400" t="s">
        <v>33</v>
      </c>
      <c r="B1400" t="s">
        <v>5117</v>
      </c>
      <c r="C1400" t="s">
        <v>21</v>
      </c>
      <c r="D1400" t="s">
        <v>5117</v>
      </c>
      <c r="E1400" t="s">
        <v>1484</v>
      </c>
      <c r="F1400" t="s">
        <v>5118</v>
      </c>
      <c r="G1400" t="s">
        <v>24</v>
      </c>
      <c r="H1400" t="s">
        <v>5119</v>
      </c>
      <c r="I1400" t="s">
        <v>46</v>
      </c>
      <c r="N1400" t="s">
        <v>3868</v>
      </c>
      <c r="S1400" t="s">
        <v>48</v>
      </c>
      <c r="V1400" t="s">
        <v>5708</v>
      </c>
      <c r="W1400" t="s">
        <v>5709</v>
      </c>
      <c r="X1400" s="2">
        <f>IFERROR(VLOOKUP(I1400,'Rate Sheet'!$D:$F,3,FALSE),0)</f>
        <v>14.333333333333334</v>
      </c>
      <c r="Y1400" s="2">
        <f>IFERROR(VLOOKUP(J1400,'Rate Sheet'!$D:$F,3,FALSE),0)</f>
        <v>0</v>
      </c>
      <c r="Z1400" s="2">
        <f>IFERROR(VLOOKUP(K1400,'Rate Sheet'!$D:$F,3,FALSE),0)</f>
        <v>0</v>
      </c>
      <c r="AA1400" s="2">
        <f t="shared" si="22"/>
        <v>14.333333333333334</v>
      </c>
      <c r="AB1400">
        <v>1</v>
      </c>
    </row>
    <row r="1401" spans="1:28" x14ac:dyDescent="0.25">
      <c r="A1401" t="s">
        <v>33</v>
      </c>
      <c r="B1401" t="s">
        <v>5120</v>
      </c>
      <c r="C1401" t="s">
        <v>29</v>
      </c>
      <c r="D1401" t="s">
        <v>5120</v>
      </c>
      <c r="E1401" t="s">
        <v>5121</v>
      </c>
      <c r="F1401" t="s">
        <v>5122</v>
      </c>
      <c r="G1401" t="s">
        <v>24</v>
      </c>
      <c r="H1401" t="s">
        <v>5123</v>
      </c>
      <c r="I1401" t="s">
        <v>46</v>
      </c>
      <c r="N1401" t="s">
        <v>2312</v>
      </c>
      <c r="S1401" t="s">
        <v>48</v>
      </c>
      <c r="V1401" t="s">
        <v>5727</v>
      </c>
      <c r="W1401" t="s">
        <v>2312</v>
      </c>
      <c r="X1401" s="2">
        <f>IFERROR(VLOOKUP(I1401,'Rate Sheet'!$D:$F,3,FALSE),0)</f>
        <v>14.333333333333334</v>
      </c>
      <c r="Y1401" s="2">
        <f>IFERROR(VLOOKUP(J1401,'Rate Sheet'!$D:$F,3,FALSE),0)</f>
        <v>0</v>
      </c>
      <c r="Z1401" s="2">
        <f>IFERROR(VLOOKUP(K1401,'Rate Sheet'!$D:$F,3,FALSE),0)</f>
        <v>0</v>
      </c>
      <c r="AA1401" s="2">
        <f t="shared" si="22"/>
        <v>14.333333333333334</v>
      </c>
      <c r="AB1401">
        <v>1</v>
      </c>
    </row>
    <row r="1402" spans="1:28" x14ac:dyDescent="0.25">
      <c r="A1402" t="s">
        <v>33</v>
      </c>
      <c r="B1402" t="s">
        <v>5124</v>
      </c>
      <c r="C1402" t="s">
        <v>29</v>
      </c>
      <c r="D1402" t="s">
        <v>5124</v>
      </c>
      <c r="E1402" t="s">
        <v>5125</v>
      </c>
      <c r="F1402" t="s">
        <v>5126</v>
      </c>
      <c r="G1402" t="s">
        <v>24</v>
      </c>
      <c r="H1402" t="s">
        <v>5127</v>
      </c>
      <c r="X1402" s="2">
        <f>IFERROR(VLOOKUP(I1402,'Rate Sheet'!$D:$F,3,FALSE),0)</f>
        <v>0</v>
      </c>
      <c r="Y1402" s="2">
        <f>IFERROR(VLOOKUP(J1402,'Rate Sheet'!$D:$F,3,FALSE),0)</f>
        <v>0</v>
      </c>
      <c r="Z1402" s="2">
        <f>IFERROR(VLOOKUP(K1402,'Rate Sheet'!$D:$F,3,FALSE),0)</f>
        <v>0</v>
      </c>
      <c r="AA1402" s="2">
        <f t="shared" si="22"/>
        <v>0</v>
      </c>
    </row>
    <row r="1403" spans="1:28" x14ac:dyDescent="0.25">
      <c r="A1403" t="s">
        <v>33</v>
      </c>
      <c r="B1403" t="s">
        <v>5128</v>
      </c>
      <c r="C1403" t="s">
        <v>21</v>
      </c>
      <c r="D1403" t="s">
        <v>5128</v>
      </c>
      <c r="E1403" t="s">
        <v>5129</v>
      </c>
      <c r="F1403" t="s">
        <v>432</v>
      </c>
      <c r="G1403" t="s">
        <v>24</v>
      </c>
      <c r="H1403" t="s">
        <v>5130</v>
      </c>
      <c r="I1403" t="s">
        <v>46</v>
      </c>
      <c r="N1403" t="s">
        <v>38</v>
      </c>
      <c r="S1403" t="s">
        <v>48</v>
      </c>
      <c r="V1403" t="s">
        <v>5582</v>
      </c>
      <c r="W1403" t="s">
        <v>5583</v>
      </c>
      <c r="X1403" s="2">
        <f>IFERROR(VLOOKUP(I1403,'Rate Sheet'!$D:$F,3,FALSE),0)</f>
        <v>14.333333333333334</v>
      </c>
      <c r="Y1403" s="2">
        <f>IFERROR(VLOOKUP(J1403,'Rate Sheet'!$D:$F,3,FALSE),0)</f>
        <v>0</v>
      </c>
      <c r="Z1403" s="2">
        <f>IFERROR(VLOOKUP(K1403,'Rate Sheet'!$D:$F,3,FALSE),0)</f>
        <v>0</v>
      </c>
      <c r="AA1403" s="2">
        <f t="shared" si="22"/>
        <v>14.333333333333334</v>
      </c>
      <c r="AB1403">
        <v>1</v>
      </c>
    </row>
    <row r="1404" spans="1:28" x14ac:dyDescent="0.25">
      <c r="A1404" t="s">
        <v>33</v>
      </c>
      <c r="B1404" t="s">
        <v>5131</v>
      </c>
      <c r="C1404" t="s">
        <v>21</v>
      </c>
      <c r="D1404" t="s">
        <v>5131</v>
      </c>
      <c r="E1404" t="s">
        <v>5132</v>
      </c>
      <c r="F1404" t="s">
        <v>5133</v>
      </c>
      <c r="G1404" t="s">
        <v>24</v>
      </c>
      <c r="H1404" t="s">
        <v>5134</v>
      </c>
      <c r="I1404" t="s">
        <v>46</v>
      </c>
      <c r="N1404" t="s">
        <v>878</v>
      </c>
      <c r="S1404" t="s">
        <v>48</v>
      </c>
      <c r="V1404" t="s">
        <v>5749</v>
      </c>
      <c r="W1404" t="s">
        <v>5750</v>
      </c>
      <c r="X1404" s="2">
        <f>IFERROR(VLOOKUP(I1404,'Rate Sheet'!$D:$F,3,FALSE),0)</f>
        <v>14.333333333333334</v>
      </c>
      <c r="Y1404" s="2">
        <f>IFERROR(VLOOKUP(J1404,'Rate Sheet'!$D:$F,3,FALSE),0)</f>
        <v>0</v>
      </c>
      <c r="Z1404" s="2">
        <f>IFERROR(VLOOKUP(K1404,'Rate Sheet'!$D:$F,3,FALSE),0)</f>
        <v>0</v>
      </c>
      <c r="AA1404" s="2">
        <f t="shared" si="22"/>
        <v>14.333333333333334</v>
      </c>
      <c r="AB1404">
        <v>1</v>
      </c>
    </row>
    <row r="1405" spans="1:28" x14ac:dyDescent="0.25">
      <c r="A1405" t="s">
        <v>33</v>
      </c>
      <c r="B1405" t="s">
        <v>5135</v>
      </c>
      <c r="C1405" t="s">
        <v>21</v>
      </c>
      <c r="D1405" t="s">
        <v>5135</v>
      </c>
      <c r="E1405" t="s">
        <v>372</v>
      </c>
      <c r="F1405" t="s">
        <v>912</v>
      </c>
      <c r="G1405" t="s">
        <v>24</v>
      </c>
      <c r="H1405" t="s">
        <v>5136</v>
      </c>
      <c r="X1405" s="2">
        <f>IFERROR(VLOOKUP(I1405,'Rate Sheet'!$D:$F,3,FALSE),0)</f>
        <v>0</v>
      </c>
      <c r="Y1405" s="2">
        <f>IFERROR(VLOOKUP(J1405,'Rate Sheet'!$D:$F,3,FALSE),0)</f>
        <v>0</v>
      </c>
      <c r="Z1405" s="2">
        <f>IFERROR(VLOOKUP(K1405,'Rate Sheet'!$D:$F,3,FALSE),0)</f>
        <v>0</v>
      </c>
      <c r="AA1405" s="2">
        <f t="shared" si="22"/>
        <v>0</v>
      </c>
    </row>
    <row r="1406" spans="1:28" x14ac:dyDescent="0.25">
      <c r="A1406" t="s">
        <v>33</v>
      </c>
      <c r="B1406" t="s">
        <v>5137</v>
      </c>
      <c r="C1406" t="s">
        <v>21</v>
      </c>
      <c r="D1406" t="s">
        <v>5137</v>
      </c>
      <c r="E1406" t="s">
        <v>5138</v>
      </c>
      <c r="F1406" t="s">
        <v>5139</v>
      </c>
      <c r="G1406" t="s">
        <v>24</v>
      </c>
      <c r="H1406" t="s">
        <v>5140</v>
      </c>
      <c r="I1406" t="s">
        <v>46</v>
      </c>
      <c r="N1406" t="s">
        <v>273</v>
      </c>
      <c r="S1406" t="s">
        <v>48</v>
      </c>
      <c r="V1406" t="s">
        <v>5621</v>
      </c>
      <c r="W1406" t="s">
        <v>5622</v>
      </c>
      <c r="X1406" s="2">
        <f>IFERROR(VLOOKUP(I1406,'Rate Sheet'!$D:$F,3,FALSE),0)</f>
        <v>14.333333333333334</v>
      </c>
      <c r="Y1406" s="2">
        <f>IFERROR(VLOOKUP(J1406,'Rate Sheet'!$D:$F,3,FALSE),0)</f>
        <v>0</v>
      </c>
      <c r="Z1406" s="2">
        <f>IFERROR(VLOOKUP(K1406,'Rate Sheet'!$D:$F,3,FALSE),0)</f>
        <v>0</v>
      </c>
      <c r="AA1406" s="2">
        <f t="shared" si="22"/>
        <v>14.333333333333334</v>
      </c>
      <c r="AB1406">
        <v>1</v>
      </c>
    </row>
    <row r="1407" spans="1:28" x14ac:dyDescent="0.25">
      <c r="A1407" t="s">
        <v>33</v>
      </c>
      <c r="B1407" t="s">
        <v>5141</v>
      </c>
      <c r="C1407" t="s">
        <v>21</v>
      </c>
      <c r="D1407" t="s">
        <v>5141</v>
      </c>
      <c r="E1407" t="s">
        <v>5142</v>
      </c>
      <c r="F1407" t="s">
        <v>368</v>
      </c>
      <c r="G1407" t="s">
        <v>24</v>
      </c>
      <c r="H1407" t="s">
        <v>5143</v>
      </c>
      <c r="I1407" t="s">
        <v>46</v>
      </c>
      <c r="N1407" t="s">
        <v>3868</v>
      </c>
      <c r="S1407" t="s">
        <v>48</v>
      </c>
      <c r="V1407" t="s">
        <v>5708</v>
      </c>
      <c r="W1407" t="s">
        <v>5709</v>
      </c>
      <c r="X1407" s="2">
        <f>IFERROR(VLOOKUP(I1407,'Rate Sheet'!$D:$F,3,FALSE),0)</f>
        <v>14.333333333333334</v>
      </c>
      <c r="Y1407" s="2">
        <f>IFERROR(VLOOKUP(J1407,'Rate Sheet'!$D:$F,3,FALSE),0)</f>
        <v>0</v>
      </c>
      <c r="Z1407" s="2">
        <f>IFERROR(VLOOKUP(K1407,'Rate Sheet'!$D:$F,3,FALSE),0)</f>
        <v>0</v>
      </c>
      <c r="AA1407" s="2">
        <f t="shared" si="22"/>
        <v>14.333333333333334</v>
      </c>
      <c r="AB1407">
        <v>1</v>
      </c>
    </row>
    <row r="1408" spans="1:28" x14ac:dyDescent="0.25">
      <c r="A1408" t="s">
        <v>33</v>
      </c>
      <c r="B1408" t="s">
        <v>5144</v>
      </c>
      <c r="C1408" t="s">
        <v>92</v>
      </c>
      <c r="D1408" t="s">
        <v>5144</v>
      </c>
      <c r="E1408" t="s">
        <v>598</v>
      </c>
      <c r="F1408" t="s">
        <v>5145</v>
      </c>
      <c r="G1408" t="s">
        <v>24</v>
      </c>
      <c r="H1408" t="s">
        <v>5146</v>
      </c>
      <c r="X1408" s="2">
        <f>IFERROR(VLOOKUP(I1408,'Rate Sheet'!$D:$F,3,FALSE),0)</f>
        <v>0</v>
      </c>
      <c r="Y1408" s="2">
        <f>IFERROR(VLOOKUP(J1408,'Rate Sheet'!$D:$F,3,FALSE),0)</f>
        <v>0</v>
      </c>
      <c r="Z1408" s="2">
        <f>IFERROR(VLOOKUP(K1408,'Rate Sheet'!$D:$F,3,FALSE),0)</f>
        <v>0</v>
      </c>
      <c r="AA1408" s="2">
        <f t="shared" si="22"/>
        <v>0</v>
      </c>
    </row>
    <row r="1409" spans="1:28" x14ac:dyDescent="0.25">
      <c r="A1409" t="s">
        <v>33</v>
      </c>
      <c r="B1409" t="s">
        <v>5147</v>
      </c>
      <c r="C1409" t="s">
        <v>29</v>
      </c>
      <c r="D1409" t="s">
        <v>5147</v>
      </c>
      <c r="E1409" t="s">
        <v>126</v>
      </c>
      <c r="F1409" t="s">
        <v>5148</v>
      </c>
      <c r="G1409" t="s">
        <v>24</v>
      </c>
      <c r="H1409" t="s">
        <v>5149</v>
      </c>
      <c r="X1409" s="2">
        <f>IFERROR(VLOOKUP(I1409,'Rate Sheet'!$D:$F,3,FALSE),0)</f>
        <v>0</v>
      </c>
      <c r="Y1409" s="2">
        <f>IFERROR(VLOOKUP(J1409,'Rate Sheet'!$D:$F,3,FALSE),0)</f>
        <v>0</v>
      </c>
      <c r="Z1409" s="2">
        <f>IFERROR(VLOOKUP(K1409,'Rate Sheet'!$D:$F,3,FALSE),0)</f>
        <v>0</v>
      </c>
      <c r="AA1409" s="2">
        <f t="shared" si="22"/>
        <v>0</v>
      </c>
    </row>
    <row r="1410" spans="1:28" x14ac:dyDescent="0.25">
      <c r="A1410" t="s">
        <v>33</v>
      </c>
      <c r="B1410" t="s">
        <v>5150</v>
      </c>
      <c r="C1410" t="s">
        <v>21</v>
      </c>
      <c r="D1410" t="s">
        <v>5150</v>
      </c>
      <c r="E1410" t="s">
        <v>5151</v>
      </c>
      <c r="F1410" t="s">
        <v>710</v>
      </c>
      <c r="G1410" t="s">
        <v>24</v>
      </c>
      <c r="H1410" t="s">
        <v>5152</v>
      </c>
      <c r="I1410" t="s">
        <v>46</v>
      </c>
      <c r="N1410" t="s">
        <v>2083</v>
      </c>
      <c r="S1410" t="s">
        <v>48</v>
      </c>
      <c r="V1410" t="s">
        <v>5721</v>
      </c>
      <c r="W1410" t="s">
        <v>5722</v>
      </c>
      <c r="X1410" s="2">
        <f>IFERROR(VLOOKUP(I1410,'Rate Sheet'!$D:$F,3,FALSE),0)</f>
        <v>14.333333333333334</v>
      </c>
      <c r="Y1410" s="2">
        <f>IFERROR(VLOOKUP(J1410,'Rate Sheet'!$D:$F,3,FALSE),0)</f>
        <v>0</v>
      </c>
      <c r="Z1410" s="2">
        <f>IFERROR(VLOOKUP(K1410,'Rate Sheet'!$D:$F,3,FALSE),0)</f>
        <v>0</v>
      </c>
      <c r="AA1410" s="2">
        <f t="shared" si="22"/>
        <v>14.333333333333334</v>
      </c>
      <c r="AB1410">
        <v>1</v>
      </c>
    </row>
    <row r="1411" spans="1:28" x14ac:dyDescent="0.25">
      <c r="A1411" t="s">
        <v>33</v>
      </c>
      <c r="B1411" t="s">
        <v>5155</v>
      </c>
      <c r="C1411" t="s">
        <v>29</v>
      </c>
      <c r="D1411" t="s">
        <v>5155</v>
      </c>
      <c r="E1411" t="s">
        <v>4427</v>
      </c>
      <c r="F1411" t="s">
        <v>4428</v>
      </c>
      <c r="G1411" t="s">
        <v>24</v>
      </c>
      <c r="H1411" t="s">
        <v>5156</v>
      </c>
      <c r="I1411" t="s">
        <v>73</v>
      </c>
      <c r="N1411" t="s">
        <v>3808</v>
      </c>
      <c r="S1411" t="s">
        <v>75</v>
      </c>
      <c r="V1411" t="s">
        <v>5756</v>
      </c>
      <c r="W1411" t="s">
        <v>3808</v>
      </c>
      <c r="X1411" s="2">
        <f>IFERROR(VLOOKUP(I1411,'Rate Sheet'!$D:$F,3,FALSE),0)</f>
        <v>8.6983333333333324</v>
      </c>
      <c r="Y1411" s="2">
        <f>IFERROR(VLOOKUP(J1411,'Rate Sheet'!$D:$F,3,FALSE),0)</f>
        <v>0</v>
      </c>
      <c r="Z1411" s="2">
        <f>IFERROR(VLOOKUP(K1411,'Rate Sheet'!$D:$F,3,FALSE),0)</f>
        <v>0</v>
      </c>
      <c r="AA1411" s="2">
        <f t="shared" si="22"/>
        <v>8.6983333333333324</v>
      </c>
      <c r="AB1411">
        <v>1</v>
      </c>
    </row>
    <row r="1412" spans="1:28" x14ac:dyDescent="0.25">
      <c r="A1412" t="s">
        <v>33</v>
      </c>
      <c r="B1412" t="s">
        <v>5157</v>
      </c>
      <c r="C1412" t="s">
        <v>29</v>
      </c>
      <c r="D1412" t="s">
        <v>5157</v>
      </c>
      <c r="E1412" t="s">
        <v>367</v>
      </c>
      <c r="F1412" t="s">
        <v>5158</v>
      </c>
      <c r="G1412" t="s">
        <v>24</v>
      </c>
      <c r="H1412" t="s">
        <v>5159</v>
      </c>
      <c r="I1412" t="s">
        <v>73</v>
      </c>
      <c r="N1412" t="s">
        <v>4159</v>
      </c>
      <c r="S1412" t="s">
        <v>75</v>
      </c>
      <c r="V1412" t="s">
        <v>5766</v>
      </c>
      <c r="W1412" t="s">
        <v>4159</v>
      </c>
      <c r="X1412" s="2">
        <f>IFERROR(VLOOKUP(I1412,'Rate Sheet'!$D:$F,3,FALSE),0)</f>
        <v>8.6983333333333324</v>
      </c>
      <c r="Y1412" s="2">
        <f>IFERROR(VLOOKUP(J1412,'Rate Sheet'!$D:$F,3,FALSE),0)</f>
        <v>0</v>
      </c>
      <c r="Z1412" s="2">
        <f>IFERROR(VLOOKUP(K1412,'Rate Sheet'!$D:$F,3,FALSE),0)</f>
        <v>0</v>
      </c>
      <c r="AA1412" s="2">
        <f t="shared" si="22"/>
        <v>8.6983333333333324</v>
      </c>
      <c r="AB1412">
        <v>1</v>
      </c>
    </row>
    <row r="1413" spans="1:28" x14ac:dyDescent="0.25">
      <c r="A1413" t="s">
        <v>33</v>
      </c>
      <c r="B1413" t="s">
        <v>5160</v>
      </c>
      <c r="C1413" t="s">
        <v>21</v>
      </c>
      <c r="D1413" t="s">
        <v>5160</v>
      </c>
      <c r="E1413" t="s">
        <v>200</v>
      </c>
      <c r="F1413" t="s">
        <v>5161</v>
      </c>
      <c r="G1413" t="s">
        <v>24</v>
      </c>
      <c r="H1413" t="s">
        <v>5162</v>
      </c>
      <c r="I1413" t="s">
        <v>46</v>
      </c>
      <c r="N1413" t="s">
        <v>389</v>
      </c>
      <c r="S1413" t="s">
        <v>48</v>
      </c>
      <c r="V1413" t="s">
        <v>5640</v>
      </c>
      <c r="W1413" t="s">
        <v>5641</v>
      </c>
      <c r="X1413" s="2">
        <f>IFERROR(VLOOKUP(I1413,'Rate Sheet'!$D:$F,3,FALSE),0)</f>
        <v>14.333333333333334</v>
      </c>
      <c r="Y1413" s="2">
        <f>IFERROR(VLOOKUP(J1413,'Rate Sheet'!$D:$F,3,FALSE),0)</f>
        <v>0</v>
      </c>
      <c r="Z1413" s="2">
        <f>IFERROR(VLOOKUP(K1413,'Rate Sheet'!$D:$F,3,FALSE),0)</f>
        <v>0</v>
      </c>
      <c r="AA1413" s="2">
        <f t="shared" si="22"/>
        <v>14.333333333333334</v>
      </c>
      <c r="AB1413">
        <v>1</v>
      </c>
    </row>
    <row r="1414" spans="1:28" x14ac:dyDescent="0.25">
      <c r="A1414" t="s">
        <v>33</v>
      </c>
      <c r="B1414" t="s">
        <v>5163</v>
      </c>
      <c r="C1414" t="s">
        <v>21</v>
      </c>
      <c r="D1414" t="s">
        <v>5163</v>
      </c>
      <c r="E1414" t="s">
        <v>5164</v>
      </c>
      <c r="F1414" t="s">
        <v>5165</v>
      </c>
      <c r="G1414" t="s">
        <v>24</v>
      </c>
      <c r="H1414" t="s">
        <v>5166</v>
      </c>
      <c r="I1414" t="s">
        <v>46</v>
      </c>
      <c r="N1414" t="s">
        <v>3868</v>
      </c>
      <c r="S1414" t="s">
        <v>48</v>
      </c>
      <c r="V1414" t="s">
        <v>5708</v>
      </c>
      <c r="W1414" t="s">
        <v>5709</v>
      </c>
      <c r="X1414" s="2">
        <f>IFERROR(VLOOKUP(I1414,'Rate Sheet'!$D:$F,3,FALSE),0)</f>
        <v>14.333333333333334</v>
      </c>
      <c r="Y1414" s="2">
        <f>IFERROR(VLOOKUP(J1414,'Rate Sheet'!$D:$F,3,FALSE),0)</f>
        <v>0</v>
      </c>
      <c r="Z1414" s="2">
        <f>IFERROR(VLOOKUP(K1414,'Rate Sheet'!$D:$F,3,FALSE),0)</f>
        <v>0</v>
      </c>
      <c r="AA1414" s="2">
        <f t="shared" si="22"/>
        <v>14.333333333333334</v>
      </c>
      <c r="AB1414">
        <v>1</v>
      </c>
    </row>
    <row r="1415" spans="1:28" x14ac:dyDescent="0.25">
      <c r="A1415" t="s">
        <v>33</v>
      </c>
      <c r="B1415" t="s">
        <v>5167</v>
      </c>
      <c r="C1415" t="s">
        <v>21</v>
      </c>
      <c r="D1415" t="s">
        <v>5167</v>
      </c>
      <c r="E1415" t="s">
        <v>2281</v>
      </c>
      <c r="F1415" t="s">
        <v>5168</v>
      </c>
      <c r="G1415" t="s">
        <v>24</v>
      </c>
      <c r="H1415" t="s">
        <v>5169</v>
      </c>
      <c r="X1415" s="2">
        <f>IFERROR(VLOOKUP(I1415,'Rate Sheet'!$D:$F,3,FALSE),0)</f>
        <v>0</v>
      </c>
      <c r="Y1415" s="2">
        <f>IFERROR(VLOOKUP(J1415,'Rate Sheet'!$D:$F,3,FALSE),0)</f>
        <v>0</v>
      </c>
      <c r="Z1415" s="2">
        <f>IFERROR(VLOOKUP(K1415,'Rate Sheet'!$D:$F,3,FALSE),0)</f>
        <v>0</v>
      </c>
      <c r="AA1415" s="2">
        <f t="shared" si="22"/>
        <v>0</v>
      </c>
    </row>
    <row r="1416" spans="1:28" x14ac:dyDescent="0.25">
      <c r="A1416" t="s">
        <v>33</v>
      </c>
      <c r="B1416" t="s">
        <v>5170</v>
      </c>
      <c r="C1416" t="s">
        <v>21</v>
      </c>
      <c r="D1416" t="s">
        <v>5170</v>
      </c>
      <c r="E1416" t="s">
        <v>519</v>
      </c>
      <c r="F1416" t="s">
        <v>580</v>
      </c>
      <c r="G1416" t="s">
        <v>24</v>
      </c>
      <c r="H1416" t="s">
        <v>5171</v>
      </c>
      <c r="I1416" t="s">
        <v>46</v>
      </c>
      <c r="N1416" t="s">
        <v>38</v>
      </c>
      <c r="S1416" t="s">
        <v>48</v>
      </c>
      <c r="V1416" t="s">
        <v>5582</v>
      </c>
      <c r="W1416" t="s">
        <v>5583</v>
      </c>
      <c r="X1416" s="2">
        <f>IFERROR(VLOOKUP(I1416,'Rate Sheet'!$D:$F,3,FALSE),0)</f>
        <v>14.333333333333334</v>
      </c>
      <c r="Y1416" s="2">
        <f>IFERROR(VLOOKUP(J1416,'Rate Sheet'!$D:$F,3,FALSE),0)</f>
        <v>0</v>
      </c>
      <c r="Z1416" s="2">
        <f>IFERROR(VLOOKUP(K1416,'Rate Sheet'!$D:$F,3,FALSE),0)</f>
        <v>0</v>
      </c>
      <c r="AA1416" s="2">
        <f t="shared" si="22"/>
        <v>14.333333333333334</v>
      </c>
      <c r="AB1416">
        <v>1</v>
      </c>
    </row>
    <row r="1417" spans="1:28" x14ac:dyDescent="0.25">
      <c r="A1417" t="s">
        <v>33</v>
      </c>
      <c r="B1417" t="s">
        <v>5172</v>
      </c>
      <c r="C1417" t="s">
        <v>21</v>
      </c>
      <c r="D1417" t="s">
        <v>5173</v>
      </c>
      <c r="E1417" t="s">
        <v>284</v>
      </c>
      <c r="F1417" t="s">
        <v>5174</v>
      </c>
      <c r="G1417" t="s">
        <v>24</v>
      </c>
      <c r="H1417" t="s">
        <v>5175</v>
      </c>
      <c r="I1417" t="s">
        <v>46</v>
      </c>
      <c r="N1417" t="s">
        <v>171</v>
      </c>
      <c r="S1417" t="s">
        <v>48</v>
      </c>
      <c r="V1417" t="s">
        <v>5708</v>
      </c>
      <c r="W1417" t="s">
        <v>5709</v>
      </c>
      <c r="X1417" s="2">
        <f>IFERROR(VLOOKUP(I1417,'Rate Sheet'!$D:$F,3,FALSE),0)</f>
        <v>14.333333333333334</v>
      </c>
      <c r="Y1417" s="2">
        <f>IFERROR(VLOOKUP(J1417,'Rate Sheet'!$D:$F,3,FALSE),0)</f>
        <v>0</v>
      </c>
      <c r="Z1417" s="2">
        <f>IFERROR(VLOOKUP(K1417,'Rate Sheet'!$D:$F,3,FALSE),0)</f>
        <v>0</v>
      </c>
      <c r="AA1417" s="2">
        <f t="shared" si="22"/>
        <v>14.333333333333334</v>
      </c>
      <c r="AB1417">
        <v>1</v>
      </c>
    </row>
    <row r="1418" spans="1:28" x14ac:dyDescent="0.25">
      <c r="A1418" t="s">
        <v>33</v>
      </c>
      <c r="B1418" t="s">
        <v>5176</v>
      </c>
      <c r="C1418" t="s">
        <v>21</v>
      </c>
      <c r="D1418" t="s">
        <v>5176</v>
      </c>
      <c r="E1418" t="s">
        <v>4784</v>
      </c>
      <c r="F1418" t="s">
        <v>5177</v>
      </c>
      <c r="G1418" t="s">
        <v>24</v>
      </c>
      <c r="H1418" t="s">
        <v>5178</v>
      </c>
      <c r="N1418" t="s">
        <v>803</v>
      </c>
      <c r="X1418" s="2">
        <f>IFERROR(VLOOKUP(I1418,'Rate Sheet'!$D:$F,3,FALSE),0)</f>
        <v>0</v>
      </c>
      <c r="Y1418" s="2">
        <f>IFERROR(VLOOKUP(J1418,'Rate Sheet'!$D:$F,3,FALSE),0)</f>
        <v>0</v>
      </c>
      <c r="Z1418" s="2">
        <f>IFERROR(VLOOKUP(K1418,'Rate Sheet'!$D:$F,3,FALSE),0)</f>
        <v>0</v>
      </c>
      <c r="AA1418" s="2">
        <f t="shared" si="22"/>
        <v>0</v>
      </c>
    </row>
    <row r="1419" spans="1:28" x14ac:dyDescent="0.25">
      <c r="A1419" t="s">
        <v>33</v>
      </c>
      <c r="B1419" t="s">
        <v>5179</v>
      </c>
      <c r="C1419" t="s">
        <v>21</v>
      </c>
      <c r="D1419" t="s">
        <v>5179</v>
      </c>
      <c r="E1419" t="s">
        <v>5180</v>
      </c>
      <c r="F1419" t="s">
        <v>110</v>
      </c>
      <c r="G1419" t="s">
        <v>24</v>
      </c>
      <c r="H1419" t="s">
        <v>5181</v>
      </c>
      <c r="X1419" s="2">
        <f>IFERROR(VLOOKUP(I1419,'Rate Sheet'!$D:$F,3,FALSE),0)</f>
        <v>0</v>
      </c>
      <c r="Y1419" s="2">
        <f>IFERROR(VLOOKUP(J1419,'Rate Sheet'!$D:$F,3,FALSE),0)</f>
        <v>0</v>
      </c>
      <c r="Z1419" s="2">
        <f>IFERROR(VLOOKUP(K1419,'Rate Sheet'!$D:$F,3,FALSE),0)</f>
        <v>0</v>
      </c>
      <c r="AA1419" s="2">
        <f t="shared" si="22"/>
        <v>0</v>
      </c>
    </row>
    <row r="1420" spans="1:28" x14ac:dyDescent="0.25">
      <c r="A1420" t="s">
        <v>33</v>
      </c>
      <c r="B1420" t="s">
        <v>5182</v>
      </c>
      <c r="C1420" t="s">
        <v>92</v>
      </c>
      <c r="D1420" t="s">
        <v>5182</v>
      </c>
      <c r="E1420" t="s">
        <v>5183</v>
      </c>
      <c r="F1420" t="s">
        <v>5184</v>
      </c>
      <c r="G1420" t="s">
        <v>24</v>
      </c>
      <c r="H1420" t="s">
        <v>5185</v>
      </c>
      <c r="I1420" t="s">
        <v>46</v>
      </c>
      <c r="N1420" t="s">
        <v>97</v>
      </c>
      <c r="S1420" t="s">
        <v>48</v>
      </c>
      <c r="V1420" t="s">
        <v>5592</v>
      </c>
      <c r="W1420" t="s">
        <v>97</v>
      </c>
      <c r="X1420" s="2">
        <f>IFERROR(VLOOKUP(I1420,'Rate Sheet'!$D:$F,3,FALSE),0)</f>
        <v>14.333333333333334</v>
      </c>
      <c r="Y1420" s="2">
        <f>IFERROR(VLOOKUP(J1420,'Rate Sheet'!$D:$F,3,FALSE),0)</f>
        <v>0</v>
      </c>
      <c r="Z1420" s="2">
        <f>IFERROR(VLOOKUP(K1420,'Rate Sheet'!$D:$F,3,FALSE),0)</f>
        <v>0</v>
      </c>
      <c r="AA1420" s="2">
        <f t="shared" si="22"/>
        <v>14.333333333333334</v>
      </c>
      <c r="AB1420">
        <v>1</v>
      </c>
    </row>
    <row r="1421" spans="1:28" x14ac:dyDescent="0.25">
      <c r="A1421" t="s">
        <v>33</v>
      </c>
      <c r="B1421" t="s">
        <v>5186</v>
      </c>
      <c r="C1421" t="s">
        <v>21</v>
      </c>
      <c r="D1421" t="s">
        <v>5186</v>
      </c>
      <c r="E1421" t="s">
        <v>1146</v>
      </c>
      <c r="F1421" t="s">
        <v>5187</v>
      </c>
      <c r="G1421" t="s">
        <v>24</v>
      </c>
      <c r="H1421" t="s">
        <v>5188</v>
      </c>
      <c r="I1421" t="s">
        <v>46</v>
      </c>
      <c r="N1421" t="s">
        <v>4585</v>
      </c>
      <c r="S1421" t="s">
        <v>48</v>
      </c>
      <c r="V1421" t="s">
        <v>5769</v>
      </c>
      <c r="W1421" t="s">
        <v>5770</v>
      </c>
      <c r="X1421" s="2">
        <f>IFERROR(VLOOKUP(I1421,'Rate Sheet'!$D:$F,3,FALSE),0)</f>
        <v>14.333333333333334</v>
      </c>
      <c r="Y1421" s="2">
        <f>IFERROR(VLOOKUP(J1421,'Rate Sheet'!$D:$F,3,FALSE),0)</f>
        <v>0</v>
      </c>
      <c r="Z1421" s="2">
        <f>IFERROR(VLOOKUP(K1421,'Rate Sheet'!$D:$F,3,FALSE),0)</f>
        <v>0</v>
      </c>
      <c r="AA1421" s="2">
        <f t="shared" si="22"/>
        <v>14.333333333333334</v>
      </c>
      <c r="AB1421">
        <v>1</v>
      </c>
    </row>
    <row r="1422" spans="1:28" x14ac:dyDescent="0.25">
      <c r="A1422" t="s">
        <v>33</v>
      </c>
      <c r="B1422" t="s">
        <v>5193</v>
      </c>
      <c r="C1422" t="s">
        <v>21</v>
      </c>
      <c r="D1422" t="s">
        <v>5193</v>
      </c>
      <c r="E1422" t="s">
        <v>5194</v>
      </c>
      <c r="F1422" t="s">
        <v>5195</v>
      </c>
      <c r="G1422" t="s">
        <v>24</v>
      </c>
      <c r="H1422" t="s">
        <v>5196</v>
      </c>
      <c r="X1422" s="2">
        <f>IFERROR(VLOOKUP(I1422,'Rate Sheet'!$D:$F,3,FALSE),0)</f>
        <v>0</v>
      </c>
      <c r="Y1422" s="2">
        <f>IFERROR(VLOOKUP(J1422,'Rate Sheet'!$D:$F,3,FALSE),0)</f>
        <v>0</v>
      </c>
      <c r="Z1422" s="2">
        <f>IFERROR(VLOOKUP(K1422,'Rate Sheet'!$D:$F,3,FALSE),0)</f>
        <v>0</v>
      </c>
      <c r="AA1422" s="2">
        <f t="shared" si="22"/>
        <v>0</v>
      </c>
    </row>
    <row r="1423" spans="1:28" x14ac:dyDescent="0.25">
      <c r="A1423" t="s">
        <v>33</v>
      </c>
      <c r="B1423" t="s">
        <v>5197</v>
      </c>
      <c r="C1423" t="s">
        <v>21</v>
      </c>
      <c r="D1423" t="s">
        <v>5197</v>
      </c>
      <c r="E1423" t="s">
        <v>4527</v>
      </c>
      <c r="F1423" t="s">
        <v>5198</v>
      </c>
      <c r="G1423" t="s">
        <v>24</v>
      </c>
      <c r="H1423" t="s">
        <v>5199</v>
      </c>
      <c r="I1423" t="s">
        <v>46</v>
      </c>
      <c r="N1423" t="s">
        <v>3868</v>
      </c>
      <c r="S1423" t="s">
        <v>48</v>
      </c>
      <c r="V1423" t="s">
        <v>5708</v>
      </c>
      <c r="W1423" t="s">
        <v>5709</v>
      </c>
      <c r="X1423" s="2">
        <f>IFERROR(VLOOKUP(I1423,'Rate Sheet'!$D:$F,3,FALSE),0)</f>
        <v>14.333333333333334</v>
      </c>
      <c r="Y1423" s="2">
        <f>IFERROR(VLOOKUP(J1423,'Rate Sheet'!$D:$F,3,FALSE),0)</f>
        <v>0</v>
      </c>
      <c r="Z1423" s="2">
        <f>IFERROR(VLOOKUP(K1423,'Rate Sheet'!$D:$F,3,FALSE),0)</f>
        <v>0</v>
      </c>
      <c r="AA1423" s="2">
        <f t="shared" si="22"/>
        <v>14.333333333333334</v>
      </c>
      <c r="AB1423">
        <v>1</v>
      </c>
    </row>
    <row r="1424" spans="1:28" x14ac:dyDescent="0.25">
      <c r="A1424" t="s">
        <v>33</v>
      </c>
      <c r="B1424" t="s">
        <v>5200</v>
      </c>
      <c r="C1424" t="s">
        <v>21</v>
      </c>
      <c r="D1424" t="s">
        <v>5200</v>
      </c>
      <c r="E1424" t="s">
        <v>568</v>
      </c>
      <c r="F1424" t="s">
        <v>5201</v>
      </c>
      <c r="G1424" t="s">
        <v>24</v>
      </c>
      <c r="H1424" t="s">
        <v>5202</v>
      </c>
      <c r="I1424" t="s">
        <v>46</v>
      </c>
      <c r="N1424" t="s">
        <v>3868</v>
      </c>
      <c r="S1424" t="s">
        <v>48</v>
      </c>
      <c r="V1424" t="s">
        <v>5708</v>
      </c>
      <c r="W1424" t="s">
        <v>5709</v>
      </c>
      <c r="X1424" s="2">
        <f>IFERROR(VLOOKUP(I1424,'Rate Sheet'!$D:$F,3,FALSE),0)</f>
        <v>14.333333333333334</v>
      </c>
      <c r="Y1424" s="2">
        <f>IFERROR(VLOOKUP(J1424,'Rate Sheet'!$D:$F,3,FALSE),0)</f>
        <v>0</v>
      </c>
      <c r="Z1424" s="2">
        <f>IFERROR(VLOOKUP(K1424,'Rate Sheet'!$D:$F,3,FALSE),0)</f>
        <v>0</v>
      </c>
      <c r="AA1424" s="2">
        <f t="shared" si="22"/>
        <v>14.333333333333334</v>
      </c>
      <c r="AB1424">
        <v>1</v>
      </c>
    </row>
    <row r="1425" spans="1:28" x14ac:dyDescent="0.25">
      <c r="A1425" t="s">
        <v>33</v>
      </c>
      <c r="B1425" t="s">
        <v>5203</v>
      </c>
      <c r="C1425" t="s">
        <v>21</v>
      </c>
      <c r="D1425" t="s">
        <v>5203</v>
      </c>
      <c r="E1425" t="s">
        <v>3939</v>
      </c>
      <c r="F1425" t="s">
        <v>5204</v>
      </c>
      <c r="G1425" t="s">
        <v>24</v>
      </c>
      <c r="H1425" t="s">
        <v>5205</v>
      </c>
      <c r="I1425" t="s">
        <v>46</v>
      </c>
      <c r="N1425" t="s">
        <v>185</v>
      </c>
      <c r="S1425" t="s">
        <v>48</v>
      </c>
      <c r="V1425" t="s">
        <v>5610</v>
      </c>
      <c r="W1425" t="s">
        <v>5611</v>
      </c>
      <c r="X1425" s="2">
        <f>IFERROR(VLOOKUP(I1425,'Rate Sheet'!$D:$F,3,FALSE),0)</f>
        <v>14.333333333333334</v>
      </c>
      <c r="Y1425" s="2">
        <f>IFERROR(VLOOKUP(J1425,'Rate Sheet'!$D:$F,3,FALSE),0)</f>
        <v>0</v>
      </c>
      <c r="Z1425" s="2">
        <f>IFERROR(VLOOKUP(K1425,'Rate Sheet'!$D:$F,3,FALSE),0)</f>
        <v>0</v>
      </c>
      <c r="AA1425" s="2">
        <f t="shared" si="22"/>
        <v>14.333333333333334</v>
      </c>
      <c r="AB1425">
        <v>1</v>
      </c>
    </row>
    <row r="1426" spans="1:28" x14ac:dyDescent="0.25">
      <c r="A1426" t="s">
        <v>33</v>
      </c>
      <c r="B1426" t="s">
        <v>5206</v>
      </c>
      <c r="C1426" t="s">
        <v>21</v>
      </c>
      <c r="D1426" t="s">
        <v>5206</v>
      </c>
      <c r="E1426" t="s">
        <v>5207</v>
      </c>
      <c r="F1426" t="s">
        <v>5208</v>
      </c>
      <c r="G1426" t="s">
        <v>24</v>
      </c>
      <c r="H1426" t="s">
        <v>5209</v>
      </c>
      <c r="I1426" t="s">
        <v>46</v>
      </c>
      <c r="N1426" t="s">
        <v>3868</v>
      </c>
      <c r="S1426" t="s">
        <v>48</v>
      </c>
      <c r="V1426" t="s">
        <v>5708</v>
      </c>
      <c r="W1426" t="s">
        <v>5709</v>
      </c>
      <c r="X1426" s="2">
        <f>IFERROR(VLOOKUP(I1426,'Rate Sheet'!$D:$F,3,FALSE),0)</f>
        <v>14.333333333333334</v>
      </c>
      <c r="Y1426" s="2">
        <f>IFERROR(VLOOKUP(J1426,'Rate Sheet'!$D:$F,3,FALSE),0)</f>
        <v>0</v>
      </c>
      <c r="Z1426" s="2">
        <f>IFERROR(VLOOKUP(K1426,'Rate Sheet'!$D:$F,3,FALSE),0)</f>
        <v>0</v>
      </c>
      <c r="AA1426" s="2">
        <f t="shared" si="22"/>
        <v>14.333333333333334</v>
      </c>
      <c r="AB1426">
        <v>1</v>
      </c>
    </row>
    <row r="1427" spans="1:28" x14ac:dyDescent="0.25">
      <c r="A1427" t="s">
        <v>33</v>
      </c>
      <c r="B1427" t="s">
        <v>5210</v>
      </c>
      <c r="C1427" t="s">
        <v>21</v>
      </c>
      <c r="D1427" t="s">
        <v>5210</v>
      </c>
      <c r="E1427" t="s">
        <v>1003</v>
      </c>
      <c r="F1427" t="s">
        <v>5211</v>
      </c>
      <c r="G1427" t="s">
        <v>24</v>
      </c>
      <c r="H1427" t="s">
        <v>5212</v>
      </c>
      <c r="X1427" s="2">
        <f>IFERROR(VLOOKUP(I1427,'Rate Sheet'!$D:$F,3,FALSE),0)</f>
        <v>0</v>
      </c>
      <c r="Y1427" s="2">
        <f>IFERROR(VLOOKUP(J1427,'Rate Sheet'!$D:$F,3,FALSE),0)</f>
        <v>0</v>
      </c>
      <c r="Z1427" s="2">
        <f>IFERROR(VLOOKUP(K1427,'Rate Sheet'!$D:$F,3,FALSE),0)</f>
        <v>0</v>
      </c>
      <c r="AA1427" s="2">
        <f t="shared" si="22"/>
        <v>0</v>
      </c>
    </row>
    <row r="1428" spans="1:28" x14ac:dyDescent="0.25">
      <c r="A1428" t="s">
        <v>33</v>
      </c>
      <c r="B1428" t="s">
        <v>5216</v>
      </c>
      <c r="C1428" t="s">
        <v>21</v>
      </c>
      <c r="D1428" t="s">
        <v>5216</v>
      </c>
      <c r="E1428" t="s">
        <v>5217</v>
      </c>
      <c r="F1428" t="s">
        <v>330</v>
      </c>
      <c r="G1428" t="s">
        <v>24</v>
      </c>
      <c r="H1428" t="s">
        <v>5218</v>
      </c>
      <c r="I1428" t="s">
        <v>46</v>
      </c>
      <c r="N1428" t="s">
        <v>4302</v>
      </c>
      <c r="S1428" t="s">
        <v>48</v>
      </c>
      <c r="V1428" t="s">
        <v>5742</v>
      </c>
      <c r="W1428" t="s">
        <v>5743</v>
      </c>
      <c r="X1428" s="2">
        <f>IFERROR(VLOOKUP(I1428,'Rate Sheet'!$D:$F,3,FALSE),0)</f>
        <v>14.333333333333334</v>
      </c>
      <c r="Y1428" s="2">
        <f>IFERROR(VLOOKUP(J1428,'Rate Sheet'!$D:$F,3,FALSE),0)</f>
        <v>0</v>
      </c>
      <c r="Z1428" s="2">
        <f>IFERROR(VLOOKUP(K1428,'Rate Sheet'!$D:$F,3,FALSE),0)</f>
        <v>0</v>
      </c>
      <c r="AA1428" s="2">
        <f t="shared" si="22"/>
        <v>14.333333333333334</v>
      </c>
      <c r="AB1428">
        <v>1</v>
      </c>
    </row>
    <row r="1429" spans="1:28" x14ac:dyDescent="0.25">
      <c r="A1429" t="s">
        <v>33</v>
      </c>
      <c r="B1429" t="s">
        <v>5219</v>
      </c>
      <c r="C1429" t="s">
        <v>21</v>
      </c>
      <c r="D1429" t="s">
        <v>5219</v>
      </c>
      <c r="E1429" t="s">
        <v>1010</v>
      </c>
      <c r="F1429" t="s">
        <v>5220</v>
      </c>
      <c r="G1429" t="s">
        <v>24</v>
      </c>
      <c r="H1429" t="s">
        <v>5221</v>
      </c>
      <c r="I1429" t="s">
        <v>46</v>
      </c>
      <c r="N1429" t="s">
        <v>74</v>
      </c>
      <c r="S1429" t="s">
        <v>48</v>
      </c>
      <c r="V1429" t="s">
        <v>5586</v>
      </c>
      <c r="W1429" t="s">
        <v>5587</v>
      </c>
      <c r="X1429" s="2">
        <f>IFERROR(VLOOKUP(I1429,'Rate Sheet'!$D:$F,3,FALSE),0)</f>
        <v>14.333333333333334</v>
      </c>
      <c r="Y1429" s="2">
        <f>IFERROR(VLOOKUP(J1429,'Rate Sheet'!$D:$F,3,FALSE),0)</f>
        <v>0</v>
      </c>
      <c r="Z1429" s="2">
        <f>IFERROR(VLOOKUP(K1429,'Rate Sheet'!$D:$F,3,FALSE),0)</f>
        <v>0</v>
      </c>
      <c r="AA1429" s="2">
        <f t="shared" si="22"/>
        <v>14.333333333333334</v>
      </c>
      <c r="AB1429">
        <v>1</v>
      </c>
    </row>
    <row r="1430" spans="1:28" x14ac:dyDescent="0.25">
      <c r="A1430" t="s">
        <v>33</v>
      </c>
      <c r="B1430" t="s">
        <v>5222</v>
      </c>
      <c r="C1430" t="s">
        <v>21</v>
      </c>
      <c r="D1430" t="s">
        <v>5222</v>
      </c>
      <c r="E1430" t="s">
        <v>2664</v>
      </c>
      <c r="F1430" t="s">
        <v>3218</v>
      </c>
      <c r="G1430" t="s">
        <v>24</v>
      </c>
      <c r="H1430" t="s">
        <v>5223</v>
      </c>
      <c r="I1430" t="s">
        <v>46</v>
      </c>
      <c r="N1430" t="s">
        <v>38</v>
      </c>
      <c r="S1430" t="s">
        <v>48</v>
      </c>
      <c r="V1430" t="s">
        <v>5582</v>
      </c>
      <c r="W1430" t="s">
        <v>5583</v>
      </c>
      <c r="X1430" s="2">
        <f>IFERROR(VLOOKUP(I1430,'Rate Sheet'!$D:$F,3,FALSE),0)</f>
        <v>14.333333333333334</v>
      </c>
      <c r="Y1430" s="2">
        <f>IFERROR(VLOOKUP(J1430,'Rate Sheet'!$D:$F,3,FALSE),0)</f>
        <v>0</v>
      </c>
      <c r="Z1430" s="2">
        <f>IFERROR(VLOOKUP(K1430,'Rate Sheet'!$D:$F,3,FALSE),0)</f>
        <v>0</v>
      </c>
      <c r="AA1430" s="2">
        <f t="shared" si="22"/>
        <v>14.333333333333334</v>
      </c>
      <c r="AB1430">
        <v>1</v>
      </c>
    </row>
    <row r="1431" spans="1:28" x14ac:dyDescent="0.25">
      <c r="A1431" t="s">
        <v>33</v>
      </c>
      <c r="B1431" t="s">
        <v>5224</v>
      </c>
      <c r="C1431" t="s">
        <v>21</v>
      </c>
      <c r="D1431" t="s">
        <v>5224</v>
      </c>
      <c r="E1431" t="s">
        <v>1242</v>
      </c>
      <c r="F1431" t="s">
        <v>5225</v>
      </c>
      <c r="G1431" t="s">
        <v>24</v>
      </c>
      <c r="H1431" t="s">
        <v>5226</v>
      </c>
      <c r="I1431" t="s">
        <v>73</v>
      </c>
      <c r="N1431" t="s">
        <v>138</v>
      </c>
      <c r="S1431" t="s">
        <v>75</v>
      </c>
      <c r="V1431" t="s">
        <v>5696</v>
      </c>
      <c r="W1431" t="s">
        <v>5697</v>
      </c>
      <c r="X1431" s="2">
        <f>IFERROR(VLOOKUP(I1431,'Rate Sheet'!$D:$F,3,FALSE),0)</f>
        <v>8.6983333333333324</v>
      </c>
      <c r="Y1431" s="2">
        <f>IFERROR(VLOOKUP(J1431,'Rate Sheet'!$D:$F,3,FALSE),0)</f>
        <v>0</v>
      </c>
      <c r="Z1431" s="2">
        <f>IFERROR(VLOOKUP(K1431,'Rate Sheet'!$D:$F,3,FALSE),0)</f>
        <v>0</v>
      </c>
      <c r="AA1431" s="2">
        <f t="shared" si="22"/>
        <v>8.6983333333333324</v>
      </c>
      <c r="AB1431">
        <v>1</v>
      </c>
    </row>
    <row r="1432" spans="1:28" x14ac:dyDescent="0.25">
      <c r="A1432" t="s">
        <v>33</v>
      </c>
      <c r="B1432" t="s">
        <v>5227</v>
      </c>
      <c r="C1432" t="s">
        <v>21</v>
      </c>
      <c r="D1432" t="s">
        <v>5227</v>
      </c>
      <c r="E1432" t="s">
        <v>5228</v>
      </c>
      <c r="F1432" t="s">
        <v>5229</v>
      </c>
      <c r="G1432" t="s">
        <v>24</v>
      </c>
      <c r="H1432" t="s">
        <v>5230</v>
      </c>
      <c r="I1432" t="s">
        <v>46</v>
      </c>
      <c r="N1432" t="s">
        <v>119</v>
      </c>
      <c r="S1432" t="s">
        <v>48</v>
      </c>
      <c r="V1432" t="s">
        <v>5598</v>
      </c>
      <c r="W1432" t="s">
        <v>119</v>
      </c>
      <c r="X1432" s="2">
        <f>IFERROR(VLOOKUP(I1432,'Rate Sheet'!$D:$F,3,FALSE),0)</f>
        <v>14.333333333333334</v>
      </c>
      <c r="Y1432" s="2">
        <f>IFERROR(VLOOKUP(J1432,'Rate Sheet'!$D:$F,3,FALSE),0)</f>
        <v>0</v>
      </c>
      <c r="Z1432" s="2">
        <f>IFERROR(VLOOKUP(K1432,'Rate Sheet'!$D:$F,3,FALSE),0)</f>
        <v>0</v>
      </c>
      <c r="AA1432" s="2">
        <f t="shared" si="22"/>
        <v>14.333333333333334</v>
      </c>
      <c r="AB1432">
        <v>1</v>
      </c>
    </row>
    <row r="1433" spans="1:28" x14ac:dyDescent="0.25">
      <c r="A1433" t="s">
        <v>33</v>
      </c>
      <c r="B1433" t="s">
        <v>5231</v>
      </c>
      <c r="C1433" t="s">
        <v>29</v>
      </c>
      <c r="D1433" t="s">
        <v>5231</v>
      </c>
      <c r="E1433" t="s">
        <v>5232</v>
      </c>
      <c r="F1433" t="s">
        <v>5233</v>
      </c>
      <c r="G1433" t="s">
        <v>24</v>
      </c>
      <c r="H1433" t="s">
        <v>5234</v>
      </c>
      <c r="I1433" t="s">
        <v>46</v>
      </c>
      <c r="N1433" t="s">
        <v>246</v>
      </c>
      <c r="S1433" t="s">
        <v>48</v>
      </c>
      <c r="V1433" t="s">
        <v>5661</v>
      </c>
      <c r="W1433" t="s">
        <v>246</v>
      </c>
      <c r="X1433" s="2">
        <f>IFERROR(VLOOKUP(I1433,'Rate Sheet'!$D:$F,3,FALSE),0)</f>
        <v>14.333333333333334</v>
      </c>
      <c r="Y1433" s="2">
        <f>IFERROR(VLOOKUP(J1433,'Rate Sheet'!$D:$F,3,FALSE),0)</f>
        <v>0</v>
      </c>
      <c r="Z1433" s="2">
        <f>IFERROR(VLOOKUP(K1433,'Rate Sheet'!$D:$F,3,FALSE),0)</f>
        <v>0</v>
      </c>
      <c r="AA1433" s="2">
        <f t="shared" si="22"/>
        <v>14.333333333333334</v>
      </c>
      <c r="AB1433">
        <v>1</v>
      </c>
    </row>
    <row r="1434" spans="1:28" x14ac:dyDescent="0.25">
      <c r="A1434" t="s">
        <v>33</v>
      </c>
      <c r="B1434" t="s">
        <v>5235</v>
      </c>
      <c r="C1434" t="s">
        <v>21</v>
      </c>
      <c r="D1434" t="s">
        <v>5235</v>
      </c>
      <c r="E1434" t="s">
        <v>5236</v>
      </c>
      <c r="F1434" t="s">
        <v>5237</v>
      </c>
      <c r="G1434" t="s">
        <v>24</v>
      </c>
      <c r="H1434" t="s">
        <v>5238</v>
      </c>
      <c r="I1434" t="s">
        <v>73</v>
      </c>
      <c r="S1434" t="s">
        <v>75</v>
      </c>
      <c r="V1434" t="s">
        <v>5742</v>
      </c>
      <c r="W1434" t="s">
        <v>5743</v>
      </c>
      <c r="X1434" s="2">
        <f>IFERROR(VLOOKUP(I1434,'Rate Sheet'!$D:$F,3,FALSE),0)</f>
        <v>8.6983333333333324</v>
      </c>
      <c r="Y1434" s="2">
        <f>IFERROR(VLOOKUP(J1434,'Rate Sheet'!$D:$F,3,FALSE),0)</f>
        <v>0</v>
      </c>
      <c r="Z1434" s="2">
        <f>IFERROR(VLOOKUP(K1434,'Rate Sheet'!$D:$F,3,FALSE),0)</f>
        <v>0</v>
      </c>
      <c r="AA1434" s="2">
        <f t="shared" si="22"/>
        <v>8.6983333333333324</v>
      </c>
      <c r="AB1434">
        <v>1</v>
      </c>
    </row>
    <row r="1435" spans="1:28" x14ac:dyDescent="0.25">
      <c r="A1435" t="s">
        <v>33</v>
      </c>
      <c r="B1435" t="s">
        <v>5239</v>
      </c>
      <c r="C1435" t="s">
        <v>21</v>
      </c>
      <c r="D1435" t="s">
        <v>5239</v>
      </c>
      <c r="E1435" t="s">
        <v>3222</v>
      </c>
      <c r="F1435" t="s">
        <v>5240</v>
      </c>
      <c r="G1435" t="s">
        <v>24</v>
      </c>
      <c r="H1435" t="s">
        <v>5241</v>
      </c>
      <c r="I1435" t="s">
        <v>46</v>
      </c>
      <c r="N1435" t="s">
        <v>3868</v>
      </c>
      <c r="S1435" t="s">
        <v>48</v>
      </c>
      <c r="V1435" t="s">
        <v>5708</v>
      </c>
      <c r="W1435" t="s">
        <v>5709</v>
      </c>
      <c r="X1435" s="2">
        <f>IFERROR(VLOOKUP(I1435,'Rate Sheet'!$D:$F,3,FALSE),0)</f>
        <v>14.333333333333334</v>
      </c>
      <c r="Y1435" s="2">
        <f>IFERROR(VLOOKUP(J1435,'Rate Sheet'!$D:$F,3,FALSE),0)</f>
        <v>0</v>
      </c>
      <c r="Z1435" s="2">
        <f>IFERROR(VLOOKUP(K1435,'Rate Sheet'!$D:$F,3,FALSE),0)</f>
        <v>0</v>
      </c>
      <c r="AA1435" s="2">
        <f t="shared" si="22"/>
        <v>14.333333333333334</v>
      </c>
      <c r="AB1435">
        <v>1</v>
      </c>
    </row>
    <row r="1436" spans="1:28" x14ac:dyDescent="0.25">
      <c r="A1436" t="s">
        <v>33</v>
      </c>
      <c r="B1436" t="s">
        <v>5242</v>
      </c>
      <c r="C1436" t="s">
        <v>21</v>
      </c>
      <c r="D1436" t="s">
        <v>5242</v>
      </c>
      <c r="E1436" t="s">
        <v>1912</v>
      </c>
      <c r="F1436" t="s">
        <v>1431</v>
      </c>
      <c r="G1436" t="s">
        <v>24</v>
      </c>
      <c r="H1436" t="s">
        <v>5243</v>
      </c>
      <c r="I1436" t="s">
        <v>46</v>
      </c>
      <c r="N1436" t="s">
        <v>3868</v>
      </c>
      <c r="S1436" t="s">
        <v>48</v>
      </c>
      <c r="V1436" t="s">
        <v>5708</v>
      </c>
      <c r="W1436" t="s">
        <v>5709</v>
      </c>
      <c r="X1436" s="2">
        <f>IFERROR(VLOOKUP(I1436,'Rate Sheet'!$D:$F,3,FALSE),0)</f>
        <v>14.333333333333334</v>
      </c>
      <c r="Y1436" s="2">
        <f>IFERROR(VLOOKUP(J1436,'Rate Sheet'!$D:$F,3,FALSE),0)</f>
        <v>0</v>
      </c>
      <c r="Z1436" s="2">
        <f>IFERROR(VLOOKUP(K1436,'Rate Sheet'!$D:$F,3,FALSE),0)</f>
        <v>0</v>
      </c>
      <c r="AA1436" s="2">
        <f t="shared" si="22"/>
        <v>14.333333333333334</v>
      </c>
      <c r="AB1436">
        <v>1</v>
      </c>
    </row>
    <row r="1437" spans="1:28" x14ac:dyDescent="0.25">
      <c r="A1437" t="s">
        <v>33</v>
      </c>
      <c r="B1437" t="s">
        <v>5244</v>
      </c>
      <c r="C1437" t="s">
        <v>21</v>
      </c>
      <c r="D1437" t="s">
        <v>5244</v>
      </c>
      <c r="E1437" t="s">
        <v>4627</v>
      </c>
      <c r="F1437" t="s">
        <v>5245</v>
      </c>
      <c r="G1437" t="s">
        <v>24</v>
      </c>
      <c r="H1437" t="s">
        <v>5246</v>
      </c>
      <c r="I1437" t="s">
        <v>46</v>
      </c>
      <c r="N1437" t="s">
        <v>1624</v>
      </c>
      <c r="S1437" t="s">
        <v>48</v>
      </c>
      <c r="V1437" t="s">
        <v>5610</v>
      </c>
      <c r="W1437" t="s">
        <v>5611</v>
      </c>
      <c r="X1437" s="2">
        <f>IFERROR(VLOOKUP(I1437,'Rate Sheet'!$D:$F,3,FALSE),0)</f>
        <v>14.333333333333334</v>
      </c>
      <c r="Y1437" s="2">
        <f>IFERROR(VLOOKUP(J1437,'Rate Sheet'!$D:$F,3,FALSE),0)</f>
        <v>0</v>
      </c>
      <c r="Z1437" s="2">
        <f>IFERROR(VLOOKUP(K1437,'Rate Sheet'!$D:$F,3,FALSE),0)</f>
        <v>0</v>
      </c>
      <c r="AA1437" s="2">
        <f t="shared" si="22"/>
        <v>14.333333333333334</v>
      </c>
      <c r="AB1437">
        <v>1</v>
      </c>
    </row>
    <row r="1438" spans="1:28" x14ac:dyDescent="0.25">
      <c r="A1438" t="s">
        <v>33</v>
      </c>
      <c r="B1438" t="s">
        <v>5247</v>
      </c>
      <c r="C1438" t="s">
        <v>21</v>
      </c>
      <c r="D1438" t="s">
        <v>5247</v>
      </c>
      <c r="E1438" t="s">
        <v>5248</v>
      </c>
      <c r="F1438" t="s">
        <v>5249</v>
      </c>
      <c r="G1438" t="s">
        <v>24</v>
      </c>
      <c r="H1438" t="s">
        <v>5250</v>
      </c>
      <c r="X1438" s="2">
        <f>IFERROR(VLOOKUP(I1438,'Rate Sheet'!$D:$F,3,FALSE),0)</f>
        <v>0</v>
      </c>
      <c r="Y1438" s="2">
        <f>IFERROR(VLOOKUP(J1438,'Rate Sheet'!$D:$F,3,FALSE),0)</f>
        <v>0</v>
      </c>
      <c r="Z1438" s="2">
        <f>IFERROR(VLOOKUP(K1438,'Rate Sheet'!$D:$F,3,FALSE),0)</f>
        <v>0</v>
      </c>
      <c r="AA1438" s="2">
        <f t="shared" si="22"/>
        <v>0</v>
      </c>
    </row>
    <row r="1439" spans="1:28" x14ac:dyDescent="0.25">
      <c r="A1439" t="s">
        <v>33</v>
      </c>
      <c r="B1439" t="s">
        <v>5251</v>
      </c>
      <c r="C1439" t="s">
        <v>21</v>
      </c>
      <c r="D1439" t="s">
        <v>5251</v>
      </c>
      <c r="E1439" t="s">
        <v>1537</v>
      </c>
      <c r="F1439" t="s">
        <v>4133</v>
      </c>
      <c r="G1439" t="s">
        <v>24</v>
      </c>
      <c r="H1439" t="s">
        <v>5252</v>
      </c>
      <c r="I1439" t="s">
        <v>46</v>
      </c>
      <c r="N1439" t="s">
        <v>878</v>
      </c>
      <c r="S1439" t="s">
        <v>48</v>
      </c>
      <c r="V1439" t="s">
        <v>5749</v>
      </c>
      <c r="W1439" t="s">
        <v>5750</v>
      </c>
      <c r="X1439" s="2">
        <f>IFERROR(VLOOKUP(I1439,'Rate Sheet'!$D:$F,3,FALSE),0)</f>
        <v>14.333333333333334</v>
      </c>
      <c r="Y1439" s="2">
        <f>IFERROR(VLOOKUP(J1439,'Rate Sheet'!$D:$F,3,FALSE),0)</f>
        <v>0</v>
      </c>
      <c r="Z1439" s="2">
        <f>IFERROR(VLOOKUP(K1439,'Rate Sheet'!$D:$F,3,FALSE),0)</f>
        <v>0</v>
      </c>
      <c r="AA1439" s="2">
        <f t="shared" si="22"/>
        <v>14.333333333333334</v>
      </c>
      <c r="AB1439">
        <v>1</v>
      </c>
    </row>
    <row r="1440" spans="1:28" x14ac:dyDescent="0.25">
      <c r="A1440" t="s">
        <v>33</v>
      </c>
      <c r="B1440" t="s">
        <v>5253</v>
      </c>
      <c r="C1440" t="s">
        <v>21</v>
      </c>
      <c r="D1440" t="s">
        <v>5253</v>
      </c>
      <c r="E1440" t="s">
        <v>1929</v>
      </c>
      <c r="F1440" t="s">
        <v>5214</v>
      </c>
      <c r="G1440" t="s">
        <v>24</v>
      </c>
      <c r="H1440" t="s">
        <v>5254</v>
      </c>
      <c r="I1440" t="s">
        <v>73</v>
      </c>
      <c r="N1440" t="s">
        <v>3868</v>
      </c>
      <c r="S1440" t="s">
        <v>75</v>
      </c>
      <c r="V1440" t="s">
        <v>5708</v>
      </c>
      <c r="W1440" t="s">
        <v>5709</v>
      </c>
      <c r="X1440" s="2">
        <f>IFERROR(VLOOKUP(I1440,'Rate Sheet'!$D:$F,3,FALSE),0)</f>
        <v>8.6983333333333324</v>
      </c>
      <c r="Y1440" s="2">
        <f>IFERROR(VLOOKUP(J1440,'Rate Sheet'!$D:$F,3,FALSE),0)</f>
        <v>0</v>
      </c>
      <c r="Z1440" s="2">
        <f>IFERROR(VLOOKUP(K1440,'Rate Sheet'!$D:$F,3,FALSE),0)</f>
        <v>0</v>
      </c>
      <c r="AA1440" s="2">
        <f t="shared" si="22"/>
        <v>8.6983333333333324</v>
      </c>
      <c r="AB1440">
        <v>1</v>
      </c>
    </row>
    <row r="1441" spans="1:28" x14ac:dyDescent="0.25">
      <c r="A1441" t="s">
        <v>33</v>
      </c>
      <c r="B1441" t="s">
        <v>5255</v>
      </c>
      <c r="C1441" t="s">
        <v>21</v>
      </c>
      <c r="D1441" t="s">
        <v>5255</v>
      </c>
      <c r="E1441" t="s">
        <v>435</v>
      </c>
      <c r="F1441" t="s">
        <v>5256</v>
      </c>
      <c r="G1441" t="s">
        <v>24</v>
      </c>
      <c r="H1441" t="s">
        <v>5257</v>
      </c>
      <c r="I1441" t="s">
        <v>46</v>
      </c>
      <c r="S1441" t="s">
        <v>48</v>
      </c>
      <c r="V1441" t="s">
        <v>5640</v>
      </c>
      <c r="W1441" t="s">
        <v>5641</v>
      </c>
      <c r="X1441" s="2">
        <f>IFERROR(VLOOKUP(I1441,'Rate Sheet'!$D:$F,3,FALSE),0)</f>
        <v>14.333333333333334</v>
      </c>
      <c r="Y1441" s="2">
        <f>IFERROR(VLOOKUP(J1441,'Rate Sheet'!$D:$F,3,FALSE),0)</f>
        <v>0</v>
      </c>
      <c r="Z1441" s="2">
        <f>IFERROR(VLOOKUP(K1441,'Rate Sheet'!$D:$F,3,FALSE),0)</f>
        <v>0</v>
      </c>
      <c r="AA1441" s="2">
        <f t="shared" si="22"/>
        <v>14.333333333333334</v>
      </c>
      <c r="AB1441">
        <v>1</v>
      </c>
    </row>
    <row r="1442" spans="1:28" x14ac:dyDescent="0.25">
      <c r="A1442" t="s">
        <v>33</v>
      </c>
      <c r="B1442" t="s">
        <v>5258</v>
      </c>
      <c r="C1442" t="s">
        <v>21</v>
      </c>
      <c r="D1442" t="s">
        <v>5258</v>
      </c>
      <c r="E1442" t="s">
        <v>3283</v>
      </c>
      <c r="F1442" t="s">
        <v>5259</v>
      </c>
      <c r="G1442" t="s">
        <v>24</v>
      </c>
      <c r="H1442" t="s">
        <v>5260</v>
      </c>
      <c r="X1442" s="2">
        <f>IFERROR(VLOOKUP(I1442,'Rate Sheet'!$D:$F,3,FALSE),0)</f>
        <v>0</v>
      </c>
      <c r="Y1442" s="2">
        <f>IFERROR(VLOOKUP(J1442,'Rate Sheet'!$D:$F,3,FALSE),0)</f>
        <v>0</v>
      </c>
      <c r="Z1442" s="2">
        <f>IFERROR(VLOOKUP(K1442,'Rate Sheet'!$D:$F,3,FALSE),0)</f>
        <v>0</v>
      </c>
      <c r="AA1442" s="2">
        <f t="shared" si="22"/>
        <v>0</v>
      </c>
    </row>
    <row r="1443" spans="1:28" x14ac:dyDescent="0.25">
      <c r="A1443" t="s">
        <v>33</v>
      </c>
      <c r="B1443" t="s">
        <v>5261</v>
      </c>
      <c r="C1443" t="s">
        <v>21</v>
      </c>
      <c r="D1443" t="s">
        <v>5261</v>
      </c>
      <c r="E1443" t="s">
        <v>1883</v>
      </c>
      <c r="F1443" t="s">
        <v>5262</v>
      </c>
      <c r="G1443" t="s">
        <v>24</v>
      </c>
      <c r="H1443" t="s">
        <v>5263</v>
      </c>
      <c r="I1443" t="s">
        <v>46</v>
      </c>
      <c r="N1443" t="s">
        <v>4229</v>
      </c>
      <c r="S1443" t="s">
        <v>48</v>
      </c>
      <c r="V1443" t="s">
        <v>5708</v>
      </c>
      <c r="W1443" t="s">
        <v>5709</v>
      </c>
      <c r="X1443" s="2">
        <f>IFERROR(VLOOKUP(I1443,'Rate Sheet'!$D:$F,3,FALSE),0)</f>
        <v>14.333333333333334</v>
      </c>
      <c r="Y1443" s="2">
        <f>IFERROR(VLOOKUP(J1443,'Rate Sheet'!$D:$F,3,FALSE),0)</f>
        <v>0</v>
      </c>
      <c r="Z1443" s="2">
        <f>IFERROR(VLOOKUP(K1443,'Rate Sheet'!$D:$F,3,FALSE),0)</f>
        <v>0</v>
      </c>
      <c r="AA1443" s="2">
        <f t="shared" si="22"/>
        <v>14.333333333333334</v>
      </c>
      <c r="AB1443">
        <v>1</v>
      </c>
    </row>
    <row r="1444" spans="1:28" x14ac:dyDescent="0.25">
      <c r="A1444" t="s">
        <v>33</v>
      </c>
      <c r="B1444" t="s">
        <v>5264</v>
      </c>
      <c r="C1444" t="s">
        <v>21</v>
      </c>
      <c r="D1444" t="s">
        <v>5264</v>
      </c>
      <c r="E1444" t="s">
        <v>5265</v>
      </c>
      <c r="F1444" t="s">
        <v>5266</v>
      </c>
      <c r="G1444" t="s">
        <v>24</v>
      </c>
      <c r="H1444" t="s">
        <v>5267</v>
      </c>
      <c r="I1444" t="s">
        <v>73</v>
      </c>
      <c r="N1444" t="s">
        <v>3868</v>
      </c>
      <c r="S1444" t="s">
        <v>75</v>
      </c>
      <c r="V1444" t="s">
        <v>5708</v>
      </c>
      <c r="W1444" t="s">
        <v>5709</v>
      </c>
      <c r="X1444" s="2">
        <f>IFERROR(VLOOKUP(I1444,'Rate Sheet'!$D:$F,3,FALSE),0)</f>
        <v>8.6983333333333324</v>
      </c>
      <c r="Y1444" s="2">
        <f>IFERROR(VLOOKUP(J1444,'Rate Sheet'!$D:$F,3,FALSE),0)</f>
        <v>0</v>
      </c>
      <c r="Z1444" s="2">
        <f>IFERROR(VLOOKUP(K1444,'Rate Sheet'!$D:$F,3,FALSE),0)</f>
        <v>0</v>
      </c>
      <c r="AA1444" s="2">
        <f t="shared" si="22"/>
        <v>8.6983333333333324</v>
      </c>
      <c r="AB1444">
        <v>1</v>
      </c>
    </row>
    <row r="1445" spans="1:28" x14ac:dyDescent="0.25">
      <c r="A1445" t="s">
        <v>33</v>
      </c>
      <c r="B1445" t="s">
        <v>5268</v>
      </c>
      <c r="C1445" t="s">
        <v>21</v>
      </c>
      <c r="D1445" t="s">
        <v>5268</v>
      </c>
      <c r="E1445" t="s">
        <v>1658</v>
      </c>
      <c r="F1445" t="s">
        <v>5269</v>
      </c>
      <c r="G1445" t="s">
        <v>24</v>
      </c>
      <c r="H1445" t="s">
        <v>5270</v>
      </c>
      <c r="I1445" t="s">
        <v>46</v>
      </c>
      <c r="N1445" t="s">
        <v>53</v>
      </c>
      <c r="S1445" t="s">
        <v>48</v>
      </c>
      <c r="V1445" t="s">
        <v>5580</v>
      </c>
      <c r="W1445" t="s">
        <v>5581</v>
      </c>
      <c r="X1445" s="2">
        <f>IFERROR(VLOOKUP(I1445,'Rate Sheet'!$D:$F,3,FALSE),0)</f>
        <v>14.333333333333334</v>
      </c>
      <c r="Y1445" s="2">
        <f>IFERROR(VLOOKUP(J1445,'Rate Sheet'!$D:$F,3,FALSE),0)</f>
        <v>0</v>
      </c>
      <c r="Z1445" s="2">
        <f>IFERROR(VLOOKUP(K1445,'Rate Sheet'!$D:$F,3,FALSE),0)</f>
        <v>0</v>
      </c>
      <c r="AA1445" s="2">
        <f t="shared" si="22"/>
        <v>14.333333333333334</v>
      </c>
      <c r="AB1445">
        <v>1</v>
      </c>
    </row>
    <row r="1446" spans="1:28" x14ac:dyDescent="0.25">
      <c r="A1446" t="s">
        <v>33</v>
      </c>
      <c r="B1446" t="s">
        <v>5271</v>
      </c>
      <c r="C1446" t="s">
        <v>21</v>
      </c>
      <c r="D1446" t="s">
        <v>5271</v>
      </c>
      <c r="E1446" t="s">
        <v>5272</v>
      </c>
      <c r="F1446" t="s">
        <v>5273</v>
      </c>
      <c r="G1446" t="s">
        <v>24</v>
      </c>
      <c r="H1446" t="s">
        <v>5274</v>
      </c>
      <c r="I1446" t="s">
        <v>73</v>
      </c>
      <c r="N1446" t="s">
        <v>389</v>
      </c>
      <c r="S1446" t="s">
        <v>75</v>
      </c>
      <c r="V1446" t="s">
        <v>5640</v>
      </c>
      <c r="W1446" t="s">
        <v>5641</v>
      </c>
      <c r="X1446" s="2">
        <f>IFERROR(VLOOKUP(I1446,'Rate Sheet'!$D:$F,3,FALSE),0)</f>
        <v>8.6983333333333324</v>
      </c>
      <c r="Y1446" s="2">
        <f>IFERROR(VLOOKUP(J1446,'Rate Sheet'!$D:$F,3,FALSE),0)</f>
        <v>0</v>
      </c>
      <c r="Z1446" s="2">
        <f>IFERROR(VLOOKUP(K1446,'Rate Sheet'!$D:$F,3,FALSE),0)</f>
        <v>0</v>
      </c>
      <c r="AA1446" s="2">
        <f t="shared" si="22"/>
        <v>8.6983333333333324</v>
      </c>
      <c r="AB1446">
        <v>1</v>
      </c>
    </row>
    <row r="1447" spans="1:28" x14ac:dyDescent="0.25">
      <c r="A1447" t="s">
        <v>33</v>
      </c>
      <c r="B1447" t="s">
        <v>5275</v>
      </c>
      <c r="C1447" t="s">
        <v>29</v>
      </c>
      <c r="D1447" t="s">
        <v>5275</v>
      </c>
      <c r="E1447" t="s">
        <v>5276</v>
      </c>
      <c r="F1447" t="s">
        <v>5277</v>
      </c>
      <c r="G1447" t="s">
        <v>24</v>
      </c>
      <c r="H1447" t="s">
        <v>5278</v>
      </c>
      <c r="I1447" t="s">
        <v>73</v>
      </c>
      <c r="N1447" t="s">
        <v>511</v>
      </c>
      <c r="S1447" t="s">
        <v>75</v>
      </c>
      <c r="V1447" t="s">
        <v>5617</v>
      </c>
      <c r="W1447" t="s">
        <v>511</v>
      </c>
      <c r="X1447" s="2">
        <f>IFERROR(VLOOKUP(I1447,'Rate Sheet'!$D:$F,3,FALSE),0)</f>
        <v>8.6983333333333324</v>
      </c>
      <c r="Y1447" s="2">
        <f>IFERROR(VLOOKUP(J1447,'Rate Sheet'!$D:$F,3,FALSE),0)</f>
        <v>0</v>
      </c>
      <c r="Z1447" s="2">
        <f>IFERROR(VLOOKUP(K1447,'Rate Sheet'!$D:$F,3,FALSE),0)</f>
        <v>0</v>
      </c>
      <c r="AA1447" s="2">
        <f t="shared" si="22"/>
        <v>8.6983333333333324</v>
      </c>
      <c r="AB1447">
        <v>1</v>
      </c>
    </row>
    <row r="1448" spans="1:28" x14ac:dyDescent="0.25">
      <c r="A1448" t="s">
        <v>33</v>
      </c>
      <c r="B1448" t="s">
        <v>5279</v>
      </c>
      <c r="C1448" t="s">
        <v>29</v>
      </c>
      <c r="D1448" t="s">
        <v>5279</v>
      </c>
      <c r="E1448" t="s">
        <v>5280</v>
      </c>
      <c r="F1448" t="s">
        <v>3504</v>
      </c>
      <c r="G1448" t="s">
        <v>24</v>
      </c>
      <c r="H1448" t="s">
        <v>5281</v>
      </c>
      <c r="X1448" s="2">
        <f>IFERROR(VLOOKUP(I1448,'Rate Sheet'!$D:$F,3,FALSE),0)</f>
        <v>0</v>
      </c>
      <c r="Y1448" s="2">
        <f>IFERROR(VLOOKUP(J1448,'Rate Sheet'!$D:$F,3,FALSE),0)</f>
        <v>0</v>
      </c>
      <c r="Z1448" s="2">
        <f>IFERROR(VLOOKUP(K1448,'Rate Sheet'!$D:$F,3,FALSE),0)</f>
        <v>0</v>
      </c>
      <c r="AA1448" s="2">
        <f t="shared" si="22"/>
        <v>0</v>
      </c>
    </row>
    <row r="1449" spans="1:28" x14ac:dyDescent="0.25">
      <c r="A1449" t="s">
        <v>33</v>
      </c>
      <c r="B1449" t="s">
        <v>5282</v>
      </c>
      <c r="C1449" t="s">
        <v>21</v>
      </c>
      <c r="D1449" t="s">
        <v>5282</v>
      </c>
      <c r="E1449" t="s">
        <v>3549</v>
      </c>
      <c r="F1449" t="s">
        <v>5283</v>
      </c>
      <c r="G1449" t="s">
        <v>24</v>
      </c>
      <c r="H1449" t="s">
        <v>5284</v>
      </c>
      <c r="I1449" t="s">
        <v>73</v>
      </c>
      <c r="N1449" t="s">
        <v>755</v>
      </c>
      <c r="S1449" t="s">
        <v>75</v>
      </c>
      <c r="V1449" t="s">
        <v>5694</v>
      </c>
      <c r="W1449" t="s">
        <v>755</v>
      </c>
      <c r="X1449" s="2">
        <f>IFERROR(VLOOKUP(I1449,'Rate Sheet'!$D:$F,3,FALSE),0)</f>
        <v>8.6983333333333324</v>
      </c>
      <c r="Y1449" s="2">
        <f>IFERROR(VLOOKUP(J1449,'Rate Sheet'!$D:$F,3,FALSE),0)</f>
        <v>0</v>
      </c>
      <c r="Z1449" s="2">
        <f>IFERROR(VLOOKUP(K1449,'Rate Sheet'!$D:$F,3,FALSE),0)</f>
        <v>0</v>
      </c>
      <c r="AA1449" s="2">
        <f t="shared" si="22"/>
        <v>8.6983333333333324</v>
      </c>
      <c r="AB1449">
        <v>1</v>
      </c>
    </row>
    <row r="1450" spans="1:28" x14ac:dyDescent="0.25">
      <c r="A1450" t="s">
        <v>33</v>
      </c>
      <c r="B1450" t="s">
        <v>5285</v>
      </c>
      <c r="C1450" t="s">
        <v>29</v>
      </c>
      <c r="D1450" t="s">
        <v>5285</v>
      </c>
      <c r="E1450" t="s">
        <v>2527</v>
      </c>
      <c r="F1450" t="s">
        <v>650</v>
      </c>
      <c r="G1450" t="s">
        <v>24</v>
      </c>
      <c r="H1450" t="s">
        <v>5286</v>
      </c>
      <c r="I1450" t="s">
        <v>73</v>
      </c>
      <c r="N1450" t="s">
        <v>4159</v>
      </c>
      <c r="S1450" t="s">
        <v>75</v>
      </c>
      <c r="V1450" t="s">
        <v>5766</v>
      </c>
      <c r="W1450" t="s">
        <v>4159</v>
      </c>
      <c r="X1450" s="2">
        <f>IFERROR(VLOOKUP(I1450,'Rate Sheet'!$D:$F,3,FALSE),0)</f>
        <v>8.6983333333333324</v>
      </c>
      <c r="Y1450" s="2">
        <f>IFERROR(VLOOKUP(J1450,'Rate Sheet'!$D:$F,3,FALSE),0)</f>
        <v>0</v>
      </c>
      <c r="Z1450" s="2">
        <f>IFERROR(VLOOKUP(K1450,'Rate Sheet'!$D:$F,3,FALSE),0)</f>
        <v>0</v>
      </c>
      <c r="AA1450" s="2">
        <f t="shared" si="22"/>
        <v>8.6983333333333324</v>
      </c>
      <c r="AB1450">
        <v>1</v>
      </c>
    </row>
    <row r="1451" spans="1:28" x14ac:dyDescent="0.25">
      <c r="A1451" t="s">
        <v>33</v>
      </c>
      <c r="B1451" t="s">
        <v>5287</v>
      </c>
      <c r="C1451" t="s">
        <v>21</v>
      </c>
      <c r="D1451" t="s">
        <v>5287</v>
      </c>
      <c r="E1451" t="s">
        <v>5288</v>
      </c>
      <c r="F1451" t="s">
        <v>78</v>
      </c>
      <c r="G1451" t="s">
        <v>24</v>
      </c>
      <c r="H1451" t="s">
        <v>5289</v>
      </c>
      <c r="I1451" t="s">
        <v>73</v>
      </c>
      <c r="N1451" t="s">
        <v>4159</v>
      </c>
      <c r="S1451" t="s">
        <v>75</v>
      </c>
      <c r="V1451" t="s">
        <v>5766</v>
      </c>
      <c r="W1451" t="s">
        <v>4159</v>
      </c>
      <c r="X1451" s="2">
        <f>IFERROR(VLOOKUP(I1451,'Rate Sheet'!$D:$F,3,FALSE),0)</f>
        <v>8.6983333333333324</v>
      </c>
      <c r="Y1451" s="2">
        <f>IFERROR(VLOOKUP(J1451,'Rate Sheet'!$D:$F,3,FALSE),0)</f>
        <v>0</v>
      </c>
      <c r="Z1451" s="2">
        <f>IFERROR(VLOOKUP(K1451,'Rate Sheet'!$D:$F,3,FALSE),0)</f>
        <v>0</v>
      </c>
      <c r="AA1451" s="2">
        <f t="shared" si="22"/>
        <v>8.6983333333333324</v>
      </c>
      <c r="AB1451">
        <v>1</v>
      </c>
    </row>
    <row r="1452" spans="1:28" x14ac:dyDescent="0.25">
      <c r="A1452" t="s">
        <v>33</v>
      </c>
      <c r="B1452" t="s">
        <v>5290</v>
      </c>
      <c r="C1452" t="s">
        <v>29</v>
      </c>
      <c r="D1452" t="s">
        <v>5290</v>
      </c>
      <c r="E1452" t="s">
        <v>5291</v>
      </c>
      <c r="G1452" t="s">
        <v>24</v>
      </c>
      <c r="H1452" t="s">
        <v>5292</v>
      </c>
      <c r="I1452" t="s">
        <v>73</v>
      </c>
      <c r="N1452" t="s">
        <v>4159</v>
      </c>
      <c r="S1452" t="s">
        <v>75</v>
      </c>
      <c r="V1452" t="s">
        <v>5766</v>
      </c>
      <c r="W1452" t="s">
        <v>4159</v>
      </c>
      <c r="X1452" s="2">
        <f>IFERROR(VLOOKUP(I1452,'Rate Sheet'!$D:$F,3,FALSE),0)</f>
        <v>8.6983333333333324</v>
      </c>
      <c r="Y1452" s="2">
        <f>IFERROR(VLOOKUP(J1452,'Rate Sheet'!$D:$F,3,FALSE),0)</f>
        <v>0</v>
      </c>
      <c r="Z1452" s="2">
        <f>IFERROR(VLOOKUP(K1452,'Rate Sheet'!$D:$F,3,FALSE),0)</f>
        <v>0</v>
      </c>
      <c r="AA1452" s="2">
        <f t="shared" si="22"/>
        <v>8.6983333333333324</v>
      </c>
      <c r="AB1452">
        <v>1</v>
      </c>
    </row>
    <row r="1453" spans="1:28" x14ac:dyDescent="0.25">
      <c r="A1453" t="s">
        <v>33</v>
      </c>
      <c r="B1453" t="s">
        <v>5293</v>
      </c>
      <c r="C1453" t="s">
        <v>29</v>
      </c>
      <c r="D1453" t="s">
        <v>5293</v>
      </c>
      <c r="E1453" t="s">
        <v>1738</v>
      </c>
      <c r="F1453" t="s">
        <v>876</v>
      </c>
      <c r="G1453" t="s">
        <v>24</v>
      </c>
      <c r="H1453" t="s">
        <v>5294</v>
      </c>
      <c r="I1453" t="s">
        <v>73</v>
      </c>
      <c r="N1453" t="s">
        <v>4159</v>
      </c>
      <c r="S1453" t="s">
        <v>75</v>
      </c>
      <c r="V1453" t="s">
        <v>5766</v>
      </c>
      <c r="W1453" t="s">
        <v>4159</v>
      </c>
      <c r="X1453" s="2">
        <f>IFERROR(VLOOKUP(I1453,'Rate Sheet'!$D:$F,3,FALSE),0)</f>
        <v>8.6983333333333324</v>
      </c>
      <c r="Y1453" s="2">
        <f>IFERROR(VLOOKUP(J1453,'Rate Sheet'!$D:$F,3,FALSE),0)</f>
        <v>0</v>
      </c>
      <c r="Z1453" s="2">
        <f>IFERROR(VLOOKUP(K1453,'Rate Sheet'!$D:$F,3,FALSE),0)</f>
        <v>0</v>
      </c>
      <c r="AA1453" s="2">
        <f t="shared" ref="AA1453:AA1508" si="23">SUM(X1453:Z1453)</f>
        <v>8.6983333333333324</v>
      </c>
      <c r="AB1453">
        <v>1</v>
      </c>
    </row>
    <row r="1454" spans="1:28" x14ac:dyDescent="0.25">
      <c r="A1454" t="s">
        <v>33</v>
      </c>
      <c r="B1454" t="s">
        <v>5295</v>
      </c>
      <c r="C1454" t="s">
        <v>21</v>
      </c>
      <c r="D1454" t="s">
        <v>5295</v>
      </c>
      <c r="E1454" t="s">
        <v>5296</v>
      </c>
      <c r="F1454" t="s">
        <v>5297</v>
      </c>
      <c r="G1454" t="s">
        <v>24</v>
      </c>
      <c r="H1454" t="s">
        <v>5298</v>
      </c>
      <c r="I1454" t="s">
        <v>46</v>
      </c>
      <c r="N1454" t="s">
        <v>3868</v>
      </c>
      <c r="S1454" t="s">
        <v>48</v>
      </c>
      <c r="V1454" t="s">
        <v>5708</v>
      </c>
      <c r="W1454" t="s">
        <v>5709</v>
      </c>
      <c r="X1454" s="2">
        <f>IFERROR(VLOOKUP(I1454,'Rate Sheet'!$D:$F,3,FALSE),0)</f>
        <v>14.333333333333334</v>
      </c>
      <c r="Y1454" s="2">
        <f>IFERROR(VLOOKUP(J1454,'Rate Sheet'!$D:$F,3,FALSE),0)</f>
        <v>0</v>
      </c>
      <c r="Z1454" s="2">
        <f>IFERROR(VLOOKUP(K1454,'Rate Sheet'!$D:$F,3,FALSE),0)</f>
        <v>0</v>
      </c>
      <c r="AA1454" s="2">
        <f t="shared" si="23"/>
        <v>14.333333333333334</v>
      </c>
      <c r="AB1454">
        <v>1</v>
      </c>
    </row>
    <row r="1455" spans="1:28" x14ac:dyDescent="0.25">
      <c r="A1455" t="s">
        <v>33</v>
      </c>
      <c r="B1455" t="s">
        <v>5299</v>
      </c>
      <c r="C1455" t="s">
        <v>21</v>
      </c>
      <c r="D1455" t="s">
        <v>5299</v>
      </c>
      <c r="E1455" t="s">
        <v>3597</v>
      </c>
      <c r="F1455" t="s">
        <v>580</v>
      </c>
      <c r="G1455" t="s">
        <v>24</v>
      </c>
      <c r="H1455" t="s">
        <v>5300</v>
      </c>
      <c r="I1455" t="s">
        <v>46</v>
      </c>
      <c r="N1455" t="s">
        <v>3258</v>
      </c>
      <c r="S1455" t="s">
        <v>48</v>
      </c>
      <c r="V1455" t="s">
        <v>5673</v>
      </c>
      <c r="W1455" t="s">
        <v>5674</v>
      </c>
      <c r="X1455" s="2">
        <f>IFERROR(VLOOKUP(I1455,'Rate Sheet'!$D:$F,3,FALSE),0)</f>
        <v>14.333333333333334</v>
      </c>
      <c r="Y1455" s="2">
        <f>IFERROR(VLOOKUP(J1455,'Rate Sheet'!$D:$F,3,FALSE),0)</f>
        <v>0</v>
      </c>
      <c r="Z1455" s="2">
        <f>IFERROR(VLOOKUP(K1455,'Rate Sheet'!$D:$F,3,FALSE),0)</f>
        <v>0</v>
      </c>
      <c r="AA1455" s="2">
        <f t="shared" si="23"/>
        <v>14.333333333333334</v>
      </c>
      <c r="AB1455">
        <v>1</v>
      </c>
    </row>
    <row r="1456" spans="1:28" x14ac:dyDescent="0.25">
      <c r="A1456" t="s">
        <v>33</v>
      </c>
      <c r="B1456" t="s">
        <v>5301</v>
      </c>
      <c r="C1456" t="s">
        <v>21</v>
      </c>
      <c r="D1456" t="s">
        <v>5301</v>
      </c>
      <c r="E1456" t="s">
        <v>5302</v>
      </c>
      <c r="F1456" t="s">
        <v>5303</v>
      </c>
      <c r="G1456" t="s">
        <v>24</v>
      </c>
      <c r="H1456" t="s">
        <v>5304</v>
      </c>
      <c r="I1456" t="s">
        <v>46</v>
      </c>
      <c r="N1456" t="s">
        <v>3868</v>
      </c>
      <c r="S1456" t="s">
        <v>48</v>
      </c>
      <c r="V1456" t="s">
        <v>5584</v>
      </c>
      <c r="W1456" t="s">
        <v>63</v>
      </c>
      <c r="X1456" s="2">
        <f>IFERROR(VLOOKUP(I1456,'Rate Sheet'!$D:$F,3,FALSE),0)</f>
        <v>14.333333333333334</v>
      </c>
      <c r="Y1456" s="2">
        <f>IFERROR(VLOOKUP(J1456,'Rate Sheet'!$D:$F,3,FALSE),0)</f>
        <v>0</v>
      </c>
      <c r="Z1456" s="2">
        <f>IFERROR(VLOOKUP(K1456,'Rate Sheet'!$D:$F,3,FALSE),0)</f>
        <v>0</v>
      </c>
      <c r="AA1456" s="2">
        <f t="shared" si="23"/>
        <v>14.333333333333334</v>
      </c>
      <c r="AB1456">
        <v>1</v>
      </c>
    </row>
    <row r="1457" spans="1:28" x14ac:dyDescent="0.25">
      <c r="A1457" t="s">
        <v>33</v>
      </c>
      <c r="B1457" t="s">
        <v>5305</v>
      </c>
      <c r="C1457" t="s">
        <v>21</v>
      </c>
      <c r="D1457" t="s">
        <v>5305</v>
      </c>
      <c r="E1457" t="s">
        <v>5306</v>
      </c>
      <c r="F1457" t="s">
        <v>5307</v>
      </c>
      <c r="G1457" t="s">
        <v>24</v>
      </c>
      <c r="H1457" t="s">
        <v>5308</v>
      </c>
      <c r="I1457" t="s">
        <v>46</v>
      </c>
      <c r="N1457" t="s">
        <v>3868</v>
      </c>
      <c r="S1457" t="s">
        <v>48</v>
      </c>
      <c r="V1457" t="s">
        <v>5708</v>
      </c>
      <c r="W1457" t="s">
        <v>5709</v>
      </c>
      <c r="X1457" s="2">
        <f>IFERROR(VLOOKUP(I1457,'Rate Sheet'!$D:$F,3,FALSE),0)</f>
        <v>14.333333333333334</v>
      </c>
      <c r="Y1457" s="2">
        <f>IFERROR(VLOOKUP(J1457,'Rate Sheet'!$D:$F,3,FALSE),0)</f>
        <v>0</v>
      </c>
      <c r="Z1457" s="2">
        <f>IFERROR(VLOOKUP(K1457,'Rate Sheet'!$D:$F,3,FALSE),0)</f>
        <v>0</v>
      </c>
      <c r="AA1457" s="2">
        <f t="shared" si="23"/>
        <v>14.333333333333334</v>
      </c>
      <c r="AB1457">
        <v>1</v>
      </c>
    </row>
    <row r="1458" spans="1:28" x14ac:dyDescent="0.25">
      <c r="A1458" t="s">
        <v>33</v>
      </c>
      <c r="B1458" t="s">
        <v>5309</v>
      </c>
      <c r="C1458" t="s">
        <v>21</v>
      </c>
      <c r="D1458" t="s">
        <v>5309</v>
      </c>
      <c r="E1458" t="s">
        <v>5310</v>
      </c>
      <c r="F1458" t="s">
        <v>3320</v>
      </c>
      <c r="G1458" t="s">
        <v>24</v>
      </c>
      <c r="H1458" t="s">
        <v>5311</v>
      </c>
      <c r="N1458" t="s">
        <v>5312</v>
      </c>
      <c r="R1458" t="s">
        <v>48</v>
      </c>
      <c r="X1458" s="2">
        <f>IFERROR(VLOOKUP(I1458,'Rate Sheet'!$D:$F,3,FALSE),0)</f>
        <v>0</v>
      </c>
      <c r="Y1458" s="2">
        <f>IFERROR(VLOOKUP(J1458,'Rate Sheet'!$D:$F,3,FALSE),0)</f>
        <v>0</v>
      </c>
      <c r="Z1458" s="2">
        <f>IFERROR(VLOOKUP(K1458,'Rate Sheet'!$D:$F,3,FALSE),0)</f>
        <v>0</v>
      </c>
      <c r="AA1458" s="2">
        <f t="shared" si="23"/>
        <v>0</v>
      </c>
    </row>
    <row r="1459" spans="1:28" x14ac:dyDescent="0.25">
      <c r="A1459" t="s">
        <v>33</v>
      </c>
      <c r="B1459" t="s">
        <v>5313</v>
      </c>
      <c r="C1459" t="s">
        <v>21</v>
      </c>
      <c r="D1459" t="s">
        <v>5313</v>
      </c>
      <c r="E1459" t="s">
        <v>1619</v>
      </c>
      <c r="F1459" t="s">
        <v>5314</v>
      </c>
      <c r="G1459" t="s">
        <v>24</v>
      </c>
      <c r="H1459" t="s">
        <v>5315</v>
      </c>
      <c r="I1459" t="s">
        <v>46</v>
      </c>
      <c r="N1459" t="s">
        <v>166</v>
      </c>
      <c r="S1459" t="s">
        <v>48</v>
      </c>
      <c r="V1459" t="s">
        <v>5606</v>
      </c>
      <c r="W1459" t="s">
        <v>166</v>
      </c>
      <c r="X1459" s="2">
        <f>IFERROR(VLOOKUP(I1459,'Rate Sheet'!$D:$F,3,FALSE),0)</f>
        <v>14.333333333333334</v>
      </c>
      <c r="Y1459" s="2">
        <f>IFERROR(VLOOKUP(J1459,'Rate Sheet'!$D:$F,3,FALSE),0)</f>
        <v>0</v>
      </c>
      <c r="Z1459" s="2">
        <f>IFERROR(VLOOKUP(K1459,'Rate Sheet'!$D:$F,3,FALSE),0)</f>
        <v>0</v>
      </c>
      <c r="AA1459" s="2">
        <f t="shared" si="23"/>
        <v>14.333333333333334</v>
      </c>
      <c r="AB1459">
        <v>1</v>
      </c>
    </row>
    <row r="1460" spans="1:28" x14ac:dyDescent="0.25">
      <c r="A1460" t="s">
        <v>33</v>
      </c>
      <c r="B1460" t="s">
        <v>5316</v>
      </c>
      <c r="C1460" t="s">
        <v>21</v>
      </c>
      <c r="D1460" t="s">
        <v>5316</v>
      </c>
      <c r="E1460" t="s">
        <v>2819</v>
      </c>
      <c r="F1460" t="s">
        <v>5317</v>
      </c>
      <c r="G1460" t="s">
        <v>24</v>
      </c>
      <c r="H1460" t="s">
        <v>5318</v>
      </c>
      <c r="I1460" t="s">
        <v>73</v>
      </c>
      <c r="N1460" t="s">
        <v>1179</v>
      </c>
      <c r="S1460" t="s">
        <v>75</v>
      </c>
      <c r="V1460" t="s">
        <v>5702</v>
      </c>
      <c r="W1460" t="s">
        <v>2507</v>
      </c>
      <c r="X1460" s="2">
        <f>IFERROR(VLOOKUP(I1460,'Rate Sheet'!$D:$F,3,FALSE),0)</f>
        <v>8.6983333333333324</v>
      </c>
      <c r="Y1460" s="2">
        <f>IFERROR(VLOOKUP(J1460,'Rate Sheet'!$D:$F,3,FALSE),0)</f>
        <v>0</v>
      </c>
      <c r="Z1460" s="2">
        <f>IFERROR(VLOOKUP(K1460,'Rate Sheet'!$D:$F,3,FALSE),0)</f>
        <v>0</v>
      </c>
      <c r="AA1460" s="2">
        <f t="shared" si="23"/>
        <v>8.6983333333333324</v>
      </c>
      <c r="AB1460">
        <v>1</v>
      </c>
    </row>
    <row r="1461" spans="1:28" x14ac:dyDescent="0.25">
      <c r="A1461" t="s">
        <v>33</v>
      </c>
      <c r="B1461" t="s">
        <v>5319</v>
      </c>
      <c r="C1461" t="s">
        <v>92</v>
      </c>
      <c r="D1461" t="s">
        <v>5319</v>
      </c>
      <c r="E1461" t="s">
        <v>200</v>
      </c>
      <c r="F1461" t="s">
        <v>5320</v>
      </c>
      <c r="G1461" t="s">
        <v>24</v>
      </c>
      <c r="H1461" t="s">
        <v>5321</v>
      </c>
      <c r="X1461" s="2">
        <f>IFERROR(VLOOKUP(I1461,'Rate Sheet'!$D:$F,3,FALSE),0)</f>
        <v>0</v>
      </c>
      <c r="Y1461" s="2">
        <f>IFERROR(VLOOKUP(J1461,'Rate Sheet'!$D:$F,3,FALSE),0)</f>
        <v>0</v>
      </c>
      <c r="Z1461" s="2">
        <f>IFERROR(VLOOKUP(K1461,'Rate Sheet'!$D:$F,3,FALSE),0)</f>
        <v>0</v>
      </c>
      <c r="AA1461" s="2">
        <f t="shared" si="23"/>
        <v>0</v>
      </c>
    </row>
    <row r="1462" spans="1:28" x14ac:dyDescent="0.25">
      <c r="A1462" t="s">
        <v>33</v>
      </c>
      <c r="B1462" t="s">
        <v>5322</v>
      </c>
      <c r="C1462" t="s">
        <v>29</v>
      </c>
      <c r="D1462" t="s">
        <v>5322</v>
      </c>
      <c r="E1462" t="s">
        <v>3345</v>
      </c>
      <c r="F1462" t="s">
        <v>899</v>
      </c>
      <c r="G1462" t="s">
        <v>24</v>
      </c>
      <c r="H1462" t="s">
        <v>5323</v>
      </c>
      <c r="I1462" t="s">
        <v>46</v>
      </c>
      <c r="N1462" t="s">
        <v>861</v>
      </c>
      <c r="S1462" t="s">
        <v>48</v>
      </c>
      <c r="V1462" t="s">
        <v>5728</v>
      </c>
      <c r="W1462" t="s">
        <v>861</v>
      </c>
      <c r="X1462" s="2">
        <f>IFERROR(VLOOKUP(I1462,'Rate Sheet'!$D:$F,3,FALSE),0)</f>
        <v>14.333333333333334</v>
      </c>
      <c r="Y1462" s="2">
        <f>IFERROR(VLOOKUP(J1462,'Rate Sheet'!$D:$F,3,FALSE),0)</f>
        <v>0</v>
      </c>
      <c r="Z1462" s="2">
        <f>IFERROR(VLOOKUP(K1462,'Rate Sheet'!$D:$F,3,FALSE),0)</f>
        <v>0</v>
      </c>
      <c r="AA1462" s="2">
        <f t="shared" si="23"/>
        <v>14.333333333333334</v>
      </c>
      <c r="AB1462">
        <v>1</v>
      </c>
    </row>
    <row r="1463" spans="1:28" x14ac:dyDescent="0.25">
      <c r="A1463" t="s">
        <v>33</v>
      </c>
      <c r="B1463" t="s">
        <v>5328</v>
      </c>
      <c r="C1463" t="s">
        <v>21</v>
      </c>
      <c r="D1463" t="s">
        <v>5328</v>
      </c>
      <c r="E1463" t="s">
        <v>302</v>
      </c>
      <c r="F1463" t="s">
        <v>5329</v>
      </c>
      <c r="G1463" t="s">
        <v>24</v>
      </c>
      <c r="H1463" t="s">
        <v>5330</v>
      </c>
      <c r="I1463" t="s">
        <v>46</v>
      </c>
      <c r="N1463" t="s">
        <v>620</v>
      </c>
      <c r="S1463" t="s">
        <v>48</v>
      </c>
      <c r="V1463" t="s">
        <v>5659</v>
      </c>
      <c r="W1463" t="s">
        <v>620</v>
      </c>
      <c r="X1463" s="2">
        <f>IFERROR(VLOOKUP(I1463,'Rate Sheet'!$D:$F,3,FALSE),0)</f>
        <v>14.333333333333334</v>
      </c>
      <c r="Y1463" s="2">
        <f>IFERROR(VLOOKUP(J1463,'Rate Sheet'!$D:$F,3,FALSE),0)</f>
        <v>0</v>
      </c>
      <c r="Z1463" s="2">
        <f>IFERROR(VLOOKUP(K1463,'Rate Sheet'!$D:$F,3,FALSE),0)</f>
        <v>0</v>
      </c>
      <c r="AA1463" s="2">
        <f t="shared" si="23"/>
        <v>14.333333333333334</v>
      </c>
      <c r="AB1463">
        <v>1</v>
      </c>
    </row>
    <row r="1464" spans="1:28" x14ac:dyDescent="0.25">
      <c r="A1464" t="s">
        <v>33</v>
      </c>
      <c r="B1464" t="s">
        <v>5331</v>
      </c>
      <c r="C1464" t="s">
        <v>21</v>
      </c>
      <c r="D1464" t="s">
        <v>5331</v>
      </c>
      <c r="E1464" t="s">
        <v>187</v>
      </c>
      <c r="F1464" t="s">
        <v>5332</v>
      </c>
      <c r="G1464" t="s">
        <v>24</v>
      </c>
      <c r="H1464" t="s">
        <v>5333</v>
      </c>
      <c r="X1464" s="2">
        <f>IFERROR(VLOOKUP(I1464,'Rate Sheet'!$D:$F,3,FALSE),0)</f>
        <v>0</v>
      </c>
      <c r="Y1464" s="2">
        <f>IFERROR(VLOOKUP(J1464,'Rate Sheet'!$D:$F,3,FALSE),0)</f>
        <v>0</v>
      </c>
      <c r="Z1464" s="2">
        <f>IFERROR(VLOOKUP(K1464,'Rate Sheet'!$D:$F,3,FALSE),0)</f>
        <v>0</v>
      </c>
      <c r="AA1464" s="2">
        <f t="shared" si="23"/>
        <v>0</v>
      </c>
    </row>
    <row r="1465" spans="1:28" x14ac:dyDescent="0.25">
      <c r="A1465" t="s">
        <v>33</v>
      </c>
      <c r="B1465" t="s">
        <v>5334</v>
      </c>
      <c r="C1465" t="s">
        <v>21</v>
      </c>
      <c r="D1465" t="s">
        <v>5334</v>
      </c>
      <c r="E1465" t="s">
        <v>5335</v>
      </c>
      <c r="F1465" t="s">
        <v>5336</v>
      </c>
      <c r="G1465" t="s">
        <v>24</v>
      </c>
      <c r="H1465" t="s">
        <v>5337</v>
      </c>
      <c r="I1465" t="s">
        <v>73</v>
      </c>
      <c r="N1465" t="s">
        <v>4229</v>
      </c>
      <c r="S1465" t="s">
        <v>75</v>
      </c>
      <c r="V1465" t="s">
        <v>5708</v>
      </c>
      <c r="W1465" t="s">
        <v>5709</v>
      </c>
      <c r="X1465" s="2">
        <f>IFERROR(VLOOKUP(I1465,'Rate Sheet'!$D:$F,3,FALSE),0)</f>
        <v>8.6983333333333324</v>
      </c>
      <c r="Y1465" s="2">
        <f>IFERROR(VLOOKUP(J1465,'Rate Sheet'!$D:$F,3,FALSE),0)</f>
        <v>0</v>
      </c>
      <c r="Z1465" s="2">
        <f>IFERROR(VLOOKUP(K1465,'Rate Sheet'!$D:$F,3,FALSE),0)</f>
        <v>0</v>
      </c>
      <c r="AA1465" s="2">
        <f t="shared" si="23"/>
        <v>8.6983333333333324</v>
      </c>
      <c r="AB1465">
        <v>1</v>
      </c>
    </row>
    <row r="1466" spans="1:28" x14ac:dyDescent="0.25">
      <c r="A1466" t="s">
        <v>33</v>
      </c>
      <c r="B1466" t="s">
        <v>5338</v>
      </c>
      <c r="C1466" t="s">
        <v>21</v>
      </c>
      <c r="D1466" t="s">
        <v>5338</v>
      </c>
      <c r="E1466" t="s">
        <v>5339</v>
      </c>
      <c r="F1466" t="s">
        <v>5340</v>
      </c>
      <c r="G1466" t="s">
        <v>24</v>
      </c>
      <c r="H1466" t="s">
        <v>5341</v>
      </c>
      <c r="I1466" t="s">
        <v>46</v>
      </c>
      <c r="N1466" t="s">
        <v>3868</v>
      </c>
      <c r="S1466" t="s">
        <v>48</v>
      </c>
      <c r="V1466" t="s">
        <v>5708</v>
      </c>
      <c r="W1466" t="s">
        <v>5709</v>
      </c>
      <c r="X1466" s="2">
        <f>IFERROR(VLOOKUP(I1466,'Rate Sheet'!$D:$F,3,FALSE),0)</f>
        <v>14.333333333333334</v>
      </c>
      <c r="Y1466" s="2">
        <f>IFERROR(VLOOKUP(J1466,'Rate Sheet'!$D:$F,3,FALSE),0)</f>
        <v>0</v>
      </c>
      <c r="Z1466" s="2">
        <f>IFERROR(VLOOKUP(K1466,'Rate Sheet'!$D:$F,3,FALSE),0)</f>
        <v>0</v>
      </c>
      <c r="AA1466" s="2">
        <f t="shared" si="23"/>
        <v>14.333333333333334</v>
      </c>
      <c r="AB1466">
        <v>1</v>
      </c>
    </row>
    <row r="1467" spans="1:28" x14ac:dyDescent="0.25">
      <c r="A1467" t="s">
        <v>33</v>
      </c>
      <c r="B1467" t="s">
        <v>5342</v>
      </c>
      <c r="C1467" t="s">
        <v>21</v>
      </c>
      <c r="D1467" t="s">
        <v>5342</v>
      </c>
      <c r="E1467" t="s">
        <v>2222</v>
      </c>
      <c r="F1467" t="s">
        <v>5343</v>
      </c>
      <c r="G1467" t="s">
        <v>24</v>
      </c>
      <c r="H1467" t="s">
        <v>5344</v>
      </c>
      <c r="I1467" t="s">
        <v>46</v>
      </c>
      <c r="N1467" t="s">
        <v>3868</v>
      </c>
      <c r="S1467" t="s">
        <v>48</v>
      </c>
      <c r="V1467" t="s">
        <v>5708</v>
      </c>
      <c r="W1467" t="s">
        <v>5709</v>
      </c>
      <c r="X1467" s="2">
        <f>IFERROR(VLOOKUP(I1467,'Rate Sheet'!$D:$F,3,FALSE),0)</f>
        <v>14.333333333333334</v>
      </c>
      <c r="Y1467" s="2">
        <f>IFERROR(VLOOKUP(J1467,'Rate Sheet'!$D:$F,3,FALSE),0)</f>
        <v>0</v>
      </c>
      <c r="Z1467" s="2">
        <f>IFERROR(VLOOKUP(K1467,'Rate Sheet'!$D:$F,3,FALSE),0)</f>
        <v>0</v>
      </c>
      <c r="AA1467" s="2">
        <f t="shared" si="23"/>
        <v>14.333333333333334</v>
      </c>
      <c r="AB1467">
        <v>1</v>
      </c>
    </row>
    <row r="1468" spans="1:28" x14ac:dyDescent="0.25">
      <c r="A1468" t="s">
        <v>33</v>
      </c>
      <c r="B1468" t="s">
        <v>5345</v>
      </c>
      <c r="C1468" t="s">
        <v>21</v>
      </c>
      <c r="D1468" t="s">
        <v>5345</v>
      </c>
      <c r="E1468" t="s">
        <v>5346</v>
      </c>
      <c r="F1468" t="s">
        <v>5347</v>
      </c>
      <c r="G1468" t="s">
        <v>24</v>
      </c>
      <c r="H1468" t="s">
        <v>5348</v>
      </c>
      <c r="I1468" t="s">
        <v>46</v>
      </c>
      <c r="N1468" t="s">
        <v>3868</v>
      </c>
      <c r="S1468" t="s">
        <v>48</v>
      </c>
      <c r="V1468" t="s">
        <v>5708</v>
      </c>
      <c r="W1468" t="s">
        <v>5709</v>
      </c>
      <c r="X1468" s="2">
        <f>IFERROR(VLOOKUP(I1468,'Rate Sheet'!$D:$F,3,FALSE),0)</f>
        <v>14.333333333333334</v>
      </c>
      <c r="Y1468" s="2">
        <f>IFERROR(VLOOKUP(J1468,'Rate Sheet'!$D:$F,3,FALSE),0)</f>
        <v>0</v>
      </c>
      <c r="Z1468" s="2">
        <f>IFERROR(VLOOKUP(K1468,'Rate Sheet'!$D:$F,3,FALSE),0)</f>
        <v>0</v>
      </c>
      <c r="AA1468" s="2">
        <f t="shared" si="23"/>
        <v>14.333333333333334</v>
      </c>
      <c r="AB1468">
        <v>1</v>
      </c>
    </row>
    <row r="1469" spans="1:28" x14ac:dyDescent="0.25">
      <c r="A1469" t="s">
        <v>33</v>
      </c>
      <c r="B1469" t="s">
        <v>5349</v>
      </c>
      <c r="C1469" t="s">
        <v>21</v>
      </c>
      <c r="D1469" t="s">
        <v>5349</v>
      </c>
      <c r="E1469" t="s">
        <v>727</v>
      </c>
      <c r="F1469" t="s">
        <v>5350</v>
      </c>
      <c r="G1469" t="s">
        <v>24</v>
      </c>
      <c r="H1469" t="s">
        <v>5351</v>
      </c>
      <c r="I1469" t="s">
        <v>46</v>
      </c>
      <c r="N1469" t="s">
        <v>3868</v>
      </c>
      <c r="S1469" t="s">
        <v>48</v>
      </c>
      <c r="V1469" t="s">
        <v>5708</v>
      </c>
      <c r="W1469" t="s">
        <v>5709</v>
      </c>
      <c r="X1469" s="2">
        <f>IFERROR(VLOOKUP(I1469,'Rate Sheet'!$D:$F,3,FALSE),0)</f>
        <v>14.333333333333334</v>
      </c>
      <c r="Y1469" s="2">
        <f>IFERROR(VLOOKUP(J1469,'Rate Sheet'!$D:$F,3,FALSE),0)</f>
        <v>0</v>
      </c>
      <c r="Z1469" s="2">
        <f>IFERROR(VLOOKUP(K1469,'Rate Sheet'!$D:$F,3,FALSE),0)</f>
        <v>0</v>
      </c>
      <c r="AA1469" s="2">
        <f t="shared" si="23"/>
        <v>14.333333333333334</v>
      </c>
      <c r="AB1469">
        <v>1</v>
      </c>
    </row>
    <row r="1470" spans="1:28" x14ac:dyDescent="0.25">
      <c r="A1470" t="s">
        <v>33</v>
      </c>
      <c r="B1470" t="s">
        <v>5352</v>
      </c>
      <c r="C1470" t="s">
        <v>21</v>
      </c>
      <c r="D1470" t="s">
        <v>5352</v>
      </c>
      <c r="E1470" t="s">
        <v>5353</v>
      </c>
      <c r="F1470" t="s">
        <v>5354</v>
      </c>
      <c r="G1470" t="s">
        <v>24</v>
      </c>
      <c r="H1470" t="s">
        <v>5355</v>
      </c>
      <c r="I1470" t="s">
        <v>46</v>
      </c>
      <c r="N1470" t="s">
        <v>38</v>
      </c>
      <c r="S1470" t="s">
        <v>48</v>
      </c>
      <c r="V1470" t="s">
        <v>5582</v>
      </c>
      <c r="W1470" t="s">
        <v>5583</v>
      </c>
      <c r="X1470" s="2">
        <f>IFERROR(VLOOKUP(I1470,'Rate Sheet'!$D:$F,3,FALSE),0)</f>
        <v>14.333333333333334</v>
      </c>
      <c r="Y1470" s="2">
        <f>IFERROR(VLOOKUP(J1470,'Rate Sheet'!$D:$F,3,FALSE),0)</f>
        <v>0</v>
      </c>
      <c r="Z1470" s="2">
        <f>IFERROR(VLOOKUP(K1470,'Rate Sheet'!$D:$F,3,FALSE),0)</f>
        <v>0</v>
      </c>
      <c r="AA1470" s="2">
        <f t="shared" si="23"/>
        <v>14.333333333333334</v>
      </c>
      <c r="AB1470">
        <v>1</v>
      </c>
    </row>
    <row r="1471" spans="1:28" x14ac:dyDescent="0.25">
      <c r="A1471" t="s">
        <v>33</v>
      </c>
      <c r="B1471" t="s">
        <v>5356</v>
      </c>
      <c r="C1471" t="s">
        <v>21</v>
      </c>
      <c r="D1471" t="s">
        <v>5356</v>
      </c>
      <c r="E1471" t="s">
        <v>60</v>
      </c>
      <c r="F1471" t="s">
        <v>5357</v>
      </c>
      <c r="G1471" t="s">
        <v>24</v>
      </c>
      <c r="H1471" t="s">
        <v>5358</v>
      </c>
      <c r="I1471" t="s">
        <v>46</v>
      </c>
      <c r="N1471" t="s">
        <v>3868</v>
      </c>
      <c r="S1471" t="s">
        <v>48</v>
      </c>
      <c r="V1471" t="s">
        <v>5708</v>
      </c>
      <c r="W1471" t="s">
        <v>5709</v>
      </c>
      <c r="X1471" s="2">
        <f>IFERROR(VLOOKUP(I1471,'Rate Sheet'!$D:$F,3,FALSE),0)</f>
        <v>14.333333333333334</v>
      </c>
      <c r="Y1471" s="2">
        <f>IFERROR(VLOOKUP(J1471,'Rate Sheet'!$D:$F,3,FALSE),0)</f>
        <v>0</v>
      </c>
      <c r="Z1471" s="2">
        <f>IFERROR(VLOOKUP(K1471,'Rate Sheet'!$D:$F,3,FALSE),0)</f>
        <v>0</v>
      </c>
      <c r="AA1471" s="2">
        <f t="shared" si="23"/>
        <v>14.333333333333334</v>
      </c>
      <c r="AB1471">
        <v>1</v>
      </c>
    </row>
    <row r="1472" spans="1:28" x14ac:dyDescent="0.25">
      <c r="A1472" t="s">
        <v>33</v>
      </c>
      <c r="B1472" t="s">
        <v>5359</v>
      </c>
      <c r="C1472" t="s">
        <v>21</v>
      </c>
      <c r="D1472" t="s">
        <v>5359</v>
      </c>
      <c r="E1472" t="s">
        <v>284</v>
      </c>
      <c r="F1472" t="s">
        <v>5360</v>
      </c>
      <c r="G1472" t="s">
        <v>24</v>
      </c>
      <c r="H1472" t="s">
        <v>5361</v>
      </c>
      <c r="I1472" t="s">
        <v>46</v>
      </c>
      <c r="N1472" t="s">
        <v>697</v>
      </c>
      <c r="S1472" t="s">
        <v>48</v>
      </c>
      <c r="V1472" t="s">
        <v>5692</v>
      </c>
      <c r="W1472" t="s">
        <v>5693</v>
      </c>
      <c r="X1472" s="2">
        <f>IFERROR(VLOOKUP(I1472,'Rate Sheet'!$D:$F,3,FALSE),0)</f>
        <v>14.333333333333334</v>
      </c>
      <c r="Y1472" s="2">
        <f>IFERROR(VLOOKUP(J1472,'Rate Sheet'!$D:$F,3,FALSE),0)</f>
        <v>0</v>
      </c>
      <c r="Z1472" s="2">
        <f>IFERROR(VLOOKUP(K1472,'Rate Sheet'!$D:$F,3,FALSE),0)</f>
        <v>0</v>
      </c>
      <c r="AA1472" s="2">
        <f t="shared" si="23"/>
        <v>14.333333333333334</v>
      </c>
      <c r="AB1472">
        <v>1</v>
      </c>
    </row>
    <row r="1473" spans="1:28" x14ac:dyDescent="0.25">
      <c r="A1473" t="s">
        <v>33</v>
      </c>
      <c r="B1473" t="s">
        <v>5371</v>
      </c>
      <c r="C1473" t="s">
        <v>21</v>
      </c>
      <c r="D1473" t="s">
        <v>5371</v>
      </c>
      <c r="E1473" t="s">
        <v>4269</v>
      </c>
      <c r="F1473" t="s">
        <v>1435</v>
      </c>
      <c r="G1473" t="s">
        <v>24</v>
      </c>
      <c r="H1473" t="s">
        <v>5372</v>
      </c>
      <c r="I1473" t="s">
        <v>46</v>
      </c>
      <c r="N1473" t="s">
        <v>47</v>
      </c>
      <c r="S1473" t="s">
        <v>48</v>
      </c>
      <c r="V1473" t="s">
        <v>5578</v>
      </c>
      <c r="W1473" t="s">
        <v>5579</v>
      </c>
      <c r="X1473" s="2">
        <f>IFERROR(VLOOKUP(I1473,'Rate Sheet'!$D:$F,3,FALSE),0)</f>
        <v>14.333333333333334</v>
      </c>
      <c r="Y1473" s="2">
        <f>IFERROR(VLOOKUP(J1473,'Rate Sheet'!$D:$F,3,FALSE),0)</f>
        <v>0</v>
      </c>
      <c r="Z1473" s="2">
        <f>IFERROR(VLOOKUP(K1473,'Rate Sheet'!$D:$F,3,FALSE),0)</f>
        <v>0</v>
      </c>
      <c r="AA1473" s="2">
        <f t="shared" si="23"/>
        <v>14.333333333333334</v>
      </c>
      <c r="AB1473">
        <v>1</v>
      </c>
    </row>
    <row r="1474" spans="1:28" x14ac:dyDescent="0.25">
      <c r="A1474" t="s">
        <v>33</v>
      </c>
      <c r="B1474" t="s">
        <v>5376</v>
      </c>
      <c r="C1474" t="s">
        <v>29</v>
      </c>
      <c r="D1474" t="s">
        <v>5376</v>
      </c>
      <c r="E1474" t="s">
        <v>1315</v>
      </c>
      <c r="F1474" t="s">
        <v>5377</v>
      </c>
      <c r="G1474" t="s">
        <v>24</v>
      </c>
      <c r="H1474" t="s">
        <v>5378</v>
      </c>
      <c r="I1474" t="s">
        <v>73</v>
      </c>
      <c r="N1474" t="s">
        <v>517</v>
      </c>
      <c r="S1474" t="s">
        <v>75</v>
      </c>
      <c r="V1474" t="s">
        <v>5682</v>
      </c>
      <c r="W1474" t="s">
        <v>517</v>
      </c>
      <c r="X1474" s="2">
        <f>IFERROR(VLOOKUP(I1474,'Rate Sheet'!$D:$F,3,FALSE),0)</f>
        <v>8.6983333333333324</v>
      </c>
      <c r="Y1474" s="2">
        <f>IFERROR(VLOOKUP(J1474,'Rate Sheet'!$D:$F,3,FALSE),0)</f>
        <v>0</v>
      </c>
      <c r="Z1474" s="2">
        <f>IFERROR(VLOOKUP(K1474,'Rate Sheet'!$D:$F,3,FALSE),0)</f>
        <v>0</v>
      </c>
      <c r="AA1474" s="2">
        <f t="shared" si="23"/>
        <v>8.6983333333333324</v>
      </c>
      <c r="AB1474">
        <v>1</v>
      </c>
    </row>
    <row r="1475" spans="1:28" x14ac:dyDescent="0.25">
      <c r="A1475" t="s">
        <v>33</v>
      </c>
      <c r="B1475" t="s">
        <v>5379</v>
      </c>
      <c r="C1475" t="s">
        <v>29</v>
      </c>
      <c r="D1475" t="s">
        <v>5379</v>
      </c>
      <c r="E1475" t="s">
        <v>2731</v>
      </c>
      <c r="F1475" t="s">
        <v>5380</v>
      </c>
      <c r="G1475" t="s">
        <v>24</v>
      </c>
      <c r="H1475" t="s">
        <v>5381</v>
      </c>
      <c r="N1475" t="s">
        <v>3808</v>
      </c>
      <c r="X1475" s="2">
        <f>IFERROR(VLOOKUP(I1475,'Rate Sheet'!$D:$F,3,FALSE),0)</f>
        <v>0</v>
      </c>
      <c r="Y1475" s="2">
        <f>IFERROR(VLOOKUP(J1475,'Rate Sheet'!$D:$F,3,FALSE),0)</f>
        <v>0</v>
      </c>
      <c r="Z1475" s="2">
        <f>IFERROR(VLOOKUP(K1475,'Rate Sheet'!$D:$F,3,FALSE),0)</f>
        <v>0</v>
      </c>
      <c r="AA1475" s="2">
        <f t="shared" si="23"/>
        <v>0</v>
      </c>
    </row>
    <row r="1476" spans="1:28" x14ac:dyDescent="0.25">
      <c r="A1476" t="s">
        <v>33</v>
      </c>
      <c r="B1476" t="s">
        <v>5382</v>
      </c>
      <c r="C1476" t="s">
        <v>21</v>
      </c>
      <c r="D1476" t="s">
        <v>5382</v>
      </c>
      <c r="E1476" t="s">
        <v>126</v>
      </c>
      <c r="F1476" t="s">
        <v>5383</v>
      </c>
      <c r="G1476" t="s">
        <v>24</v>
      </c>
      <c r="H1476" t="s">
        <v>5384</v>
      </c>
      <c r="I1476" t="s">
        <v>46</v>
      </c>
      <c r="N1476" t="s">
        <v>3258</v>
      </c>
      <c r="S1476" t="s">
        <v>48</v>
      </c>
      <c r="V1476" t="s">
        <v>5673</v>
      </c>
      <c r="W1476" t="s">
        <v>5674</v>
      </c>
      <c r="X1476" s="2">
        <f>IFERROR(VLOOKUP(I1476,'Rate Sheet'!$D:$F,3,FALSE),0)</f>
        <v>14.333333333333334</v>
      </c>
      <c r="Y1476" s="2">
        <f>IFERROR(VLOOKUP(J1476,'Rate Sheet'!$D:$F,3,FALSE),0)</f>
        <v>0</v>
      </c>
      <c r="Z1476" s="2">
        <f>IFERROR(VLOOKUP(K1476,'Rate Sheet'!$D:$F,3,FALSE),0)</f>
        <v>0</v>
      </c>
      <c r="AA1476" s="2">
        <f t="shared" si="23"/>
        <v>14.333333333333334</v>
      </c>
      <c r="AB1476">
        <v>1</v>
      </c>
    </row>
    <row r="1477" spans="1:28" x14ac:dyDescent="0.25">
      <c r="A1477" t="s">
        <v>33</v>
      </c>
      <c r="B1477" t="s">
        <v>5385</v>
      </c>
      <c r="C1477" t="s">
        <v>21</v>
      </c>
      <c r="D1477" t="s">
        <v>5385</v>
      </c>
      <c r="E1477" t="s">
        <v>1357</v>
      </c>
      <c r="F1477" t="s">
        <v>87</v>
      </c>
      <c r="G1477" t="s">
        <v>24</v>
      </c>
      <c r="H1477" t="s">
        <v>5386</v>
      </c>
      <c r="X1477" s="2">
        <f>IFERROR(VLOOKUP(I1477,'Rate Sheet'!$D:$F,3,FALSE),0)</f>
        <v>0</v>
      </c>
      <c r="Y1477" s="2">
        <f>IFERROR(VLOOKUP(J1477,'Rate Sheet'!$D:$F,3,FALSE),0)</f>
        <v>0</v>
      </c>
      <c r="Z1477" s="2">
        <f>IFERROR(VLOOKUP(K1477,'Rate Sheet'!$D:$F,3,FALSE),0)</f>
        <v>0</v>
      </c>
      <c r="AA1477" s="2">
        <f t="shared" si="23"/>
        <v>0</v>
      </c>
    </row>
    <row r="1478" spans="1:28" x14ac:dyDescent="0.25">
      <c r="A1478" t="s">
        <v>33</v>
      </c>
      <c r="B1478" t="s">
        <v>5387</v>
      </c>
      <c r="C1478" t="s">
        <v>21</v>
      </c>
      <c r="D1478" t="s">
        <v>5387</v>
      </c>
      <c r="E1478" t="s">
        <v>435</v>
      </c>
      <c r="F1478" t="s">
        <v>5388</v>
      </c>
      <c r="G1478" t="s">
        <v>24</v>
      </c>
      <c r="H1478" t="s">
        <v>5389</v>
      </c>
      <c r="I1478" t="s">
        <v>73</v>
      </c>
      <c r="N1478" t="s">
        <v>47</v>
      </c>
      <c r="S1478" t="s">
        <v>75</v>
      </c>
      <c r="V1478" t="s">
        <v>5578</v>
      </c>
      <c r="W1478" t="s">
        <v>5579</v>
      </c>
      <c r="X1478" s="2">
        <f>IFERROR(VLOOKUP(I1478,'Rate Sheet'!$D:$F,3,FALSE),0)</f>
        <v>8.6983333333333324</v>
      </c>
      <c r="Y1478" s="2">
        <f>IFERROR(VLOOKUP(J1478,'Rate Sheet'!$D:$F,3,FALSE),0)</f>
        <v>0</v>
      </c>
      <c r="Z1478" s="2">
        <f>IFERROR(VLOOKUP(K1478,'Rate Sheet'!$D:$F,3,FALSE),0)</f>
        <v>0</v>
      </c>
      <c r="AA1478" s="2">
        <f t="shared" si="23"/>
        <v>8.6983333333333324</v>
      </c>
      <c r="AB1478">
        <v>1</v>
      </c>
    </row>
    <row r="1479" spans="1:28" x14ac:dyDescent="0.25">
      <c r="A1479" t="s">
        <v>33</v>
      </c>
      <c r="B1479" t="s">
        <v>5390</v>
      </c>
      <c r="C1479" t="s">
        <v>21</v>
      </c>
      <c r="D1479" t="s">
        <v>5390</v>
      </c>
      <c r="E1479" t="s">
        <v>275</v>
      </c>
      <c r="F1479" t="s">
        <v>5391</v>
      </c>
      <c r="G1479" t="s">
        <v>24</v>
      </c>
      <c r="H1479" t="s">
        <v>5392</v>
      </c>
      <c r="I1479" t="s">
        <v>46</v>
      </c>
      <c r="N1479" t="s">
        <v>3868</v>
      </c>
      <c r="S1479" t="s">
        <v>48</v>
      </c>
      <c r="V1479" t="s">
        <v>5708</v>
      </c>
      <c r="W1479" t="s">
        <v>5709</v>
      </c>
      <c r="X1479" s="2">
        <f>IFERROR(VLOOKUP(I1479,'Rate Sheet'!$D:$F,3,FALSE),0)</f>
        <v>14.333333333333334</v>
      </c>
      <c r="Y1479" s="2">
        <f>IFERROR(VLOOKUP(J1479,'Rate Sheet'!$D:$F,3,FALSE),0)</f>
        <v>0</v>
      </c>
      <c r="Z1479" s="2">
        <f>IFERROR(VLOOKUP(K1479,'Rate Sheet'!$D:$F,3,FALSE),0)</f>
        <v>0</v>
      </c>
      <c r="AA1479" s="2">
        <f t="shared" si="23"/>
        <v>14.333333333333334</v>
      </c>
      <c r="AB1479">
        <v>1</v>
      </c>
    </row>
    <row r="1480" spans="1:28" x14ac:dyDescent="0.25">
      <c r="A1480" t="s">
        <v>33</v>
      </c>
      <c r="B1480" t="s">
        <v>5393</v>
      </c>
      <c r="C1480" t="s">
        <v>21</v>
      </c>
      <c r="D1480" t="s">
        <v>5393</v>
      </c>
      <c r="E1480" t="s">
        <v>5394</v>
      </c>
      <c r="F1480" t="s">
        <v>2495</v>
      </c>
      <c r="G1480" t="s">
        <v>24</v>
      </c>
      <c r="H1480" t="s">
        <v>5395</v>
      </c>
      <c r="I1480" t="s">
        <v>46</v>
      </c>
      <c r="N1480" t="s">
        <v>3868</v>
      </c>
      <c r="S1480" t="s">
        <v>48</v>
      </c>
      <c r="V1480" t="s">
        <v>5708</v>
      </c>
      <c r="W1480" t="s">
        <v>5709</v>
      </c>
      <c r="X1480" s="2">
        <f>IFERROR(VLOOKUP(I1480,'Rate Sheet'!$D:$F,3,FALSE),0)</f>
        <v>14.333333333333334</v>
      </c>
      <c r="Y1480" s="2">
        <f>IFERROR(VLOOKUP(J1480,'Rate Sheet'!$D:$F,3,FALSE),0)</f>
        <v>0</v>
      </c>
      <c r="Z1480" s="2">
        <f>IFERROR(VLOOKUP(K1480,'Rate Sheet'!$D:$F,3,FALSE),0)</f>
        <v>0</v>
      </c>
      <c r="AA1480" s="2">
        <f t="shared" si="23"/>
        <v>14.333333333333334</v>
      </c>
      <c r="AB1480">
        <v>1</v>
      </c>
    </row>
    <row r="1481" spans="1:28" x14ac:dyDescent="0.25">
      <c r="A1481" t="s">
        <v>33</v>
      </c>
      <c r="B1481" t="s">
        <v>5401</v>
      </c>
      <c r="C1481" t="s">
        <v>21</v>
      </c>
      <c r="D1481" t="s">
        <v>5401</v>
      </c>
      <c r="E1481" t="s">
        <v>372</v>
      </c>
      <c r="F1481" t="s">
        <v>5402</v>
      </c>
      <c r="G1481" t="s">
        <v>24</v>
      </c>
      <c r="H1481" t="s">
        <v>5403</v>
      </c>
      <c r="I1481" t="s">
        <v>46</v>
      </c>
      <c r="N1481" t="s">
        <v>3868</v>
      </c>
      <c r="S1481" t="s">
        <v>48</v>
      </c>
      <c r="V1481" t="s">
        <v>5708</v>
      </c>
      <c r="W1481" t="s">
        <v>5709</v>
      </c>
      <c r="X1481" s="2">
        <f>IFERROR(VLOOKUP(I1481,'Rate Sheet'!$D:$F,3,FALSE),0)</f>
        <v>14.333333333333334</v>
      </c>
      <c r="Y1481" s="2">
        <f>IFERROR(VLOOKUP(J1481,'Rate Sheet'!$D:$F,3,FALSE),0)</f>
        <v>0</v>
      </c>
      <c r="Z1481" s="2">
        <f>IFERROR(VLOOKUP(K1481,'Rate Sheet'!$D:$F,3,FALSE),0)</f>
        <v>0</v>
      </c>
      <c r="AA1481" s="2">
        <f t="shared" si="23"/>
        <v>14.333333333333334</v>
      </c>
      <c r="AB1481">
        <v>1</v>
      </c>
    </row>
    <row r="1482" spans="1:28" x14ac:dyDescent="0.25">
      <c r="A1482" t="s">
        <v>33</v>
      </c>
      <c r="B1482" t="s">
        <v>5404</v>
      </c>
      <c r="C1482" t="s">
        <v>21</v>
      </c>
      <c r="D1482" t="s">
        <v>5404</v>
      </c>
      <c r="E1482" t="s">
        <v>2136</v>
      </c>
      <c r="F1482" t="s">
        <v>1739</v>
      </c>
      <c r="G1482" t="s">
        <v>24</v>
      </c>
      <c r="H1482" t="s">
        <v>5405</v>
      </c>
      <c r="I1482" t="s">
        <v>46</v>
      </c>
      <c r="N1482" t="s">
        <v>511</v>
      </c>
      <c r="S1482" t="s">
        <v>48</v>
      </c>
      <c r="V1482" t="s">
        <v>5708</v>
      </c>
      <c r="W1482" t="s">
        <v>5709</v>
      </c>
      <c r="X1482" s="2">
        <f>IFERROR(VLOOKUP(I1482,'Rate Sheet'!$D:$F,3,FALSE),0)</f>
        <v>14.333333333333334</v>
      </c>
      <c r="Y1482" s="2">
        <f>IFERROR(VLOOKUP(J1482,'Rate Sheet'!$D:$F,3,FALSE),0)</f>
        <v>0</v>
      </c>
      <c r="Z1482" s="2">
        <f>IFERROR(VLOOKUP(K1482,'Rate Sheet'!$D:$F,3,FALSE),0)</f>
        <v>0</v>
      </c>
      <c r="AA1482" s="2">
        <f t="shared" si="23"/>
        <v>14.333333333333334</v>
      </c>
      <c r="AB1482">
        <v>1</v>
      </c>
    </row>
    <row r="1483" spans="1:28" x14ac:dyDescent="0.25">
      <c r="A1483" t="s">
        <v>33</v>
      </c>
      <c r="B1483" t="s">
        <v>5406</v>
      </c>
      <c r="C1483" t="s">
        <v>21</v>
      </c>
      <c r="D1483" t="s">
        <v>5406</v>
      </c>
      <c r="E1483" t="s">
        <v>3283</v>
      </c>
      <c r="F1483" t="s">
        <v>5407</v>
      </c>
      <c r="G1483" t="s">
        <v>24</v>
      </c>
      <c r="H1483" t="s">
        <v>5408</v>
      </c>
      <c r="I1483" t="s">
        <v>46</v>
      </c>
      <c r="N1483" t="s">
        <v>3868</v>
      </c>
      <c r="S1483" t="s">
        <v>48</v>
      </c>
      <c r="V1483" t="s">
        <v>5708</v>
      </c>
      <c r="W1483" t="s">
        <v>5709</v>
      </c>
      <c r="X1483" s="2">
        <f>IFERROR(VLOOKUP(I1483,'Rate Sheet'!$D:$F,3,FALSE),0)</f>
        <v>14.333333333333334</v>
      </c>
      <c r="Y1483" s="2">
        <f>IFERROR(VLOOKUP(J1483,'Rate Sheet'!$D:$F,3,FALSE),0)</f>
        <v>0</v>
      </c>
      <c r="Z1483" s="2">
        <f>IFERROR(VLOOKUP(K1483,'Rate Sheet'!$D:$F,3,FALSE),0)</f>
        <v>0</v>
      </c>
      <c r="AA1483" s="2">
        <f t="shared" si="23"/>
        <v>14.333333333333334</v>
      </c>
      <c r="AB1483">
        <v>1</v>
      </c>
    </row>
    <row r="1484" spans="1:28" x14ac:dyDescent="0.25">
      <c r="A1484" t="s">
        <v>33</v>
      </c>
      <c r="B1484" t="s">
        <v>5409</v>
      </c>
      <c r="C1484" t="s">
        <v>21</v>
      </c>
      <c r="D1484" t="s">
        <v>5409</v>
      </c>
      <c r="E1484" t="s">
        <v>5410</v>
      </c>
      <c r="F1484" t="s">
        <v>5411</v>
      </c>
      <c r="G1484" t="s">
        <v>24</v>
      </c>
      <c r="H1484" t="s">
        <v>5412</v>
      </c>
      <c r="I1484" t="s">
        <v>46</v>
      </c>
      <c r="N1484" t="s">
        <v>3868</v>
      </c>
      <c r="S1484" t="s">
        <v>48</v>
      </c>
      <c r="V1484" t="s">
        <v>5708</v>
      </c>
      <c r="W1484" t="s">
        <v>5709</v>
      </c>
      <c r="X1484" s="2">
        <f>IFERROR(VLOOKUP(I1484,'Rate Sheet'!$D:$F,3,FALSE),0)</f>
        <v>14.333333333333334</v>
      </c>
      <c r="Y1484" s="2">
        <f>IFERROR(VLOOKUP(J1484,'Rate Sheet'!$D:$F,3,FALSE),0)</f>
        <v>0</v>
      </c>
      <c r="Z1484" s="2">
        <f>IFERROR(VLOOKUP(K1484,'Rate Sheet'!$D:$F,3,FALSE),0)</f>
        <v>0</v>
      </c>
      <c r="AA1484" s="2">
        <f t="shared" si="23"/>
        <v>14.333333333333334</v>
      </c>
      <c r="AB1484">
        <v>1</v>
      </c>
    </row>
    <row r="1485" spans="1:28" x14ac:dyDescent="0.25">
      <c r="A1485" t="s">
        <v>33</v>
      </c>
      <c r="B1485" t="s">
        <v>5413</v>
      </c>
      <c r="C1485" t="s">
        <v>21</v>
      </c>
      <c r="D1485" t="s">
        <v>5413</v>
      </c>
      <c r="E1485" t="s">
        <v>140</v>
      </c>
      <c r="F1485" t="s">
        <v>5414</v>
      </c>
      <c r="G1485" t="s">
        <v>24</v>
      </c>
      <c r="H1485" t="s">
        <v>5415</v>
      </c>
      <c r="I1485" t="s">
        <v>73</v>
      </c>
      <c r="N1485" t="s">
        <v>692</v>
      </c>
      <c r="S1485" t="s">
        <v>75</v>
      </c>
      <c r="V1485" t="s">
        <v>5628</v>
      </c>
      <c r="W1485" t="s">
        <v>5629</v>
      </c>
      <c r="X1485" s="2">
        <f>IFERROR(VLOOKUP(I1485,'Rate Sheet'!$D:$F,3,FALSE),0)</f>
        <v>8.6983333333333324</v>
      </c>
      <c r="Y1485" s="2">
        <f>IFERROR(VLOOKUP(J1485,'Rate Sheet'!$D:$F,3,FALSE),0)</f>
        <v>0</v>
      </c>
      <c r="Z1485" s="2">
        <f>IFERROR(VLOOKUP(K1485,'Rate Sheet'!$D:$F,3,FALSE),0)</f>
        <v>0</v>
      </c>
      <c r="AA1485" s="2">
        <f t="shared" si="23"/>
        <v>8.6983333333333324</v>
      </c>
      <c r="AB1485">
        <v>1</v>
      </c>
    </row>
    <row r="1486" spans="1:28" x14ac:dyDescent="0.25">
      <c r="A1486" t="s">
        <v>33</v>
      </c>
      <c r="B1486" t="s">
        <v>5416</v>
      </c>
      <c r="C1486" t="s">
        <v>21</v>
      </c>
      <c r="D1486" t="s">
        <v>5416</v>
      </c>
      <c r="E1486" t="s">
        <v>5417</v>
      </c>
      <c r="F1486" t="s">
        <v>2437</v>
      </c>
      <c r="G1486" t="s">
        <v>24</v>
      </c>
      <c r="H1486" t="s">
        <v>5418</v>
      </c>
      <c r="I1486" t="s">
        <v>46</v>
      </c>
      <c r="N1486" t="s">
        <v>3868</v>
      </c>
      <c r="S1486" t="s">
        <v>48</v>
      </c>
      <c r="V1486" t="s">
        <v>5708</v>
      </c>
      <c r="W1486" t="s">
        <v>5709</v>
      </c>
      <c r="X1486" s="2">
        <f>IFERROR(VLOOKUP(I1486,'Rate Sheet'!$D:$F,3,FALSE),0)</f>
        <v>14.333333333333334</v>
      </c>
      <c r="Y1486" s="2">
        <f>IFERROR(VLOOKUP(J1486,'Rate Sheet'!$D:$F,3,FALSE),0)</f>
        <v>0</v>
      </c>
      <c r="Z1486" s="2">
        <f>IFERROR(VLOOKUP(K1486,'Rate Sheet'!$D:$F,3,FALSE),0)</f>
        <v>0</v>
      </c>
      <c r="AA1486" s="2">
        <f t="shared" si="23"/>
        <v>14.333333333333334</v>
      </c>
      <c r="AB1486">
        <v>1</v>
      </c>
    </row>
    <row r="1487" spans="1:28" x14ac:dyDescent="0.25">
      <c r="A1487" t="s">
        <v>33</v>
      </c>
      <c r="B1487" t="s">
        <v>5419</v>
      </c>
      <c r="C1487" t="s">
        <v>29</v>
      </c>
      <c r="D1487" t="s">
        <v>5419</v>
      </c>
      <c r="E1487" t="s">
        <v>1189</v>
      </c>
      <c r="F1487" t="s">
        <v>5420</v>
      </c>
      <c r="G1487" t="s">
        <v>24</v>
      </c>
      <c r="H1487" t="s">
        <v>5421</v>
      </c>
      <c r="I1487" t="s">
        <v>73</v>
      </c>
      <c r="N1487" t="s">
        <v>511</v>
      </c>
      <c r="S1487" t="s">
        <v>75</v>
      </c>
      <c r="V1487" t="s">
        <v>5617</v>
      </c>
      <c r="W1487" t="s">
        <v>511</v>
      </c>
      <c r="X1487" s="2">
        <f>IFERROR(VLOOKUP(I1487,'Rate Sheet'!$D:$F,3,FALSE),0)</f>
        <v>8.6983333333333324</v>
      </c>
      <c r="Y1487" s="2">
        <f>IFERROR(VLOOKUP(J1487,'Rate Sheet'!$D:$F,3,FALSE),0)</f>
        <v>0</v>
      </c>
      <c r="Z1487" s="2">
        <f>IFERROR(VLOOKUP(K1487,'Rate Sheet'!$D:$F,3,FALSE),0)</f>
        <v>0</v>
      </c>
      <c r="AA1487" s="2">
        <f t="shared" si="23"/>
        <v>8.6983333333333324</v>
      </c>
      <c r="AB1487">
        <v>1</v>
      </c>
    </row>
    <row r="1488" spans="1:28" x14ac:dyDescent="0.25">
      <c r="A1488" t="s">
        <v>33</v>
      </c>
      <c r="B1488" t="s">
        <v>5422</v>
      </c>
      <c r="C1488" t="s">
        <v>21</v>
      </c>
      <c r="D1488" t="s">
        <v>5422</v>
      </c>
      <c r="E1488" t="s">
        <v>5423</v>
      </c>
      <c r="F1488" t="s">
        <v>591</v>
      </c>
      <c r="G1488" t="s">
        <v>24</v>
      </c>
      <c r="H1488" t="s">
        <v>5424</v>
      </c>
      <c r="I1488" t="s">
        <v>46</v>
      </c>
      <c r="N1488" t="s">
        <v>3868</v>
      </c>
      <c r="S1488" t="s">
        <v>48</v>
      </c>
      <c r="V1488" t="s">
        <v>5708</v>
      </c>
      <c r="W1488" t="s">
        <v>5709</v>
      </c>
      <c r="X1488" s="2">
        <f>IFERROR(VLOOKUP(I1488,'Rate Sheet'!$D:$F,3,FALSE),0)</f>
        <v>14.333333333333334</v>
      </c>
      <c r="Y1488" s="2">
        <f>IFERROR(VLOOKUP(J1488,'Rate Sheet'!$D:$F,3,FALSE),0)</f>
        <v>0</v>
      </c>
      <c r="Z1488" s="2">
        <f>IFERROR(VLOOKUP(K1488,'Rate Sheet'!$D:$F,3,FALSE),0)</f>
        <v>0</v>
      </c>
      <c r="AA1488" s="2">
        <f t="shared" si="23"/>
        <v>14.333333333333334</v>
      </c>
      <c r="AB1488">
        <v>1</v>
      </c>
    </row>
    <row r="1489" spans="1:28" x14ac:dyDescent="0.25">
      <c r="A1489" t="s">
        <v>33</v>
      </c>
      <c r="B1489" t="s">
        <v>5425</v>
      </c>
      <c r="C1489" t="s">
        <v>21</v>
      </c>
      <c r="D1489" t="s">
        <v>5425</v>
      </c>
      <c r="E1489" t="s">
        <v>187</v>
      </c>
      <c r="F1489" t="s">
        <v>5426</v>
      </c>
      <c r="G1489" t="s">
        <v>24</v>
      </c>
      <c r="H1489" t="s">
        <v>5427</v>
      </c>
      <c r="I1489" t="s">
        <v>46</v>
      </c>
      <c r="N1489" t="s">
        <v>914</v>
      </c>
      <c r="S1489" t="s">
        <v>48</v>
      </c>
      <c r="V1489" t="s">
        <v>5686</v>
      </c>
      <c r="W1489" t="s">
        <v>5687</v>
      </c>
      <c r="X1489" s="2">
        <f>IFERROR(VLOOKUP(I1489,'Rate Sheet'!$D:$F,3,FALSE),0)</f>
        <v>14.333333333333334</v>
      </c>
      <c r="Y1489" s="2">
        <f>IFERROR(VLOOKUP(J1489,'Rate Sheet'!$D:$F,3,FALSE),0)</f>
        <v>0</v>
      </c>
      <c r="Z1489" s="2">
        <f>IFERROR(VLOOKUP(K1489,'Rate Sheet'!$D:$F,3,FALSE),0)</f>
        <v>0</v>
      </c>
      <c r="AA1489" s="2">
        <f t="shared" si="23"/>
        <v>14.333333333333334</v>
      </c>
      <c r="AB1489">
        <v>1</v>
      </c>
    </row>
    <row r="1490" spans="1:28" x14ac:dyDescent="0.25">
      <c r="A1490" t="s">
        <v>33</v>
      </c>
      <c r="B1490" t="s">
        <v>5428</v>
      </c>
      <c r="C1490" t="s">
        <v>21</v>
      </c>
      <c r="D1490" t="s">
        <v>5429</v>
      </c>
      <c r="E1490" t="s">
        <v>4211</v>
      </c>
      <c r="F1490" t="s">
        <v>5430</v>
      </c>
      <c r="G1490" t="s">
        <v>24</v>
      </c>
      <c r="H1490" t="s">
        <v>5431</v>
      </c>
      <c r="I1490" t="s">
        <v>46</v>
      </c>
      <c r="N1490" t="s">
        <v>3868</v>
      </c>
      <c r="S1490" t="s">
        <v>48</v>
      </c>
      <c r="V1490" t="s">
        <v>5708</v>
      </c>
      <c r="W1490" t="s">
        <v>5709</v>
      </c>
      <c r="X1490" s="2">
        <f>IFERROR(VLOOKUP(I1490,'Rate Sheet'!$D:$F,3,FALSE),0)</f>
        <v>14.333333333333334</v>
      </c>
      <c r="Y1490" s="2">
        <f>IFERROR(VLOOKUP(J1490,'Rate Sheet'!$D:$F,3,FALSE),0)</f>
        <v>0</v>
      </c>
      <c r="Z1490" s="2">
        <f>IFERROR(VLOOKUP(K1490,'Rate Sheet'!$D:$F,3,FALSE),0)</f>
        <v>0</v>
      </c>
      <c r="AA1490" s="2">
        <f t="shared" si="23"/>
        <v>14.333333333333334</v>
      </c>
      <c r="AB1490">
        <v>1</v>
      </c>
    </row>
    <row r="1491" spans="1:28" x14ac:dyDescent="0.25">
      <c r="A1491" t="s">
        <v>33</v>
      </c>
      <c r="B1491" t="s">
        <v>5432</v>
      </c>
      <c r="C1491" t="s">
        <v>21</v>
      </c>
      <c r="D1491" t="s">
        <v>5432</v>
      </c>
      <c r="E1491" t="s">
        <v>351</v>
      </c>
      <c r="F1491" t="s">
        <v>5433</v>
      </c>
      <c r="G1491" t="s">
        <v>24</v>
      </c>
      <c r="H1491" s="1" t="s">
        <v>5434</v>
      </c>
      <c r="I1491" t="s">
        <v>73</v>
      </c>
      <c r="N1491" t="s">
        <v>1923</v>
      </c>
      <c r="S1491" t="s">
        <v>75</v>
      </c>
      <c r="V1491" t="s">
        <v>5666</v>
      </c>
      <c r="W1491" t="s">
        <v>1923</v>
      </c>
      <c r="X1491" s="2">
        <f>IFERROR(VLOOKUP(I1491,'Rate Sheet'!$D:$F,3,FALSE),0)</f>
        <v>8.6983333333333324</v>
      </c>
      <c r="Y1491" s="2">
        <f>IFERROR(VLOOKUP(J1491,'Rate Sheet'!$D:$F,3,FALSE),0)</f>
        <v>0</v>
      </c>
      <c r="Z1491" s="2">
        <f>IFERROR(VLOOKUP(K1491,'Rate Sheet'!$D:$F,3,FALSE),0)</f>
        <v>0</v>
      </c>
      <c r="AA1491" s="2">
        <f t="shared" si="23"/>
        <v>8.6983333333333324</v>
      </c>
      <c r="AB1491">
        <v>1</v>
      </c>
    </row>
    <row r="1492" spans="1:28" x14ac:dyDescent="0.25">
      <c r="A1492" t="s">
        <v>33</v>
      </c>
      <c r="B1492" t="s">
        <v>5435</v>
      </c>
      <c r="C1492" t="s">
        <v>21</v>
      </c>
      <c r="D1492" t="s">
        <v>5435</v>
      </c>
      <c r="E1492" t="s">
        <v>5436</v>
      </c>
      <c r="F1492" t="s">
        <v>5437</v>
      </c>
      <c r="G1492" t="s">
        <v>24</v>
      </c>
      <c r="H1492" t="s">
        <v>5438</v>
      </c>
      <c r="I1492" t="s">
        <v>46</v>
      </c>
      <c r="N1492" t="s">
        <v>166</v>
      </c>
      <c r="S1492" t="s">
        <v>48</v>
      </c>
      <c r="V1492" t="s">
        <v>5606</v>
      </c>
      <c r="W1492" t="s">
        <v>166</v>
      </c>
      <c r="X1492" s="2">
        <f>IFERROR(VLOOKUP(I1492,'Rate Sheet'!$D:$F,3,FALSE),0)</f>
        <v>14.333333333333334</v>
      </c>
      <c r="Y1492" s="2">
        <f>IFERROR(VLOOKUP(J1492,'Rate Sheet'!$D:$F,3,FALSE),0)</f>
        <v>0</v>
      </c>
      <c r="Z1492" s="2">
        <f>IFERROR(VLOOKUP(K1492,'Rate Sheet'!$D:$F,3,FALSE),0)</f>
        <v>0</v>
      </c>
      <c r="AA1492" s="2">
        <f t="shared" si="23"/>
        <v>14.333333333333334</v>
      </c>
      <c r="AB1492">
        <v>1</v>
      </c>
    </row>
    <row r="1493" spans="1:28" x14ac:dyDescent="0.25">
      <c r="A1493" t="s">
        <v>33</v>
      </c>
      <c r="B1493" t="s">
        <v>5439</v>
      </c>
      <c r="C1493" t="s">
        <v>21</v>
      </c>
      <c r="D1493" t="s">
        <v>5440</v>
      </c>
      <c r="E1493" t="s">
        <v>3450</v>
      </c>
      <c r="F1493" t="s">
        <v>5441</v>
      </c>
      <c r="G1493" t="s">
        <v>24</v>
      </c>
      <c r="H1493" t="s">
        <v>5442</v>
      </c>
      <c r="N1493" t="s">
        <v>914</v>
      </c>
      <c r="X1493" s="2">
        <f>IFERROR(VLOOKUP(I1493,'Rate Sheet'!$D:$F,3,FALSE),0)</f>
        <v>0</v>
      </c>
      <c r="Y1493" s="2">
        <f>IFERROR(VLOOKUP(J1493,'Rate Sheet'!$D:$F,3,FALSE),0)</f>
        <v>0</v>
      </c>
      <c r="Z1493" s="2">
        <f>IFERROR(VLOOKUP(K1493,'Rate Sheet'!$D:$F,3,FALSE),0)</f>
        <v>0</v>
      </c>
      <c r="AA1493" s="2">
        <f t="shared" si="23"/>
        <v>0</v>
      </c>
    </row>
    <row r="1494" spans="1:28" x14ac:dyDescent="0.25">
      <c r="A1494" t="s">
        <v>33</v>
      </c>
      <c r="B1494" t="s">
        <v>5443</v>
      </c>
      <c r="C1494" t="s">
        <v>21</v>
      </c>
      <c r="D1494" t="s">
        <v>5443</v>
      </c>
      <c r="E1494" t="s">
        <v>1893</v>
      </c>
      <c r="F1494" t="s">
        <v>5444</v>
      </c>
      <c r="G1494" t="s">
        <v>24</v>
      </c>
      <c r="H1494" s="1" t="s">
        <v>5445</v>
      </c>
      <c r="I1494" t="s">
        <v>46</v>
      </c>
      <c r="N1494" t="s">
        <v>4585</v>
      </c>
      <c r="S1494" t="s">
        <v>48</v>
      </c>
      <c r="V1494" t="s">
        <v>5769</v>
      </c>
      <c r="W1494" t="s">
        <v>5770</v>
      </c>
      <c r="X1494" s="2">
        <f>IFERROR(VLOOKUP(I1494,'Rate Sheet'!$D:$F,3,FALSE),0)</f>
        <v>14.333333333333334</v>
      </c>
      <c r="Y1494" s="2">
        <f>IFERROR(VLOOKUP(J1494,'Rate Sheet'!$D:$F,3,FALSE),0)</f>
        <v>0</v>
      </c>
      <c r="Z1494" s="2">
        <f>IFERROR(VLOOKUP(K1494,'Rate Sheet'!$D:$F,3,FALSE),0)</f>
        <v>0</v>
      </c>
      <c r="AA1494" s="2">
        <f t="shared" si="23"/>
        <v>14.333333333333334</v>
      </c>
      <c r="AB1494">
        <v>1</v>
      </c>
    </row>
    <row r="1495" spans="1:28" x14ac:dyDescent="0.25">
      <c r="A1495" t="s">
        <v>33</v>
      </c>
      <c r="B1495" t="s">
        <v>5446</v>
      </c>
      <c r="C1495" t="s">
        <v>21</v>
      </c>
      <c r="D1495" t="s">
        <v>5446</v>
      </c>
      <c r="E1495" t="s">
        <v>435</v>
      </c>
      <c r="F1495" t="s">
        <v>5447</v>
      </c>
      <c r="G1495" t="s">
        <v>24</v>
      </c>
      <c r="H1495" t="s">
        <v>5448</v>
      </c>
      <c r="I1495" t="s">
        <v>46</v>
      </c>
      <c r="N1495" t="s">
        <v>692</v>
      </c>
      <c r="S1495" t="s">
        <v>48</v>
      </c>
      <c r="V1495" t="s">
        <v>5628</v>
      </c>
      <c r="W1495" t="s">
        <v>5629</v>
      </c>
      <c r="X1495" s="2">
        <f>IFERROR(VLOOKUP(I1495,'Rate Sheet'!$D:$F,3,FALSE),0)</f>
        <v>14.333333333333334</v>
      </c>
      <c r="Y1495" s="2">
        <f>IFERROR(VLOOKUP(J1495,'Rate Sheet'!$D:$F,3,FALSE),0)</f>
        <v>0</v>
      </c>
      <c r="Z1495" s="2">
        <f>IFERROR(VLOOKUP(K1495,'Rate Sheet'!$D:$F,3,FALSE),0)</f>
        <v>0</v>
      </c>
      <c r="AA1495" s="2">
        <f t="shared" si="23"/>
        <v>14.333333333333334</v>
      </c>
      <c r="AB1495">
        <v>1</v>
      </c>
    </row>
    <row r="1496" spans="1:28" x14ac:dyDescent="0.25">
      <c r="A1496" t="s">
        <v>33</v>
      </c>
      <c r="B1496" t="s">
        <v>5449</v>
      </c>
      <c r="C1496" t="s">
        <v>21</v>
      </c>
      <c r="D1496" t="s">
        <v>5449</v>
      </c>
      <c r="E1496" t="s">
        <v>372</v>
      </c>
      <c r="F1496" t="s">
        <v>5450</v>
      </c>
      <c r="G1496" t="s">
        <v>24</v>
      </c>
      <c r="H1496" t="s">
        <v>5451</v>
      </c>
      <c r="I1496" t="s">
        <v>46</v>
      </c>
      <c r="N1496" t="s">
        <v>2780</v>
      </c>
      <c r="S1496" t="s">
        <v>48</v>
      </c>
      <c r="V1496" t="s">
        <v>5699</v>
      </c>
      <c r="W1496" t="s">
        <v>5700</v>
      </c>
      <c r="X1496" s="2">
        <f>IFERROR(VLOOKUP(I1496,'Rate Sheet'!$D:$F,3,FALSE),0)</f>
        <v>14.333333333333334</v>
      </c>
      <c r="Y1496" s="2">
        <f>IFERROR(VLOOKUP(J1496,'Rate Sheet'!$D:$F,3,FALSE),0)</f>
        <v>0</v>
      </c>
      <c r="Z1496" s="2">
        <f>IFERROR(VLOOKUP(K1496,'Rate Sheet'!$D:$F,3,FALSE),0)</f>
        <v>0</v>
      </c>
      <c r="AA1496" s="2">
        <f t="shared" si="23"/>
        <v>14.333333333333334</v>
      </c>
      <c r="AB1496">
        <v>1</v>
      </c>
    </row>
    <row r="1497" spans="1:28" x14ac:dyDescent="0.25">
      <c r="A1497" t="s">
        <v>33</v>
      </c>
      <c r="B1497" t="s">
        <v>5452</v>
      </c>
      <c r="C1497" t="s">
        <v>21</v>
      </c>
      <c r="D1497" t="s">
        <v>5452</v>
      </c>
      <c r="E1497" t="s">
        <v>3405</v>
      </c>
      <c r="F1497" t="s">
        <v>5453</v>
      </c>
      <c r="G1497" t="s">
        <v>24</v>
      </c>
      <c r="H1497" t="s">
        <v>5454</v>
      </c>
      <c r="I1497" t="s">
        <v>46</v>
      </c>
      <c r="N1497" t="s">
        <v>4229</v>
      </c>
      <c r="S1497" t="s">
        <v>48</v>
      </c>
      <c r="V1497" t="s">
        <v>5708</v>
      </c>
      <c r="W1497" t="s">
        <v>5709</v>
      </c>
      <c r="X1497" s="2">
        <f>IFERROR(VLOOKUP(I1497,'Rate Sheet'!$D:$F,3,FALSE),0)</f>
        <v>14.333333333333334</v>
      </c>
      <c r="Y1497" s="2">
        <f>IFERROR(VLOOKUP(J1497,'Rate Sheet'!$D:$F,3,FALSE),0)</f>
        <v>0</v>
      </c>
      <c r="Z1497" s="2">
        <f>IFERROR(VLOOKUP(K1497,'Rate Sheet'!$D:$F,3,FALSE),0)</f>
        <v>0</v>
      </c>
      <c r="AA1497" s="2">
        <f t="shared" si="23"/>
        <v>14.333333333333334</v>
      </c>
      <c r="AB1497">
        <v>1</v>
      </c>
    </row>
    <row r="1498" spans="1:28" x14ac:dyDescent="0.25">
      <c r="A1498" t="s">
        <v>33</v>
      </c>
      <c r="B1498" t="s">
        <v>5455</v>
      </c>
      <c r="C1498" t="s">
        <v>29</v>
      </c>
      <c r="D1498" t="s">
        <v>5455</v>
      </c>
      <c r="E1498" t="s">
        <v>5456</v>
      </c>
      <c r="F1498" t="s">
        <v>5457</v>
      </c>
      <c r="G1498" t="s">
        <v>24</v>
      </c>
      <c r="H1498" t="s">
        <v>5458</v>
      </c>
      <c r="I1498" t="s">
        <v>73</v>
      </c>
      <c r="N1498" t="s">
        <v>861</v>
      </c>
      <c r="S1498" t="s">
        <v>75</v>
      </c>
      <c r="V1498" t="s">
        <v>5728</v>
      </c>
      <c r="W1498" t="s">
        <v>861</v>
      </c>
      <c r="X1498" s="2">
        <f>IFERROR(VLOOKUP(I1498,'Rate Sheet'!$D:$F,3,FALSE),0)</f>
        <v>8.6983333333333324</v>
      </c>
      <c r="Y1498" s="2">
        <f>IFERROR(VLOOKUP(J1498,'Rate Sheet'!$D:$F,3,FALSE),0)</f>
        <v>0</v>
      </c>
      <c r="Z1498" s="2">
        <f>IFERROR(VLOOKUP(K1498,'Rate Sheet'!$D:$F,3,FALSE),0)</f>
        <v>0</v>
      </c>
      <c r="AA1498" s="2">
        <f t="shared" si="23"/>
        <v>8.6983333333333324</v>
      </c>
      <c r="AB1498">
        <v>1</v>
      </c>
    </row>
    <row r="1499" spans="1:28" x14ac:dyDescent="0.25">
      <c r="A1499" t="s">
        <v>33</v>
      </c>
      <c r="B1499" t="s">
        <v>5459</v>
      </c>
      <c r="C1499" t="s">
        <v>21</v>
      </c>
      <c r="D1499" t="s">
        <v>5459</v>
      </c>
      <c r="E1499" t="s">
        <v>5460</v>
      </c>
      <c r="F1499" t="s">
        <v>5461</v>
      </c>
      <c r="G1499" t="s">
        <v>24</v>
      </c>
      <c r="H1499" t="s">
        <v>5462</v>
      </c>
      <c r="I1499" t="s">
        <v>3565</v>
      </c>
      <c r="N1499" t="s">
        <v>148</v>
      </c>
      <c r="S1499" t="s">
        <v>3566</v>
      </c>
      <c r="X1499" s="2">
        <f>IFERROR(VLOOKUP(I1499,'Rate Sheet'!$D:$F,3,FALSE),0)</f>
        <v>0</v>
      </c>
      <c r="Y1499" s="2">
        <f>IFERROR(VLOOKUP(J1499,'Rate Sheet'!$D:$F,3,FALSE),0)</f>
        <v>0</v>
      </c>
      <c r="Z1499" s="2">
        <f>IFERROR(VLOOKUP(K1499,'Rate Sheet'!$D:$F,3,FALSE),0)</f>
        <v>0</v>
      </c>
      <c r="AA1499" s="2">
        <f t="shared" si="23"/>
        <v>0</v>
      </c>
    </row>
    <row r="1500" spans="1:28" x14ac:dyDescent="0.25">
      <c r="A1500" t="s">
        <v>33</v>
      </c>
      <c r="B1500" t="s">
        <v>5467</v>
      </c>
      <c r="C1500" t="s">
        <v>21</v>
      </c>
      <c r="D1500" t="s">
        <v>5467</v>
      </c>
      <c r="E1500" t="s">
        <v>1488</v>
      </c>
      <c r="F1500" t="s">
        <v>5468</v>
      </c>
      <c r="G1500" t="s">
        <v>24</v>
      </c>
      <c r="H1500" t="s">
        <v>5469</v>
      </c>
      <c r="I1500" t="s">
        <v>46</v>
      </c>
      <c r="N1500" t="s">
        <v>415</v>
      </c>
      <c r="S1500" t="s">
        <v>48</v>
      </c>
      <c r="V1500" t="s">
        <v>5635</v>
      </c>
      <c r="W1500" t="s">
        <v>415</v>
      </c>
      <c r="X1500" s="2">
        <f>IFERROR(VLOOKUP(I1500,'Rate Sheet'!$D:$F,3,FALSE),0)</f>
        <v>14.333333333333334</v>
      </c>
      <c r="Y1500" s="2">
        <f>IFERROR(VLOOKUP(J1500,'Rate Sheet'!$D:$F,3,FALSE),0)</f>
        <v>0</v>
      </c>
      <c r="Z1500" s="2">
        <f>IFERROR(VLOOKUP(K1500,'Rate Sheet'!$D:$F,3,FALSE),0)</f>
        <v>0</v>
      </c>
      <c r="AA1500" s="2">
        <f t="shared" si="23"/>
        <v>14.333333333333334</v>
      </c>
      <c r="AB1500">
        <v>1</v>
      </c>
    </row>
    <row r="1501" spans="1:28" x14ac:dyDescent="0.25">
      <c r="A1501" t="s">
        <v>33</v>
      </c>
      <c r="B1501" t="s">
        <v>5470</v>
      </c>
      <c r="C1501" t="s">
        <v>21</v>
      </c>
      <c r="D1501" t="s">
        <v>5470</v>
      </c>
      <c r="E1501" t="s">
        <v>5471</v>
      </c>
      <c r="F1501" t="s">
        <v>5472</v>
      </c>
      <c r="G1501" t="s">
        <v>24</v>
      </c>
      <c r="H1501" t="s">
        <v>5473</v>
      </c>
      <c r="X1501" s="2">
        <f>IFERROR(VLOOKUP(I1501,'Rate Sheet'!$D:$F,3,FALSE),0)</f>
        <v>0</v>
      </c>
      <c r="Y1501" s="2">
        <f>IFERROR(VLOOKUP(J1501,'Rate Sheet'!$D:$F,3,FALSE),0)</f>
        <v>0</v>
      </c>
      <c r="Z1501" s="2">
        <f>IFERROR(VLOOKUP(K1501,'Rate Sheet'!$D:$F,3,FALSE),0)</f>
        <v>0</v>
      </c>
      <c r="AA1501" s="2">
        <f t="shared" si="23"/>
        <v>0</v>
      </c>
    </row>
    <row r="1502" spans="1:28" x14ac:dyDescent="0.25">
      <c r="A1502" t="s">
        <v>33</v>
      </c>
      <c r="B1502" t="s">
        <v>5474</v>
      </c>
      <c r="C1502" t="s">
        <v>29</v>
      </c>
      <c r="D1502" t="s">
        <v>5474</v>
      </c>
      <c r="E1502" t="s">
        <v>5475</v>
      </c>
      <c r="F1502" t="s">
        <v>5476</v>
      </c>
      <c r="G1502" t="s">
        <v>24</v>
      </c>
      <c r="H1502" t="s">
        <v>5477</v>
      </c>
      <c r="I1502" t="s">
        <v>73</v>
      </c>
      <c r="N1502" t="s">
        <v>1389</v>
      </c>
      <c r="S1502" t="s">
        <v>75</v>
      </c>
      <c r="V1502" t="s">
        <v>5698</v>
      </c>
      <c r="W1502" t="s">
        <v>1389</v>
      </c>
      <c r="X1502" s="2">
        <f>IFERROR(VLOOKUP(I1502,'Rate Sheet'!$D:$F,3,FALSE),0)</f>
        <v>8.6983333333333324</v>
      </c>
      <c r="Y1502" s="2">
        <f>IFERROR(VLOOKUP(J1502,'Rate Sheet'!$D:$F,3,FALSE),0)</f>
        <v>0</v>
      </c>
      <c r="Z1502" s="2">
        <f>IFERROR(VLOOKUP(K1502,'Rate Sheet'!$D:$F,3,FALSE),0)</f>
        <v>0</v>
      </c>
      <c r="AA1502" s="2">
        <f t="shared" si="23"/>
        <v>8.6983333333333324</v>
      </c>
      <c r="AB1502">
        <v>1</v>
      </c>
    </row>
    <row r="1503" spans="1:28" x14ac:dyDescent="0.25">
      <c r="A1503" t="s">
        <v>33</v>
      </c>
      <c r="B1503" t="s">
        <v>5478</v>
      </c>
      <c r="C1503" t="s">
        <v>21</v>
      </c>
      <c r="D1503" t="s">
        <v>5478</v>
      </c>
      <c r="E1503" t="s">
        <v>778</v>
      </c>
      <c r="F1503" t="s">
        <v>5479</v>
      </c>
      <c r="G1503" t="s">
        <v>24</v>
      </c>
      <c r="H1503" t="s">
        <v>5480</v>
      </c>
      <c r="I1503" t="s">
        <v>46</v>
      </c>
      <c r="N1503" t="s">
        <v>2700</v>
      </c>
      <c r="S1503" t="s">
        <v>48</v>
      </c>
      <c r="V1503" t="s">
        <v>5731</v>
      </c>
      <c r="W1503" t="s">
        <v>5732</v>
      </c>
      <c r="X1503" s="2">
        <f>IFERROR(VLOOKUP(I1503,'Rate Sheet'!$D:$F,3,FALSE),0)</f>
        <v>14.333333333333334</v>
      </c>
      <c r="Y1503" s="2">
        <f>IFERROR(VLOOKUP(J1503,'Rate Sheet'!$D:$F,3,FALSE),0)</f>
        <v>0</v>
      </c>
      <c r="Z1503" s="2">
        <f>IFERROR(VLOOKUP(K1503,'Rate Sheet'!$D:$F,3,FALSE),0)</f>
        <v>0</v>
      </c>
      <c r="AA1503" s="2">
        <f t="shared" si="23"/>
        <v>14.333333333333334</v>
      </c>
      <c r="AB1503">
        <v>1</v>
      </c>
    </row>
    <row r="1504" spans="1:28" x14ac:dyDescent="0.25">
      <c r="A1504" t="s">
        <v>33</v>
      </c>
      <c r="B1504" t="s">
        <v>5481</v>
      </c>
      <c r="C1504" t="s">
        <v>21</v>
      </c>
      <c r="D1504" t="s">
        <v>5481</v>
      </c>
      <c r="E1504" t="s">
        <v>5482</v>
      </c>
      <c r="F1504" t="s">
        <v>3901</v>
      </c>
      <c r="G1504" t="s">
        <v>24</v>
      </c>
      <c r="H1504" t="s">
        <v>5483</v>
      </c>
      <c r="I1504" t="s">
        <v>46</v>
      </c>
      <c r="N1504" t="s">
        <v>3868</v>
      </c>
      <c r="S1504" t="s">
        <v>48</v>
      </c>
      <c r="V1504" t="s">
        <v>5708</v>
      </c>
      <c r="W1504" t="s">
        <v>5709</v>
      </c>
      <c r="X1504" s="2">
        <f>IFERROR(VLOOKUP(I1504,'Rate Sheet'!$D:$F,3,FALSE),0)</f>
        <v>14.333333333333334</v>
      </c>
      <c r="Y1504" s="2">
        <f>IFERROR(VLOOKUP(J1504,'Rate Sheet'!$D:$F,3,FALSE),0)</f>
        <v>0</v>
      </c>
      <c r="Z1504" s="2">
        <f>IFERROR(VLOOKUP(K1504,'Rate Sheet'!$D:$F,3,FALSE),0)</f>
        <v>0</v>
      </c>
      <c r="AA1504" s="2">
        <f t="shared" si="23"/>
        <v>14.333333333333334</v>
      </c>
      <c r="AB1504">
        <v>1</v>
      </c>
    </row>
    <row r="1505" spans="1:28" x14ac:dyDescent="0.25">
      <c r="A1505" t="s">
        <v>33</v>
      </c>
      <c r="B1505" t="s">
        <v>5484</v>
      </c>
      <c r="C1505" t="s">
        <v>21</v>
      </c>
      <c r="D1505" t="s">
        <v>5484</v>
      </c>
      <c r="E1505" t="s">
        <v>5485</v>
      </c>
      <c r="F1505" t="s">
        <v>5486</v>
      </c>
      <c r="G1505" t="s">
        <v>24</v>
      </c>
      <c r="H1505" t="s">
        <v>5487</v>
      </c>
      <c r="X1505" s="2">
        <f>IFERROR(VLOOKUP(I1505,'Rate Sheet'!$D:$F,3,FALSE),0)</f>
        <v>0</v>
      </c>
      <c r="Y1505" s="2">
        <f>IFERROR(VLOOKUP(J1505,'Rate Sheet'!$D:$F,3,FALSE),0)</f>
        <v>0</v>
      </c>
      <c r="Z1505" s="2">
        <f>IFERROR(VLOOKUP(K1505,'Rate Sheet'!$D:$F,3,FALSE),0)</f>
        <v>0</v>
      </c>
      <c r="AA1505" s="2">
        <f t="shared" si="23"/>
        <v>0</v>
      </c>
    </row>
    <row r="1506" spans="1:28" x14ac:dyDescent="0.25">
      <c r="A1506" t="s">
        <v>33</v>
      </c>
      <c r="B1506" t="s">
        <v>5488</v>
      </c>
      <c r="C1506" t="s">
        <v>21</v>
      </c>
      <c r="D1506" t="s">
        <v>5488</v>
      </c>
      <c r="E1506" t="s">
        <v>3166</v>
      </c>
      <c r="F1506" t="s">
        <v>1247</v>
      </c>
      <c r="G1506" t="s">
        <v>24</v>
      </c>
      <c r="H1506" t="s">
        <v>5489</v>
      </c>
      <c r="X1506" s="2">
        <f>IFERROR(VLOOKUP(I1506,'Rate Sheet'!$D:$F,3,FALSE),0)</f>
        <v>0</v>
      </c>
      <c r="Y1506" s="2">
        <f>IFERROR(VLOOKUP(J1506,'Rate Sheet'!$D:$F,3,FALSE),0)</f>
        <v>0</v>
      </c>
      <c r="Z1506" s="2">
        <f>IFERROR(VLOOKUP(K1506,'Rate Sheet'!$D:$F,3,FALSE),0)</f>
        <v>0</v>
      </c>
      <c r="AA1506" s="2">
        <f t="shared" si="23"/>
        <v>0</v>
      </c>
    </row>
    <row r="1507" spans="1:28" x14ac:dyDescent="0.25">
      <c r="A1507" t="s">
        <v>33</v>
      </c>
      <c r="B1507" t="s">
        <v>5492</v>
      </c>
      <c r="C1507" t="s">
        <v>21</v>
      </c>
      <c r="D1507" t="s">
        <v>5492</v>
      </c>
      <c r="E1507" t="s">
        <v>5493</v>
      </c>
      <c r="F1507" t="s">
        <v>5494</v>
      </c>
      <c r="G1507" t="s">
        <v>24</v>
      </c>
      <c r="H1507" t="s">
        <v>5495</v>
      </c>
      <c r="I1507" t="s">
        <v>73</v>
      </c>
      <c r="N1507" t="s">
        <v>1013</v>
      </c>
      <c r="S1507" t="s">
        <v>75</v>
      </c>
      <c r="V1507" t="s">
        <v>5701</v>
      </c>
      <c r="W1507" t="s">
        <v>1013</v>
      </c>
      <c r="X1507" s="2">
        <f>IFERROR(VLOOKUP(I1507,'Rate Sheet'!$D:$F,3,FALSE),0)</f>
        <v>8.6983333333333324</v>
      </c>
      <c r="Y1507" s="2">
        <f>IFERROR(VLOOKUP(J1507,'Rate Sheet'!$D:$F,3,FALSE),0)</f>
        <v>0</v>
      </c>
      <c r="Z1507" s="2">
        <f>IFERROR(VLOOKUP(K1507,'Rate Sheet'!$D:$F,3,FALSE),0)</f>
        <v>0</v>
      </c>
      <c r="AA1507" s="2">
        <f t="shared" si="23"/>
        <v>8.6983333333333324</v>
      </c>
      <c r="AB1507">
        <v>1</v>
      </c>
    </row>
    <row r="1508" spans="1:28" x14ac:dyDescent="0.25">
      <c r="A1508" t="s">
        <v>33</v>
      </c>
      <c r="B1508" t="s">
        <v>5496</v>
      </c>
      <c r="C1508" t="s">
        <v>21</v>
      </c>
      <c r="D1508" t="s">
        <v>5496</v>
      </c>
      <c r="E1508" t="s">
        <v>3283</v>
      </c>
      <c r="F1508" t="s">
        <v>4366</v>
      </c>
      <c r="G1508" t="s">
        <v>24</v>
      </c>
      <c r="H1508" t="s">
        <v>5497</v>
      </c>
      <c r="X1508" s="2">
        <f>IFERROR(VLOOKUP(I1508,'Rate Sheet'!$D:$F,3,FALSE),0)</f>
        <v>0</v>
      </c>
      <c r="Y1508" s="2">
        <f>IFERROR(VLOOKUP(J1508,'Rate Sheet'!$D:$F,3,FALSE),0)</f>
        <v>0</v>
      </c>
      <c r="Z1508" s="2">
        <f>IFERROR(VLOOKUP(K1508,'Rate Sheet'!$D:$F,3,FALSE),0)</f>
        <v>0</v>
      </c>
      <c r="AA1508" s="2">
        <f t="shared" si="23"/>
        <v>0</v>
      </c>
    </row>
    <row r="1509" spans="1:28" x14ac:dyDescent="0.25">
      <c r="A1509" t="s">
        <v>33</v>
      </c>
      <c r="B1509" t="s">
        <v>5498</v>
      </c>
      <c r="C1509" t="s">
        <v>21</v>
      </c>
      <c r="D1509" t="s">
        <v>5498</v>
      </c>
      <c r="E1509" t="s">
        <v>5499</v>
      </c>
      <c r="F1509" t="s">
        <v>5500</v>
      </c>
      <c r="G1509" t="s">
        <v>24</v>
      </c>
      <c r="H1509" s="1" t="s">
        <v>5501</v>
      </c>
      <c r="I1509" t="s">
        <v>46</v>
      </c>
      <c r="N1509" t="s">
        <v>3868</v>
      </c>
      <c r="S1509" t="s">
        <v>48</v>
      </c>
      <c r="V1509" t="s">
        <v>5708</v>
      </c>
      <c r="W1509" t="s">
        <v>5709</v>
      </c>
      <c r="X1509" s="2">
        <f>IFERROR(VLOOKUP(I1509,'Rate Sheet'!$D:$F,3,FALSE),0)</f>
        <v>14.333333333333334</v>
      </c>
      <c r="Y1509" s="2">
        <f>IFERROR(VLOOKUP(J1509,'Rate Sheet'!$D:$F,3,FALSE),0)</f>
        <v>0</v>
      </c>
      <c r="Z1509" s="2">
        <f>IFERROR(VLOOKUP(K1509,'Rate Sheet'!$D:$F,3,FALSE),0)</f>
        <v>0</v>
      </c>
      <c r="AA1509" s="2">
        <f t="shared" ref="AA1509:AA1527" si="24">SUM(X1509:Z1509)</f>
        <v>14.333333333333334</v>
      </c>
      <c r="AB1509">
        <v>1</v>
      </c>
    </row>
    <row r="1510" spans="1:28" x14ac:dyDescent="0.25">
      <c r="A1510" t="s">
        <v>33</v>
      </c>
      <c r="B1510" t="s">
        <v>5502</v>
      </c>
      <c r="C1510" t="s">
        <v>21</v>
      </c>
      <c r="D1510" t="s">
        <v>5502</v>
      </c>
      <c r="E1510" t="s">
        <v>1549</v>
      </c>
      <c r="F1510" t="s">
        <v>5503</v>
      </c>
      <c r="G1510" t="s">
        <v>24</v>
      </c>
      <c r="H1510" t="s">
        <v>5504</v>
      </c>
      <c r="I1510" t="s">
        <v>46</v>
      </c>
      <c r="S1510" t="s">
        <v>48</v>
      </c>
      <c r="V1510" t="s">
        <v>5708</v>
      </c>
      <c r="W1510" t="s">
        <v>5709</v>
      </c>
      <c r="X1510" s="2">
        <f>IFERROR(VLOOKUP(I1510,'Rate Sheet'!$D:$F,3,FALSE),0)</f>
        <v>14.333333333333334</v>
      </c>
      <c r="Y1510" s="2">
        <f>IFERROR(VLOOKUP(J1510,'Rate Sheet'!$D:$F,3,FALSE),0)</f>
        <v>0</v>
      </c>
      <c r="Z1510" s="2">
        <f>IFERROR(VLOOKUP(K1510,'Rate Sheet'!$D:$F,3,FALSE),0)</f>
        <v>0</v>
      </c>
      <c r="AA1510" s="2">
        <f t="shared" si="24"/>
        <v>14.333333333333334</v>
      </c>
      <c r="AB1510">
        <v>1</v>
      </c>
    </row>
    <row r="1511" spans="1:28" x14ac:dyDescent="0.25">
      <c r="A1511" t="s">
        <v>33</v>
      </c>
      <c r="B1511" t="s">
        <v>5505</v>
      </c>
      <c r="C1511" t="s">
        <v>21</v>
      </c>
      <c r="D1511" t="s">
        <v>5505</v>
      </c>
      <c r="E1511" t="s">
        <v>5506</v>
      </c>
      <c r="F1511" t="s">
        <v>5507</v>
      </c>
      <c r="G1511" t="s">
        <v>24</v>
      </c>
      <c r="H1511" t="s">
        <v>5508</v>
      </c>
      <c r="I1511" t="s">
        <v>46</v>
      </c>
      <c r="N1511" t="s">
        <v>3868</v>
      </c>
      <c r="S1511" t="s">
        <v>48</v>
      </c>
      <c r="V1511" t="s">
        <v>5708</v>
      </c>
      <c r="W1511" t="s">
        <v>5709</v>
      </c>
      <c r="X1511" s="2">
        <f>IFERROR(VLOOKUP(I1511,'Rate Sheet'!$D:$F,3,FALSE),0)</f>
        <v>14.333333333333334</v>
      </c>
      <c r="Y1511" s="2">
        <f>IFERROR(VLOOKUP(J1511,'Rate Sheet'!$D:$F,3,FALSE),0)</f>
        <v>0</v>
      </c>
      <c r="Z1511" s="2">
        <f>IFERROR(VLOOKUP(K1511,'Rate Sheet'!$D:$F,3,FALSE),0)</f>
        <v>0</v>
      </c>
      <c r="AA1511" s="2">
        <f t="shared" si="24"/>
        <v>14.333333333333334</v>
      </c>
      <c r="AB1511">
        <v>1</v>
      </c>
    </row>
    <row r="1512" spans="1:28" x14ac:dyDescent="0.25">
      <c r="A1512" t="s">
        <v>33</v>
      </c>
      <c r="B1512" t="s">
        <v>5509</v>
      </c>
      <c r="C1512" t="s">
        <v>21</v>
      </c>
      <c r="D1512" t="s">
        <v>5509</v>
      </c>
      <c r="E1512" t="s">
        <v>723</v>
      </c>
      <c r="F1512" t="s">
        <v>2445</v>
      </c>
      <c r="G1512" t="s">
        <v>24</v>
      </c>
      <c r="H1512" t="s">
        <v>5510</v>
      </c>
      <c r="I1512" t="s">
        <v>73</v>
      </c>
      <c r="N1512" t="s">
        <v>3868</v>
      </c>
      <c r="S1512" t="s">
        <v>75</v>
      </c>
      <c r="V1512" t="s">
        <v>5708</v>
      </c>
      <c r="W1512" t="s">
        <v>5709</v>
      </c>
      <c r="X1512" s="2">
        <f>IFERROR(VLOOKUP(I1512,'Rate Sheet'!$D:$F,3,FALSE),0)</f>
        <v>8.6983333333333324</v>
      </c>
      <c r="Y1512" s="2">
        <f>IFERROR(VLOOKUP(J1512,'Rate Sheet'!$D:$F,3,FALSE),0)</f>
        <v>0</v>
      </c>
      <c r="Z1512" s="2">
        <f>IFERROR(VLOOKUP(K1512,'Rate Sheet'!$D:$F,3,FALSE),0)</f>
        <v>0</v>
      </c>
      <c r="AA1512" s="2">
        <f t="shared" si="24"/>
        <v>8.6983333333333324</v>
      </c>
      <c r="AB1512">
        <v>1</v>
      </c>
    </row>
    <row r="1513" spans="1:28" x14ac:dyDescent="0.25">
      <c r="A1513" t="s">
        <v>33</v>
      </c>
      <c r="B1513" t="s">
        <v>5511</v>
      </c>
      <c r="C1513" t="s">
        <v>21</v>
      </c>
      <c r="D1513" t="s">
        <v>5511</v>
      </c>
      <c r="E1513" t="s">
        <v>5512</v>
      </c>
      <c r="F1513" t="s">
        <v>5513</v>
      </c>
      <c r="G1513" t="s">
        <v>24</v>
      </c>
      <c r="H1513" t="s">
        <v>5514</v>
      </c>
      <c r="I1513" t="s">
        <v>73</v>
      </c>
      <c r="N1513" t="s">
        <v>3868</v>
      </c>
      <c r="S1513" t="s">
        <v>75</v>
      </c>
      <c r="V1513" t="s">
        <v>5708</v>
      </c>
      <c r="W1513" t="s">
        <v>5709</v>
      </c>
      <c r="X1513" s="2">
        <f>IFERROR(VLOOKUP(I1513,'Rate Sheet'!$D:$F,3,FALSE),0)</f>
        <v>8.6983333333333324</v>
      </c>
      <c r="Y1513" s="2">
        <f>IFERROR(VLOOKUP(J1513,'Rate Sheet'!$D:$F,3,FALSE),0)</f>
        <v>0</v>
      </c>
      <c r="Z1513" s="2">
        <f>IFERROR(VLOOKUP(K1513,'Rate Sheet'!$D:$F,3,FALSE),0)</f>
        <v>0</v>
      </c>
      <c r="AA1513" s="2">
        <f t="shared" si="24"/>
        <v>8.6983333333333324</v>
      </c>
      <c r="AB1513">
        <v>1</v>
      </c>
    </row>
    <row r="1514" spans="1:28" x14ac:dyDescent="0.25">
      <c r="A1514" t="s">
        <v>33</v>
      </c>
      <c r="B1514" t="s">
        <v>5515</v>
      </c>
      <c r="C1514" t="s">
        <v>21</v>
      </c>
      <c r="D1514" t="s">
        <v>5515</v>
      </c>
      <c r="E1514" t="s">
        <v>5043</v>
      </c>
      <c r="F1514" t="s">
        <v>4208</v>
      </c>
      <c r="G1514" t="s">
        <v>24</v>
      </c>
      <c r="H1514" t="s">
        <v>5516</v>
      </c>
      <c r="I1514" t="s">
        <v>73</v>
      </c>
      <c r="N1514" t="s">
        <v>224</v>
      </c>
      <c r="S1514" t="s">
        <v>75</v>
      </c>
      <c r="V1514" t="s">
        <v>5615</v>
      </c>
      <c r="W1514" t="s">
        <v>5616</v>
      </c>
      <c r="X1514" s="2">
        <f>IFERROR(VLOOKUP(I1514,'Rate Sheet'!$D:$F,3,FALSE),0)</f>
        <v>8.6983333333333324</v>
      </c>
      <c r="Y1514" s="2">
        <f>IFERROR(VLOOKUP(J1514,'Rate Sheet'!$D:$F,3,FALSE),0)</f>
        <v>0</v>
      </c>
      <c r="Z1514" s="2">
        <f>IFERROR(VLOOKUP(K1514,'Rate Sheet'!$D:$F,3,FALSE),0)</f>
        <v>0</v>
      </c>
      <c r="AA1514" s="2">
        <f t="shared" si="24"/>
        <v>8.6983333333333324</v>
      </c>
      <c r="AB1514">
        <v>1</v>
      </c>
    </row>
    <row r="1515" spans="1:28" x14ac:dyDescent="0.25">
      <c r="A1515" t="s">
        <v>33</v>
      </c>
      <c r="B1515" t="s">
        <v>5517</v>
      </c>
      <c r="C1515" t="s">
        <v>21</v>
      </c>
      <c r="D1515" t="s">
        <v>5517</v>
      </c>
      <c r="E1515" t="s">
        <v>5518</v>
      </c>
      <c r="F1515" t="s">
        <v>5519</v>
      </c>
      <c r="G1515" t="s">
        <v>24</v>
      </c>
      <c r="H1515" t="s">
        <v>5520</v>
      </c>
      <c r="I1515" t="s">
        <v>73</v>
      </c>
      <c r="N1515" t="s">
        <v>575</v>
      </c>
      <c r="S1515" t="s">
        <v>75</v>
      </c>
      <c r="V1515" t="s">
        <v>5655</v>
      </c>
      <c r="W1515" t="s">
        <v>575</v>
      </c>
      <c r="X1515" s="2">
        <f>IFERROR(VLOOKUP(I1515,'Rate Sheet'!$D:$F,3,FALSE),0)</f>
        <v>8.6983333333333324</v>
      </c>
      <c r="Y1515" s="2">
        <f>IFERROR(VLOOKUP(J1515,'Rate Sheet'!$D:$F,3,FALSE),0)</f>
        <v>0</v>
      </c>
      <c r="Z1515" s="2">
        <f>IFERROR(VLOOKUP(K1515,'Rate Sheet'!$D:$F,3,FALSE),0)</f>
        <v>0</v>
      </c>
      <c r="AA1515" s="2">
        <f t="shared" si="24"/>
        <v>8.6983333333333324</v>
      </c>
      <c r="AB1515">
        <v>1</v>
      </c>
    </row>
    <row r="1516" spans="1:28" x14ac:dyDescent="0.25">
      <c r="A1516" t="s">
        <v>33</v>
      </c>
      <c r="B1516" t="s">
        <v>5521</v>
      </c>
      <c r="C1516" t="s">
        <v>21</v>
      </c>
      <c r="D1516" t="s">
        <v>5521</v>
      </c>
      <c r="E1516" t="s">
        <v>1604</v>
      </c>
      <c r="F1516" t="s">
        <v>5522</v>
      </c>
      <c r="G1516" t="s">
        <v>24</v>
      </c>
      <c r="H1516" t="s">
        <v>5523</v>
      </c>
      <c r="X1516" s="2">
        <f>IFERROR(VLOOKUP(I1516,'Rate Sheet'!$D:$F,3,FALSE),0)</f>
        <v>0</v>
      </c>
      <c r="Y1516" s="2">
        <f>IFERROR(VLOOKUP(J1516,'Rate Sheet'!$D:$F,3,FALSE),0)</f>
        <v>0</v>
      </c>
      <c r="Z1516" s="2">
        <f>IFERROR(VLOOKUP(K1516,'Rate Sheet'!$D:$F,3,FALSE),0)</f>
        <v>0</v>
      </c>
      <c r="AA1516" s="2">
        <f t="shared" si="24"/>
        <v>0</v>
      </c>
    </row>
    <row r="1517" spans="1:28" x14ac:dyDescent="0.25">
      <c r="A1517" t="s">
        <v>33</v>
      </c>
      <c r="B1517" t="s">
        <v>5524</v>
      </c>
      <c r="C1517" t="s">
        <v>21</v>
      </c>
      <c r="D1517" t="s">
        <v>5524</v>
      </c>
      <c r="E1517" t="s">
        <v>3394</v>
      </c>
      <c r="F1517" t="s">
        <v>5525</v>
      </c>
      <c r="G1517" t="s">
        <v>24</v>
      </c>
      <c r="H1517" t="s">
        <v>5526</v>
      </c>
      <c r="X1517" s="2">
        <f>IFERROR(VLOOKUP(I1517,'Rate Sheet'!$D:$F,3,FALSE),0)</f>
        <v>0</v>
      </c>
      <c r="Y1517" s="2">
        <f>IFERROR(VLOOKUP(J1517,'Rate Sheet'!$D:$F,3,FALSE),0)</f>
        <v>0</v>
      </c>
      <c r="Z1517" s="2">
        <f>IFERROR(VLOOKUP(K1517,'Rate Sheet'!$D:$F,3,FALSE),0)</f>
        <v>0</v>
      </c>
      <c r="AA1517" s="2">
        <f t="shared" si="24"/>
        <v>0</v>
      </c>
    </row>
    <row r="1518" spans="1:28" x14ac:dyDescent="0.25">
      <c r="A1518" t="s">
        <v>33</v>
      </c>
      <c r="B1518" t="s">
        <v>5527</v>
      </c>
      <c r="C1518" t="s">
        <v>21</v>
      </c>
      <c r="D1518" t="s">
        <v>5527</v>
      </c>
      <c r="E1518" t="s">
        <v>519</v>
      </c>
      <c r="F1518" t="s">
        <v>2152</v>
      </c>
      <c r="G1518" t="s">
        <v>24</v>
      </c>
      <c r="H1518" t="s">
        <v>5528</v>
      </c>
      <c r="I1518" t="s">
        <v>73</v>
      </c>
      <c r="N1518" t="s">
        <v>4585</v>
      </c>
      <c r="S1518" t="s">
        <v>75</v>
      </c>
      <c r="V1518" t="s">
        <v>5769</v>
      </c>
      <c r="W1518" t="s">
        <v>5770</v>
      </c>
      <c r="X1518" s="2">
        <f>IFERROR(VLOOKUP(I1518,'Rate Sheet'!$D:$F,3,FALSE),0)</f>
        <v>8.6983333333333324</v>
      </c>
      <c r="Y1518" s="2">
        <f>IFERROR(VLOOKUP(J1518,'Rate Sheet'!$D:$F,3,FALSE),0)</f>
        <v>0</v>
      </c>
      <c r="Z1518" s="2">
        <f>IFERROR(VLOOKUP(K1518,'Rate Sheet'!$D:$F,3,FALSE),0)</f>
        <v>0</v>
      </c>
      <c r="AA1518" s="2">
        <f t="shared" si="24"/>
        <v>8.6983333333333324</v>
      </c>
      <c r="AB1518">
        <v>1</v>
      </c>
    </row>
    <row r="1519" spans="1:28" x14ac:dyDescent="0.25">
      <c r="A1519" t="s">
        <v>33</v>
      </c>
      <c r="B1519" t="s">
        <v>5529</v>
      </c>
      <c r="C1519" t="s">
        <v>21</v>
      </c>
      <c r="D1519" t="s">
        <v>5529</v>
      </c>
      <c r="E1519" t="s">
        <v>5530</v>
      </c>
      <c r="F1519" t="s">
        <v>5531</v>
      </c>
      <c r="G1519" t="s">
        <v>24</v>
      </c>
      <c r="H1519" t="s">
        <v>5532</v>
      </c>
      <c r="I1519" t="s">
        <v>73</v>
      </c>
      <c r="N1519" t="s">
        <v>444</v>
      </c>
      <c r="S1519" t="s">
        <v>75</v>
      </c>
      <c r="V1519" t="s">
        <v>5636</v>
      </c>
      <c r="W1519" t="s">
        <v>5637</v>
      </c>
      <c r="X1519" s="2">
        <f>IFERROR(VLOOKUP(I1519,'Rate Sheet'!$D:$F,3,FALSE),0)</f>
        <v>8.6983333333333324</v>
      </c>
      <c r="Y1519" s="2">
        <f>IFERROR(VLOOKUP(J1519,'Rate Sheet'!$D:$F,3,FALSE),0)</f>
        <v>0</v>
      </c>
      <c r="Z1519" s="2">
        <f>IFERROR(VLOOKUP(K1519,'Rate Sheet'!$D:$F,3,FALSE),0)</f>
        <v>0</v>
      </c>
      <c r="AA1519" s="2">
        <f t="shared" si="24"/>
        <v>8.6983333333333324</v>
      </c>
      <c r="AB1519">
        <v>1</v>
      </c>
    </row>
    <row r="1520" spans="1:28" x14ac:dyDescent="0.25">
      <c r="A1520" t="s">
        <v>33</v>
      </c>
      <c r="B1520" t="s">
        <v>5533</v>
      </c>
      <c r="C1520" t="s">
        <v>21</v>
      </c>
      <c r="D1520" t="s">
        <v>5533</v>
      </c>
      <c r="E1520" t="s">
        <v>226</v>
      </c>
      <c r="F1520" t="s">
        <v>1512</v>
      </c>
      <c r="G1520" t="s">
        <v>24</v>
      </c>
      <c r="H1520" t="s">
        <v>5534</v>
      </c>
      <c r="I1520" t="s">
        <v>73</v>
      </c>
      <c r="N1520" t="s">
        <v>3868</v>
      </c>
      <c r="S1520" t="s">
        <v>75</v>
      </c>
      <c r="V1520" t="s">
        <v>5708</v>
      </c>
      <c r="W1520" t="s">
        <v>5709</v>
      </c>
      <c r="X1520" s="2">
        <f>IFERROR(VLOOKUP(I1520,'Rate Sheet'!$D:$F,3,FALSE),0)</f>
        <v>8.6983333333333324</v>
      </c>
      <c r="Y1520" s="2">
        <f>IFERROR(VLOOKUP(J1520,'Rate Sheet'!$D:$F,3,FALSE),0)</f>
        <v>0</v>
      </c>
      <c r="Z1520" s="2">
        <f>IFERROR(VLOOKUP(K1520,'Rate Sheet'!$D:$F,3,FALSE),0)</f>
        <v>0</v>
      </c>
      <c r="AA1520" s="2">
        <f t="shared" si="24"/>
        <v>8.6983333333333324</v>
      </c>
      <c r="AB1520">
        <v>1</v>
      </c>
    </row>
    <row r="1521" spans="1:28" x14ac:dyDescent="0.25">
      <c r="A1521" t="s">
        <v>33</v>
      </c>
      <c r="B1521" t="s">
        <v>5535</v>
      </c>
      <c r="C1521" t="s">
        <v>29</v>
      </c>
      <c r="D1521" t="s">
        <v>5535</v>
      </c>
      <c r="E1521" t="s">
        <v>4105</v>
      </c>
      <c r="F1521" t="s">
        <v>846</v>
      </c>
      <c r="G1521" t="s">
        <v>24</v>
      </c>
      <c r="H1521" t="s">
        <v>5536</v>
      </c>
      <c r="I1521" t="s">
        <v>46</v>
      </c>
      <c r="N1521" t="s">
        <v>2312</v>
      </c>
      <c r="S1521" t="s">
        <v>48</v>
      </c>
      <c r="V1521" t="s">
        <v>5727</v>
      </c>
      <c r="W1521" t="s">
        <v>2312</v>
      </c>
      <c r="X1521" s="2">
        <f>IFERROR(VLOOKUP(I1521,'Rate Sheet'!$D:$F,3,FALSE),0)</f>
        <v>14.333333333333334</v>
      </c>
      <c r="Y1521" s="2">
        <f>IFERROR(VLOOKUP(J1521,'Rate Sheet'!$D:$F,3,FALSE),0)</f>
        <v>0</v>
      </c>
      <c r="Z1521" s="2">
        <f>IFERROR(VLOOKUP(K1521,'Rate Sheet'!$D:$F,3,FALSE),0)</f>
        <v>0</v>
      </c>
      <c r="AA1521" s="2">
        <f t="shared" si="24"/>
        <v>14.333333333333334</v>
      </c>
      <c r="AB1521">
        <v>1</v>
      </c>
    </row>
    <row r="1522" spans="1:28" x14ac:dyDescent="0.25">
      <c r="A1522" t="s">
        <v>33</v>
      </c>
      <c r="B1522" t="s">
        <v>5537</v>
      </c>
      <c r="C1522" t="s">
        <v>21</v>
      </c>
      <c r="D1522" t="s">
        <v>5537</v>
      </c>
      <c r="E1522" t="s">
        <v>5398</v>
      </c>
      <c r="F1522" t="s">
        <v>5399</v>
      </c>
      <c r="G1522" t="s">
        <v>24</v>
      </c>
      <c r="H1522" t="s">
        <v>5538</v>
      </c>
      <c r="X1522" s="2">
        <f>IFERROR(VLOOKUP(I1522,'Rate Sheet'!$D:$F,3,FALSE),0)</f>
        <v>0</v>
      </c>
      <c r="Y1522" s="2">
        <f>IFERROR(VLOOKUP(J1522,'Rate Sheet'!$D:$F,3,FALSE),0)</f>
        <v>0</v>
      </c>
      <c r="Z1522" s="2">
        <f>IFERROR(VLOOKUP(K1522,'Rate Sheet'!$D:$F,3,FALSE),0)</f>
        <v>0</v>
      </c>
      <c r="AA1522" s="2">
        <f t="shared" si="24"/>
        <v>0</v>
      </c>
    </row>
    <row r="1523" spans="1:28" x14ac:dyDescent="0.25">
      <c r="A1523" t="s">
        <v>33</v>
      </c>
      <c r="B1523" t="s">
        <v>5539</v>
      </c>
      <c r="C1523" t="s">
        <v>29</v>
      </c>
      <c r="D1523" t="s">
        <v>5540</v>
      </c>
      <c r="E1523" t="s">
        <v>5541</v>
      </c>
      <c r="F1523" t="s">
        <v>5542</v>
      </c>
      <c r="G1523" t="s">
        <v>24</v>
      </c>
      <c r="H1523" t="s">
        <v>5543</v>
      </c>
      <c r="I1523" t="s">
        <v>73</v>
      </c>
      <c r="N1523" t="s">
        <v>511</v>
      </c>
      <c r="S1523" t="s">
        <v>75</v>
      </c>
      <c r="V1523" t="s">
        <v>5617</v>
      </c>
      <c r="W1523" t="s">
        <v>511</v>
      </c>
      <c r="X1523" s="2">
        <f>IFERROR(VLOOKUP(I1523,'Rate Sheet'!$D:$F,3,FALSE),0)</f>
        <v>8.6983333333333324</v>
      </c>
      <c r="Y1523" s="2">
        <f>IFERROR(VLOOKUP(J1523,'Rate Sheet'!$D:$F,3,FALSE),0)</f>
        <v>0</v>
      </c>
      <c r="Z1523" s="2">
        <f>IFERROR(VLOOKUP(K1523,'Rate Sheet'!$D:$F,3,FALSE),0)</f>
        <v>0</v>
      </c>
      <c r="AA1523" s="2">
        <f t="shared" si="24"/>
        <v>8.6983333333333324</v>
      </c>
      <c r="AB1523">
        <v>1</v>
      </c>
    </row>
    <row r="1524" spans="1:28" x14ac:dyDescent="0.25">
      <c r="A1524" t="s">
        <v>33</v>
      </c>
      <c r="B1524" t="s">
        <v>5544</v>
      </c>
      <c r="C1524" t="s">
        <v>21</v>
      </c>
      <c r="D1524" t="s">
        <v>5544</v>
      </c>
      <c r="E1524" t="s">
        <v>135</v>
      </c>
      <c r="F1524" t="s">
        <v>5545</v>
      </c>
      <c r="G1524" t="s">
        <v>24</v>
      </c>
      <c r="H1524" t="s">
        <v>5546</v>
      </c>
      <c r="I1524" t="s">
        <v>73</v>
      </c>
      <c r="N1524" t="s">
        <v>2014</v>
      </c>
      <c r="S1524" t="s">
        <v>75</v>
      </c>
      <c r="V1524" t="s">
        <v>5707</v>
      </c>
      <c r="W1524" t="s">
        <v>2014</v>
      </c>
      <c r="X1524" s="2">
        <f>IFERROR(VLOOKUP(I1524,'Rate Sheet'!$D:$F,3,FALSE),0)</f>
        <v>8.6983333333333324</v>
      </c>
      <c r="Y1524" s="2">
        <f>IFERROR(VLOOKUP(J1524,'Rate Sheet'!$D:$F,3,FALSE),0)</f>
        <v>0</v>
      </c>
      <c r="Z1524" s="2">
        <f>IFERROR(VLOOKUP(K1524,'Rate Sheet'!$D:$F,3,FALSE),0)</f>
        <v>0</v>
      </c>
      <c r="AA1524" s="2">
        <f t="shared" si="24"/>
        <v>8.6983333333333324</v>
      </c>
      <c r="AB1524">
        <v>1</v>
      </c>
    </row>
    <row r="1525" spans="1:28" x14ac:dyDescent="0.25">
      <c r="A1525" t="s">
        <v>33</v>
      </c>
      <c r="B1525" t="s">
        <v>5547</v>
      </c>
      <c r="C1525" t="s">
        <v>21</v>
      </c>
      <c r="D1525" t="s">
        <v>5547</v>
      </c>
      <c r="E1525" t="s">
        <v>5548</v>
      </c>
      <c r="F1525" t="s">
        <v>5549</v>
      </c>
      <c r="G1525" t="s">
        <v>24</v>
      </c>
      <c r="H1525" t="s">
        <v>5550</v>
      </c>
      <c r="X1525" s="2">
        <f>IFERROR(VLOOKUP(I1525,'Rate Sheet'!$D:$F,3,FALSE),0)</f>
        <v>0</v>
      </c>
      <c r="Y1525" s="2">
        <f>IFERROR(VLOOKUP(J1525,'Rate Sheet'!$D:$F,3,FALSE),0)</f>
        <v>0</v>
      </c>
      <c r="Z1525" s="2">
        <f>IFERROR(VLOOKUP(K1525,'Rate Sheet'!$D:$F,3,FALSE),0)</f>
        <v>0</v>
      </c>
      <c r="AA1525" s="2">
        <f t="shared" si="24"/>
        <v>0</v>
      </c>
    </row>
    <row r="1526" spans="1:28" x14ac:dyDescent="0.25">
      <c r="A1526" t="s">
        <v>33</v>
      </c>
      <c r="B1526" t="s">
        <v>5551</v>
      </c>
      <c r="C1526" t="s">
        <v>21</v>
      </c>
      <c r="D1526" t="s">
        <v>5551</v>
      </c>
      <c r="E1526" t="s">
        <v>5552</v>
      </c>
      <c r="F1526" t="s">
        <v>5553</v>
      </c>
      <c r="G1526" t="s">
        <v>24</v>
      </c>
      <c r="H1526" t="s">
        <v>5554</v>
      </c>
      <c r="I1526" t="s">
        <v>46</v>
      </c>
      <c r="S1526" t="s">
        <v>48</v>
      </c>
      <c r="V1526" t="s">
        <v>5708</v>
      </c>
      <c r="W1526" t="s">
        <v>5709</v>
      </c>
      <c r="X1526" s="2">
        <f>IFERROR(VLOOKUP(I1526,'Rate Sheet'!$D:$F,3,FALSE),0)</f>
        <v>14.333333333333334</v>
      </c>
      <c r="Y1526" s="2">
        <f>IFERROR(VLOOKUP(J1526,'Rate Sheet'!$D:$F,3,FALSE),0)</f>
        <v>0</v>
      </c>
      <c r="Z1526" s="2">
        <f>IFERROR(VLOOKUP(K1526,'Rate Sheet'!$D:$F,3,FALSE),0)</f>
        <v>0</v>
      </c>
      <c r="AA1526" s="2">
        <f t="shared" si="24"/>
        <v>14.333333333333334</v>
      </c>
      <c r="AB1526">
        <v>1</v>
      </c>
    </row>
    <row r="1527" spans="1:28" x14ac:dyDescent="0.25">
      <c r="A1527" t="s">
        <v>33</v>
      </c>
      <c r="B1527" t="s">
        <v>5555</v>
      </c>
      <c r="C1527" t="s">
        <v>29</v>
      </c>
      <c r="D1527" t="s">
        <v>5555</v>
      </c>
      <c r="E1527" t="s">
        <v>4717</v>
      </c>
      <c r="F1527" t="s">
        <v>5556</v>
      </c>
      <c r="G1527" t="s">
        <v>24</v>
      </c>
      <c r="H1527" t="s">
        <v>5557</v>
      </c>
      <c r="I1527" t="s">
        <v>46</v>
      </c>
      <c r="N1527" t="s">
        <v>246</v>
      </c>
      <c r="S1527" t="s">
        <v>48</v>
      </c>
      <c r="V1527" t="s">
        <v>5661</v>
      </c>
      <c r="W1527" t="s">
        <v>246</v>
      </c>
      <c r="X1527" s="2">
        <f>IFERROR(VLOOKUP(I1527,'Rate Sheet'!$D:$F,3,FALSE),0)</f>
        <v>14.333333333333334</v>
      </c>
      <c r="Y1527" s="2">
        <f>IFERROR(VLOOKUP(J1527,'Rate Sheet'!$D:$F,3,FALSE),0)</f>
        <v>0</v>
      </c>
      <c r="Z1527" s="2">
        <f>IFERROR(VLOOKUP(K1527,'Rate Sheet'!$D:$F,3,FALSE),0)</f>
        <v>0</v>
      </c>
      <c r="AA1527" s="2">
        <f t="shared" si="24"/>
        <v>14.333333333333334</v>
      </c>
      <c r="AB1527">
        <v>1</v>
      </c>
    </row>
    <row r="1531" spans="1:28" x14ac:dyDescent="0.25">
      <c r="AA1531" s="7">
        <f>SUM(AA2:AA1527)</f>
        <v>16336.833333333581</v>
      </c>
    </row>
  </sheetData>
  <autoFilter ref="A1:AB1527" xr:uid="{CEA792CA-D909-42FF-9716-6BB3C546902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596B-686B-4F26-B61D-5484CF46FBC8}">
  <sheetPr>
    <tabColor theme="1"/>
  </sheetPr>
  <dimension ref="C6:G17"/>
  <sheetViews>
    <sheetView topLeftCell="A4" workbookViewId="0">
      <selection activeCell="B13" sqref="B13"/>
    </sheetView>
  </sheetViews>
  <sheetFormatPr defaultRowHeight="15" x14ac:dyDescent="0.25"/>
  <cols>
    <col min="3" max="3" width="39.7109375" bestFit="1" customWidth="1"/>
    <col min="4" max="4" width="50.140625" customWidth="1"/>
    <col min="5" max="5" width="11" bestFit="1" customWidth="1"/>
    <col min="6" max="6" width="12.5703125" bestFit="1" customWidth="1"/>
    <col min="7" max="7" width="61.85546875" bestFit="1" customWidth="1"/>
  </cols>
  <sheetData>
    <row r="6" spans="3:7" x14ac:dyDescent="0.25">
      <c r="E6" s="2"/>
      <c r="F6" s="2"/>
    </row>
    <row r="7" spans="3:7" x14ac:dyDescent="0.25">
      <c r="D7" s="3" t="s">
        <v>5558</v>
      </c>
      <c r="E7" s="3" t="s">
        <v>5559</v>
      </c>
      <c r="F7" s="3" t="s">
        <v>5560</v>
      </c>
    </row>
    <row r="8" spans="3:7" x14ac:dyDescent="0.25">
      <c r="D8" s="4" t="s">
        <v>46</v>
      </c>
      <c r="E8" s="5">
        <v>172</v>
      </c>
      <c r="F8" s="5">
        <f>+E8/12</f>
        <v>14.333333333333334</v>
      </c>
      <c r="G8" s="4"/>
    </row>
    <row r="9" spans="3:7" x14ac:dyDescent="0.25">
      <c r="D9" s="4" t="s">
        <v>5561</v>
      </c>
      <c r="E9" s="5">
        <v>334.75</v>
      </c>
      <c r="F9" s="5">
        <f t="shared" ref="F9:F16" si="0">+E9/12</f>
        <v>27.895833333333332</v>
      </c>
      <c r="G9" s="4"/>
    </row>
    <row r="10" spans="3:7" x14ac:dyDescent="0.25">
      <c r="D10" s="4" t="s">
        <v>882</v>
      </c>
      <c r="E10" s="5">
        <v>431.75</v>
      </c>
      <c r="F10" s="5">
        <f t="shared" si="0"/>
        <v>35.979166666666664</v>
      </c>
      <c r="G10" s="4"/>
    </row>
    <row r="11" spans="3:7" x14ac:dyDescent="0.25">
      <c r="D11" s="4" t="s">
        <v>3206</v>
      </c>
      <c r="E11" s="5">
        <v>436.29</v>
      </c>
      <c r="F11" s="5">
        <f t="shared" si="0"/>
        <v>36.357500000000002</v>
      </c>
      <c r="G11" s="4"/>
    </row>
    <row r="12" spans="3:7" x14ac:dyDescent="0.25">
      <c r="D12" s="4" t="s">
        <v>5562</v>
      </c>
      <c r="E12" s="5">
        <v>418.48500000000001</v>
      </c>
      <c r="F12" s="5">
        <f>+E12/12</f>
        <v>34.873750000000001</v>
      </c>
      <c r="G12" s="4"/>
    </row>
    <row r="13" spans="3:7" x14ac:dyDescent="0.25">
      <c r="C13" s="8" t="s">
        <v>5565</v>
      </c>
      <c r="D13" s="8"/>
      <c r="E13" s="9"/>
      <c r="F13" s="9"/>
      <c r="G13" s="8" t="s">
        <v>5573</v>
      </c>
    </row>
    <row r="14" spans="3:7" x14ac:dyDescent="0.25">
      <c r="D14" s="4" t="s">
        <v>5563</v>
      </c>
      <c r="E14" s="5">
        <v>348.74</v>
      </c>
      <c r="F14" s="5">
        <f>+E14/12</f>
        <v>29.061666666666667</v>
      </c>
      <c r="G14" s="4"/>
    </row>
    <row r="15" spans="3:7" x14ac:dyDescent="0.25">
      <c r="D15" s="4" t="s">
        <v>73</v>
      </c>
      <c r="E15" s="5">
        <v>104.38</v>
      </c>
      <c r="F15" s="5">
        <f t="shared" si="0"/>
        <v>8.6983333333333324</v>
      </c>
      <c r="G15" s="4"/>
    </row>
    <row r="16" spans="3:7" x14ac:dyDescent="0.25">
      <c r="D16" s="4" t="s">
        <v>96</v>
      </c>
      <c r="E16" s="5">
        <v>986.88</v>
      </c>
      <c r="F16" s="5">
        <f t="shared" si="0"/>
        <v>82.24</v>
      </c>
      <c r="G16" s="4"/>
    </row>
    <row r="17" spans="3:7" x14ac:dyDescent="0.25">
      <c r="C17" s="8" t="s">
        <v>3565</v>
      </c>
      <c r="D17" s="8"/>
      <c r="E17" s="9"/>
      <c r="F17" s="9"/>
      <c r="G17" s="8" t="s">
        <v>5573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20CF-F82B-4473-8FBD-94ACB5CB73F0}">
  <sheetPr filterMode="1">
    <tabColor theme="1"/>
  </sheetPr>
  <dimension ref="A1:S1557"/>
  <sheetViews>
    <sheetView zoomScale="80" zoomScaleNormal="80" workbookViewId="0">
      <selection activeCell="I1559" sqref="I1559"/>
    </sheetView>
  </sheetViews>
  <sheetFormatPr defaultRowHeight="15" x14ac:dyDescent="0.25"/>
  <cols>
    <col min="8" max="8" width="58" bestFit="1" customWidth="1"/>
    <col min="9" max="9" width="93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25">
      <c r="A2" t="s">
        <v>19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L2" t="s">
        <v>27</v>
      </c>
    </row>
    <row r="3" spans="1:19" hidden="1" x14ac:dyDescent="0.25">
      <c r="A3" t="s">
        <v>19</v>
      </c>
      <c r="B3" t="s">
        <v>28</v>
      </c>
      <c r="C3" t="s">
        <v>29</v>
      </c>
      <c r="D3" t="s">
        <v>28</v>
      </c>
      <c r="E3" t="s">
        <v>30</v>
      </c>
      <c r="F3" t="s">
        <v>31</v>
      </c>
      <c r="G3" t="s">
        <v>24</v>
      </c>
      <c r="H3" t="s">
        <v>32</v>
      </c>
      <c r="L3" t="s">
        <v>27</v>
      </c>
    </row>
    <row r="4" spans="1:19" hidden="1" x14ac:dyDescent="0.25">
      <c r="A4" t="s">
        <v>33</v>
      </c>
      <c r="B4" t="s">
        <v>34</v>
      </c>
      <c r="C4" t="s">
        <v>21</v>
      </c>
      <c r="D4" t="s">
        <v>34</v>
      </c>
      <c r="E4" t="s">
        <v>35</v>
      </c>
      <c r="F4" t="s">
        <v>36</v>
      </c>
      <c r="G4" t="s">
        <v>24</v>
      </c>
      <c r="H4" t="s">
        <v>37</v>
      </c>
      <c r="L4" t="s">
        <v>38</v>
      </c>
    </row>
    <row r="5" spans="1:19" hidden="1" x14ac:dyDescent="0.25">
      <c r="A5" t="s">
        <v>33</v>
      </c>
      <c r="B5" t="s">
        <v>39</v>
      </c>
      <c r="C5" t="s">
        <v>21</v>
      </c>
      <c r="D5" t="s">
        <v>39</v>
      </c>
      <c r="E5" t="s">
        <v>22</v>
      </c>
      <c r="F5" t="s">
        <v>40</v>
      </c>
      <c r="G5" t="s">
        <v>24</v>
      </c>
      <c r="H5" t="s">
        <v>41</v>
      </c>
      <c r="J5" t="s">
        <v>26</v>
      </c>
      <c r="L5" t="s">
        <v>27</v>
      </c>
    </row>
    <row r="6" spans="1:19" hidden="1" x14ac:dyDescent="0.25">
      <c r="A6" t="s">
        <v>33</v>
      </c>
      <c r="B6" t="s">
        <v>42</v>
      </c>
      <c r="C6" t="s">
        <v>21</v>
      </c>
      <c r="D6" t="s">
        <v>42</v>
      </c>
      <c r="E6" t="s">
        <v>43</v>
      </c>
      <c r="F6" t="s">
        <v>44</v>
      </c>
      <c r="G6" t="s">
        <v>24</v>
      </c>
      <c r="H6" t="s">
        <v>45</v>
      </c>
      <c r="I6" t="s">
        <v>46</v>
      </c>
      <c r="L6" t="s">
        <v>47</v>
      </c>
      <c r="Q6" t="s">
        <v>48</v>
      </c>
    </row>
    <row r="7" spans="1:19" hidden="1" x14ac:dyDescent="0.25">
      <c r="A7" t="s">
        <v>33</v>
      </c>
      <c r="B7" t="s">
        <v>49</v>
      </c>
      <c r="C7" t="s">
        <v>21</v>
      </c>
      <c r="D7" t="s">
        <v>49</v>
      </c>
      <c r="E7" t="s">
        <v>50</v>
      </c>
      <c r="F7" t="s">
        <v>51</v>
      </c>
      <c r="G7" t="s">
        <v>24</v>
      </c>
      <c r="H7" t="s">
        <v>52</v>
      </c>
      <c r="I7" t="s">
        <v>46</v>
      </c>
      <c r="L7" t="s">
        <v>53</v>
      </c>
      <c r="Q7" t="s">
        <v>48</v>
      </c>
    </row>
    <row r="8" spans="1:19" hidden="1" x14ac:dyDescent="0.25">
      <c r="A8" t="s">
        <v>33</v>
      </c>
      <c r="B8" t="s">
        <v>54</v>
      </c>
      <c r="C8" t="s">
        <v>21</v>
      </c>
      <c r="D8" t="s">
        <v>54</v>
      </c>
      <c r="E8" t="s">
        <v>55</v>
      </c>
      <c r="F8" t="s">
        <v>56</v>
      </c>
      <c r="G8" t="s">
        <v>24</v>
      </c>
      <c r="H8" t="s">
        <v>57</v>
      </c>
      <c r="I8" t="s">
        <v>46</v>
      </c>
      <c r="L8" t="s">
        <v>38</v>
      </c>
      <c r="Q8" t="s">
        <v>48</v>
      </c>
    </row>
    <row r="9" spans="1:19" hidden="1" x14ac:dyDescent="0.25">
      <c r="A9" t="s">
        <v>33</v>
      </c>
      <c r="B9" t="s">
        <v>58</v>
      </c>
      <c r="C9" t="s">
        <v>21</v>
      </c>
      <c r="D9" t="s">
        <v>59</v>
      </c>
      <c r="E9" t="s">
        <v>60</v>
      </c>
      <c r="F9" t="s">
        <v>61</v>
      </c>
      <c r="G9" t="s">
        <v>24</v>
      </c>
      <c r="H9" t="s">
        <v>62</v>
      </c>
      <c r="I9" t="s">
        <v>46</v>
      </c>
      <c r="L9" t="s">
        <v>63</v>
      </c>
      <c r="Q9" t="s">
        <v>48</v>
      </c>
    </row>
    <row r="10" spans="1:19" hidden="1" x14ac:dyDescent="0.25">
      <c r="A10" t="s">
        <v>33</v>
      </c>
      <c r="B10" t="s">
        <v>64</v>
      </c>
      <c r="C10" t="s">
        <v>21</v>
      </c>
      <c r="D10" t="s">
        <v>64</v>
      </c>
      <c r="E10" t="s">
        <v>65</v>
      </c>
      <c r="F10" t="s">
        <v>66</v>
      </c>
      <c r="G10" t="s">
        <v>24</v>
      </c>
      <c r="H10" t="s">
        <v>67</v>
      </c>
      <c r="I10" t="s">
        <v>46</v>
      </c>
      <c r="L10" t="s">
        <v>68</v>
      </c>
      <c r="Q10" t="s">
        <v>48</v>
      </c>
    </row>
    <row r="11" spans="1:19" hidden="1" x14ac:dyDescent="0.25">
      <c r="A11" t="s">
        <v>33</v>
      </c>
      <c r="B11" t="s">
        <v>69</v>
      </c>
      <c r="C11" t="s">
        <v>21</v>
      </c>
      <c r="D11" t="s">
        <v>69</v>
      </c>
      <c r="E11" t="s">
        <v>70</v>
      </c>
      <c r="F11" t="s">
        <v>71</v>
      </c>
      <c r="G11" t="s">
        <v>24</v>
      </c>
      <c r="H11" t="s">
        <v>72</v>
      </c>
      <c r="I11" t="s">
        <v>73</v>
      </c>
      <c r="L11" t="s">
        <v>74</v>
      </c>
      <c r="Q11" t="s">
        <v>75</v>
      </c>
    </row>
    <row r="12" spans="1:19" hidden="1" x14ac:dyDescent="0.25">
      <c r="A12" t="s">
        <v>33</v>
      </c>
      <c r="B12" t="s">
        <v>76</v>
      </c>
      <c r="C12" t="s">
        <v>21</v>
      </c>
      <c r="D12" t="s">
        <v>76</v>
      </c>
      <c r="E12" t="s">
        <v>77</v>
      </c>
      <c r="F12" t="s">
        <v>78</v>
      </c>
      <c r="G12" t="s">
        <v>24</v>
      </c>
      <c r="H12" t="s">
        <v>79</v>
      </c>
      <c r="I12" t="s">
        <v>46</v>
      </c>
      <c r="L12" t="s">
        <v>80</v>
      </c>
      <c r="Q12" t="s">
        <v>48</v>
      </c>
    </row>
    <row r="13" spans="1:19" hidden="1" x14ac:dyDescent="0.25">
      <c r="A13" t="s">
        <v>33</v>
      </c>
      <c r="B13" t="s">
        <v>81</v>
      </c>
      <c r="C13" t="s">
        <v>21</v>
      </c>
      <c r="D13" t="s">
        <v>81</v>
      </c>
      <c r="E13" t="s">
        <v>82</v>
      </c>
      <c r="F13" t="s">
        <v>83</v>
      </c>
      <c r="G13" t="s">
        <v>24</v>
      </c>
      <c r="H13" t="s">
        <v>84</v>
      </c>
      <c r="I13" t="s">
        <v>46</v>
      </c>
      <c r="L13" t="s">
        <v>85</v>
      </c>
      <c r="Q13" t="s">
        <v>48</v>
      </c>
    </row>
    <row r="14" spans="1:19" hidden="1" x14ac:dyDescent="0.25">
      <c r="A14" t="s">
        <v>33</v>
      </c>
      <c r="B14" t="s">
        <v>86</v>
      </c>
      <c r="C14" t="s">
        <v>21</v>
      </c>
      <c r="D14" t="s">
        <v>86</v>
      </c>
      <c r="E14" t="s">
        <v>87</v>
      </c>
      <c r="F14" t="s">
        <v>88</v>
      </c>
      <c r="G14" t="s">
        <v>24</v>
      </c>
      <c r="H14" t="s">
        <v>89</v>
      </c>
      <c r="I14" t="s">
        <v>46</v>
      </c>
      <c r="L14" t="s">
        <v>90</v>
      </c>
      <c r="Q14" t="s">
        <v>48</v>
      </c>
    </row>
    <row r="15" spans="1:19" hidden="1" x14ac:dyDescent="0.25">
      <c r="A15" t="s">
        <v>33</v>
      </c>
      <c r="B15" t="s">
        <v>91</v>
      </c>
      <c r="C15" t="s">
        <v>92</v>
      </c>
      <c r="D15" t="s">
        <v>91</v>
      </c>
      <c r="E15" t="s">
        <v>93</v>
      </c>
      <c r="F15" t="s">
        <v>94</v>
      </c>
      <c r="G15" t="s">
        <v>24</v>
      </c>
      <c r="H15" t="s">
        <v>95</v>
      </c>
      <c r="I15" t="s">
        <v>96</v>
      </c>
      <c r="L15" t="s">
        <v>97</v>
      </c>
      <c r="Q15" t="s">
        <v>98</v>
      </c>
    </row>
    <row r="16" spans="1:19" hidden="1" x14ac:dyDescent="0.25">
      <c r="A16" t="s">
        <v>33</v>
      </c>
      <c r="B16" t="s">
        <v>99</v>
      </c>
      <c r="C16" t="s">
        <v>21</v>
      </c>
      <c r="D16" t="s">
        <v>99</v>
      </c>
      <c r="E16" t="s">
        <v>100</v>
      </c>
      <c r="F16" t="s">
        <v>101</v>
      </c>
      <c r="G16" t="s">
        <v>24</v>
      </c>
      <c r="H16" t="s">
        <v>102</v>
      </c>
      <c r="I16" t="s">
        <v>46</v>
      </c>
      <c r="L16" t="s">
        <v>103</v>
      </c>
      <c r="Q16" t="s">
        <v>48</v>
      </c>
    </row>
    <row r="17" spans="1:17" hidden="1" x14ac:dyDescent="0.25">
      <c r="A17" t="s">
        <v>33</v>
      </c>
      <c r="B17" t="s">
        <v>104</v>
      </c>
      <c r="C17" t="s">
        <v>21</v>
      </c>
      <c r="D17" t="s">
        <v>104</v>
      </c>
      <c r="E17" t="s">
        <v>105</v>
      </c>
      <c r="F17" t="s">
        <v>106</v>
      </c>
      <c r="G17" t="s">
        <v>24</v>
      </c>
      <c r="H17" t="s">
        <v>107</v>
      </c>
      <c r="I17" t="s">
        <v>46</v>
      </c>
      <c r="L17" t="s">
        <v>108</v>
      </c>
      <c r="Q17" t="s">
        <v>48</v>
      </c>
    </row>
    <row r="18" spans="1:17" hidden="1" x14ac:dyDescent="0.25">
      <c r="A18" t="s">
        <v>33</v>
      </c>
      <c r="B18" t="s">
        <v>109</v>
      </c>
      <c r="C18" t="s">
        <v>21</v>
      </c>
      <c r="D18" t="s">
        <v>109</v>
      </c>
      <c r="E18" t="s">
        <v>110</v>
      </c>
      <c r="F18" t="s">
        <v>111</v>
      </c>
      <c r="G18" t="s">
        <v>24</v>
      </c>
      <c r="H18" t="s">
        <v>112</v>
      </c>
      <c r="I18" t="s">
        <v>46</v>
      </c>
      <c r="L18" t="s">
        <v>113</v>
      </c>
      <c r="Q18" t="s">
        <v>48</v>
      </c>
    </row>
    <row r="19" spans="1:17" x14ac:dyDescent="0.25">
      <c r="A19" t="s">
        <v>33</v>
      </c>
      <c r="B19" t="s">
        <v>114</v>
      </c>
      <c r="C19" t="s">
        <v>21</v>
      </c>
      <c r="D19" t="s">
        <v>114</v>
      </c>
      <c r="E19" t="s">
        <v>115</v>
      </c>
      <c r="F19" t="s">
        <v>116</v>
      </c>
      <c r="G19" t="s">
        <v>24</v>
      </c>
      <c r="H19" t="s">
        <v>117</v>
      </c>
      <c r="I19" t="s">
        <v>118</v>
      </c>
      <c r="L19" t="s">
        <v>119</v>
      </c>
      <c r="Q19" t="s">
        <v>120</v>
      </c>
    </row>
    <row r="20" spans="1:17" hidden="1" x14ac:dyDescent="0.25">
      <c r="A20" t="s">
        <v>33</v>
      </c>
      <c r="B20" t="s">
        <v>121</v>
      </c>
      <c r="C20" t="s">
        <v>21</v>
      </c>
      <c r="D20" t="s">
        <v>121</v>
      </c>
      <c r="E20" t="s">
        <v>122</v>
      </c>
      <c r="F20" t="s">
        <v>123</v>
      </c>
      <c r="G20" t="s">
        <v>24</v>
      </c>
      <c r="H20" t="s">
        <v>124</v>
      </c>
      <c r="L20" t="s">
        <v>90</v>
      </c>
    </row>
    <row r="21" spans="1:17" hidden="1" x14ac:dyDescent="0.25">
      <c r="A21" t="s">
        <v>33</v>
      </c>
      <c r="B21" t="s">
        <v>125</v>
      </c>
      <c r="C21" t="s">
        <v>92</v>
      </c>
      <c r="D21" t="s">
        <v>125</v>
      </c>
      <c r="E21" t="s">
        <v>126</v>
      </c>
      <c r="F21" t="s">
        <v>127</v>
      </c>
      <c r="G21" t="s">
        <v>24</v>
      </c>
      <c r="H21" t="s">
        <v>128</v>
      </c>
      <c r="I21" t="s">
        <v>46</v>
      </c>
      <c r="L21" t="s">
        <v>129</v>
      </c>
      <c r="Q21" t="s">
        <v>48</v>
      </c>
    </row>
    <row r="22" spans="1:17" hidden="1" x14ac:dyDescent="0.25">
      <c r="A22" t="s">
        <v>33</v>
      </c>
      <c r="B22" t="s">
        <v>130</v>
      </c>
      <c r="C22" t="s">
        <v>21</v>
      </c>
      <c r="D22" t="s">
        <v>130</v>
      </c>
      <c r="E22" t="s">
        <v>131</v>
      </c>
      <c r="F22" t="s">
        <v>132</v>
      </c>
      <c r="G22" t="s">
        <v>24</v>
      </c>
      <c r="H22" t="s">
        <v>133</v>
      </c>
      <c r="I22" t="s">
        <v>46</v>
      </c>
      <c r="L22" t="s">
        <v>53</v>
      </c>
      <c r="Q22" t="s">
        <v>48</v>
      </c>
    </row>
    <row r="23" spans="1:17" hidden="1" x14ac:dyDescent="0.25">
      <c r="A23" t="s">
        <v>33</v>
      </c>
      <c r="B23" t="s">
        <v>134</v>
      </c>
      <c r="C23" t="s">
        <v>21</v>
      </c>
      <c r="D23" t="s">
        <v>134</v>
      </c>
      <c r="E23" t="s">
        <v>135</v>
      </c>
      <c r="F23" t="s">
        <v>136</v>
      </c>
      <c r="G23" t="s">
        <v>24</v>
      </c>
      <c r="H23" t="s">
        <v>137</v>
      </c>
      <c r="I23" t="s">
        <v>46</v>
      </c>
      <c r="L23" t="s">
        <v>138</v>
      </c>
      <c r="Q23" t="s">
        <v>48</v>
      </c>
    </row>
    <row r="24" spans="1:17" hidden="1" x14ac:dyDescent="0.25">
      <c r="A24" t="s">
        <v>33</v>
      </c>
      <c r="B24" t="s">
        <v>139</v>
      </c>
      <c r="C24" t="s">
        <v>21</v>
      </c>
      <c r="D24" t="s">
        <v>139</v>
      </c>
      <c r="E24" t="s">
        <v>140</v>
      </c>
      <c r="F24" t="s">
        <v>141</v>
      </c>
      <c r="G24" t="s">
        <v>24</v>
      </c>
      <c r="H24" t="s">
        <v>142</v>
      </c>
      <c r="L24" t="s">
        <v>143</v>
      </c>
    </row>
    <row r="25" spans="1:17" hidden="1" x14ac:dyDescent="0.25">
      <c r="A25" t="s">
        <v>33</v>
      </c>
      <c r="B25" t="s">
        <v>144</v>
      </c>
      <c r="C25" t="s">
        <v>21</v>
      </c>
      <c r="D25" t="s">
        <v>144</v>
      </c>
      <c r="E25" t="s">
        <v>145</v>
      </c>
      <c r="F25" t="s">
        <v>146</v>
      </c>
      <c r="G25" t="s">
        <v>24</v>
      </c>
      <c r="H25" t="s">
        <v>147</v>
      </c>
      <c r="I25" t="s">
        <v>46</v>
      </c>
      <c r="L25" t="s">
        <v>148</v>
      </c>
      <c r="Q25" t="s">
        <v>48</v>
      </c>
    </row>
    <row r="26" spans="1:17" hidden="1" x14ac:dyDescent="0.25">
      <c r="A26" t="s">
        <v>33</v>
      </c>
      <c r="B26" t="s">
        <v>149</v>
      </c>
      <c r="C26" t="s">
        <v>21</v>
      </c>
      <c r="D26" t="s">
        <v>149</v>
      </c>
      <c r="E26" t="s">
        <v>150</v>
      </c>
      <c r="F26" t="s">
        <v>151</v>
      </c>
      <c r="G26" t="s">
        <v>24</v>
      </c>
      <c r="H26" t="s">
        <v>152</v>
      </c>
      <c r="L26" t="s">
        <v>38</v>
      </c>
    </row>
    <row r="27" spans="1:17" hidden="1" x14ac:dyDescent="0.25">
      <c r="A27" t="s">
        <v>33</v>
      </c>
      <c r="B27" t="s">
        <v>153</v>
      </c>
      <c r="C27" t="s">
        <v>21</v>
      </c>
      <c r="D27" t="s">
        <v>153</v>
      </c>
      <c r="E27" t="s">
        <v>87</v>
      </c>
      <c r="F27" t="s">
        <v>154</v>
      </c>
      <c r="G27" t="s">
        <v>24</v>
      </c>
      <c r="H27" t="s">
        <v>155</v>
      </c>
      <c r="L27" t="s">
        <v>156</v>
      </c>
    </row>
    <row r="28" spans="1:17" hidden="1" x14ac:dyDescent="0.25">
      <c r="A28" t="s">
        <v>33</v>
      </c>
      <c r="B28" t="s">
        <v>157</v>
      </c>
      <c r="C28" t="s">
        <v>92</v>
      </c>
      <c r="D28" t="s">
        <v>158</v>
      </c>
      <c r="E28" t="s">
        <v>159</v>
      </c>
      <c r="F28" t="s">
        <v>160</v>
      </c>
      <c r="G28" t="s">
        <v>24</v>
      </c>
      <c r="H28" t="s">
        <v>161</v>
      </c>
      <c r="I28" t="s">
        <v>46</v>
      </c>
      <c r="L28" t="s">
        <v>129</v>
      </c>
      <c r="Q28" t="s">
        <v>48</v>
      </c>
    </row>
    <row r="29" spans="1:17" hidden="1" x14ac:dyDescent="0.25">
      <c r="A29" t="s">
        <v>33</v>
      </c>
      <c r="B29" t="s">
        <v>162</v>
      </c>
      <c r="C29" t="s">
        <v>21</v>
      </c>
      <c r="D29" t="s">
        <v>162</v>
      </c>
      <c r="E29" t="s">
        <v>163</v>
      </c>
      <c r="F29" t="s">
        <v>164</v>
      </c>
      <c r="G29" t="s">
        <v>24</v>
      </c>
      <c r="H29" t="s">
        <v>165</v>
      </c>
      <c r="I29" t="s">
        <v>46</v>
      </c>
      <c r="L29" t="s">
        <v>166</v>
      </c>
      <c r="Q29" t="s">
        <v>48</v>
      </c>
    </row>
    <row r="30" spans="1:17" hidden="1" x14ac:dyDescent="0.25">
      <c r="A30" t="s">
        <v>33</v>
      </c>
      <c r="B30" t="s">
        <v>167</v>
      </c>
      <c r="C30" t="s">
        <v>21</v>
      </c>
      <c r="D30" t="s">
        <v>167</v>
      </c>
      <c r="E30" t="s">
        <v>168</v>
      </c>
      <c r="F30" t="s">
        <v>169</v>
      </c>
      <c r="G30" t="s">
        <v>24</v>
      </c>
      <c r="H30" t="s">
        <v>170</v>
      </c>
      <c r="L30" t="s">
        <v>171</v>
      </c>
    </row>
    <row r="31" spans="1:17" hidden="1" x14ac:dyDescent="0.25">
      <c r="A31" t="s">
        <v>33</v>
      </c>
      <c r="B31" t="s">
        <v>172</v>
      </c>
      <c r="C31" t="s">
        <v>29</v>
      </c>
      <c r="D31" t="s">
        <v>172</v>
      </c>
      <c r="E31" t="s">
        <v>173</v>
      </c>
      <c r="F31" t="s">
        <v>174</v>
      </c>
      <c r="G31" t="s">
        <v>24</v>
      </c>
      <c r="H31" t="s">
        <v>175</v>
      </c>
      <c r="I31" t="s">
        <v>46</v>
      </c>
      <c r="L31" t="s">
        <v>176</v>
      </c>
      <c r="Q31" t="s">
        <v>48</v>
      </c>
    </row>
    <row r="32" spans="1:17" hidden="1" x14ac:dyDescent="0.25">
      <c r="A32" t="s">
        <v>33</v>
      </c>
      <c r="B32" t="s">
        <v>177</v>
      </c>
      <c r="C32" t="s">
        <v>21</v>
      </c>
      <c r="D32" t="s">
        <v>177</v>
      </c>
      <c r="E32" t="s">
        <v>178</v>
      </c>
      <c r="F32" t="s">
        <v>179</v>
      </c>
      <c r="G32" t="s">
        <v>24</v>
      </c>
      <c r="H32" s="1" t="s">
        <v>180</v>
      </c>
      <c r="I32" t="s">
        <v>73</v>
      </c>
      <c r="L32" t="s">
        <v>181</v>
      </c>
      <c r="Q32" t="s">
        <v>75</v>
      </c>
    </row>
    <row r="33" spans="1:17" hidden="1" x14ac:dyDescent="0.25">
      <c r="A33" t="s">
        <v>33</v>
      </c>
      <c r="B33" t="s">
        <v>182</v>
      </c>
      <c r="C33" t="s">
        <v>21</v>
      </c>
      <c r="D33" t="s">
        <v>182</v>
      </c>
      <c r="E33" t="s">
        <v>122</v>
      </c>
      <c r="F33" t="s">
        <v>183</v>
      </c>
      <c r="G33" t="s">
        <v>24</v>
      </c>
      <c r="H33" t="s">
        <v>184</v>
      </c>
      <c r="I33" t="s">
        <v>46</v>
      </c>
      <c r="L33" t="s">
        <v>185</v>
      </c>
      <c r="Q33" t="s">
        <v>48</v>
      </c>
    </row>
    <row r="34" spans="1:17" hidden="1" x14ac:dyDescent="0.25">
      <c r="A34" t="s">
        <v>33</v>
      </c>
      <c r="B34" t="s">
        <v>186</v>
      </c>
      <c r="C34" t="s">
        <v>29</v>
      </c>
      <c r="D34" t="s">
        <v>186</v>
      </c>
      <c r="E34" t="s">
        <v>187</v>
      </c>
      <c r="F34" t="s">
        <v>188</v>
      </c>
      <c r="G34" t="s">
        <v>24</v>
      </c>
      <c r="H34" t="s">
        <v>189</v>
      </c>
      <c r="I34" t="s">
        <v>46</v>
      </c>
      <c r="L34" t="s">
        <v>190</v>
      </c>
      <c r="Q34" t="s">
        <v>48</v>
      </c>
    </row>
    <row r="35" spans="1:17" hidden="1" x14ac:dyDescent="0.25">
      <c r="A35" t="s">
        <v>33</v>
      </c>
      <c r="B35" t="s">
        <v>191</v>
      </c>
      <c r="C35" t="s">
        <v>21</v>
      </c>
      <c r="D35" t="s">
        <v>191</v>
      </c>
      <c r="E35" t="s">
        <v>192</v>
      </c>
      <c r="F35" t="s">
        <v>193</v>
      </c>
      <c r="G35" t="s">
        <v>24</v>
      </c>
      <c r="H35" t="s">
        <v>194</v>
      </c>
      <c r="I35" t="s">
        <v>46</v>
      </c>
      <c r="L35" t="s">
        <v>185</v>
      </c>
      <c r="Q35" t="s">
        <v>48</v>
      </c>
    </row>
    <row r="36" spans="1:17" hidden="1" x14ac:dyDescent="0.25">
      <c r="A36" t="s">
        <v>33</v>
      </c>
      <c r="B36" t="s">
        <v>195</v>
      </c>
      <c r="C36" t="s">
        <v>21</v>
      </c>
      <c r="D36" t="s">
        <v>195</v>
      </c>
      <c r="E36" t="s">
        <v>196</v>
      </c>
      <c r="F36" t="s">
        <v>197</v>
      </c>
      <c r="G36" t="s">
        <v>24</v>
      </c>
      <c r="H36" t="s">
        <v>198</v>
      </c>
      <c r="I36" t="s">
        <v>46</v>
      </c>
      <c r="L36" t="s">
        <v>38</v>
      </c>
      <c r="Q36" t="s">
        <v>48</v>
      </c>
    </row>
    <row r="37" spans="1:17" hidden="1" x14ac:dyDescent="0.25">
      <c r="A37" t="s">
        <v>33</v>
      </c>
      <c r="B37" t="s">
        <v>199</v>
      </c>
      <c r="C37" t="s">
        <v>21</v>
      </c>
      <c r="D37" t="s">
        <v>199</v>
      </c>
      <c r="E37" t="s">
        <v>200</v>
      </c>
      <c r="F37" t="s">
        <v>201</v>
      </c>
      <c r="G37" t="s">
        <v>24</v>
      </c>
      <c r="H37" t="s">
        <v>202</v>
      </c>
      <c r="I37" t="s">
        <v>46</v>
      </c>
      <c r="L37" t="s">
        <v>166</v>
      </c>
      <c r="Q37" t="s">
        <v>48</v>
      </c>
    </row>
    <row r="38" spans="1:17" hidden="1" x14ac:dyDescent="0.25">
      <c r="A38" t="s">
        <v>33</v>
      </c>
      <c r="B38" t="s">
        <v>203</v>
      </c>
      <c r="C38" t="s">
        <v>21</v>
      </c>
      <c r="D38" t="s">
        <v>203</v>
      </c>
      <c r="E38" t="s">
        <v>204</v>
      </c>
      <c r="F38" t="s">
        <v>205</v>
      </c>
      <c r="G38" t="s">
        <v>24</v>
      </c>
      <c r="H38" t="s">
        <v>206</v>
      </c>
      <c r="I38" t="s">
        <v>73</v>
      </c>
      <c r="L38" t="s">
        <v>207</v>
      </c>
      <c r="Q38" t="s">
        <v>75</v>
      </c>
    </row>
    <row r="39" spans="1:17" hidden="1" x14ac:dyDescent="0.25">
      <c r="A39" t="s">
        <v>33</v>
      </c>
      <c r="B39" t="s">
        <v>208</v>
      </c>
      <c r="C39" t="s">
        <v>21</v>
      </c>
      <c r="D39" t="s">
        <v>208</v>
      </c>
      <c r="E39" t="s">
        <v>209</v>
      </c>
      <c r="F39" t="s">
        <v>210</v>
      </c>
      <c r="G39" t="s">
        <v>24</v>
      </c>
      <c r="H39" t="s">
        <v>211</v>
      </c>
      <c r="J39" t="s">
        <v>26</v>
      </c>
      <c r="L39" t="s">
        <v>27</v>
      </c>
    </row>
    <row r="40" spans="1:17" hidden="1" x14ac:dyDescent="0.25">
      <c r="A40" t="s">
        <v>33</v>
      </c>
      <c r="B40" t="s">
        <v>212</v>
      </c>
      <c r="C40" t="s">
        <v>21</v>
      </c>
      <c r="D40" t="s">
        <v>212</v>
      </c>
      <c r="E40" t="s">
        <v>213</v>
      </c>
      <c r="F40" t="s">
        <v>214</v>
      </c>
      <c r="G40" t="s">
        <v>24</v>
      </c>
      <c r="H40" t="s">
        <v>215</v>
      </c>
      <c r="I40" t="s">
        <v>46</v>
      </c>
      <c r="L40" t="s">
        <v>90</v>
      </c>
      <c r="Q40" t="s">
        <v>48</v>
      </c>
    </row>
    <row r="41" spans="1:17" hidden="1" x14ac:dyDescent="0.25">
      <c r="A41" t="s">
        <v>33</v>
      </c>
      <c r="B41" t="s">
        <v>216</v>
      </c>
      <c r="C41" t="s">
        <v>21</v>
      </c>
      <c r="D41" t="s">
        <v>216</v>
      </c>
      <c r="E41" t="s">
        <v>217</v>
      </c>
      <c r="F41" t="s">
        <v>218</v>
      </c>
      <c r="G41" t="s">
        <v>24</v>
      </c>
      <c r="H41" t="s">
        <v>219</v>
      </c>
      <c r="I41" t="s">
        <v>46</v>
      </c>
      <c r="L41" t="s">
        <v>185</v>
      </c>
      <c r="Q41" t="s">
        <v>48</v>
      </c>
    </row>
    <row r="42" spans="1:17" hidden="1" x14ac:dyDescent="0.25">
      <c r="A42" t="s">
        <v>33</v>
      </c>
      <c r="B42" t="s">
        <v>220</v>
      </c>
      <c r="C42" t="s">
        <v>21</v>
      </c>
      <c r="D42" t="s">
        <v>220</v>
      </c>
      <c r="E42" t="s">
        <v>221</v>
      </c>
      <c r="F42" t="s">
        <v>222</v>
      </c>
      <c r="G42" t="s">
        <v>24</v>
      </c>
      <c r="H42" t="s">
        <v>223</v>
      </c>
      <c r="I42" t="s">
        <v>46</v>
      </c>
      <c r="L42" t="s">
        <v>224</v>
      </c>
      <c r="Q42" t="s">
        <v>48</v>
      </c>
    </row>
    <row r="43" spans="1:17" hidden="1" x14ac:dyDescent="0.25">
      <c r="A43" t="s">
        <v>33</v>
      </c>
      <c r="B43" t="s">
        <v>225</v>
      </c>
      <c r="C43" t="s">
        <v>21</v>
      </c>
      <c r="D43" t="s">
        <v>225</v>
      </c>
      <c r="E43" t="s">
        <v>226</v>
      </c>
      <c r="F43" t="s">
        <v>227</v>
      </c>
      <c r="G43" t="s">
        <v>24</v>
      </c>
      <c r="H43" t="s">
        <v>228</v>
      </c>
      <c r="J43" t="s">
        <v>26</v>
      </c>
    </row>
    <row r="44" spans="1:17" hidden="1" x14ac:dyDescent="0.25">
      <c r="A44" t="s">
        <v>33</v>
      </c>
      <c r="B44" t="s">
        <v>229</v>
      </c>
      <c r="C44" t="s">
        <v>21</v>
      </c>
      <c r="D44" t="s">
        <v>229</v>
      </c>
      <c r="G44" t="s">
        <v>24</v>
      </c>
      <c r="H44" t="s">
        <v>230</v>
      </c>
      <c r="J44" t="s">
        <v>26</v>
      </c>
      <c r="L44" t="s">
        <v>27</v>
      </c>
    </row>
    <row r="45" spans="1:17" hidden="1" x14ac:dyDescent="0.25">
      <c r="A45" t="s">
        <v>33</v>
      </c>
      <c r="B45" t="s">
        <v>231</v>
      </c>
      <c r="C45" t="s">
        <v>21</v>
      </c>
      <c r="D45" t="s">
        <v>231</v>
      </c>
      <c r="E45" t="s">
        <v>232</v>
      </c>
      <c r="F45" t="s">
        <v>233</v>
      </c>
      <c r="G45" t="s">
        <v>24</v>
      </c>
      <c r="H45" t="s">
        <v>234</v>
      </c>
      <c r="L45" t="s">
        <v>27</v>
      </c>
    </row>
    <row r="46" spans="1:17" hidden="1" x14ac:dyDescent="0.25">
      <c r="A46" t="s">
        <v>33</v>
      </c>
      <c r="B46" t="s">
        <v>235</v>
      </c>
      <c r="C46" t="s">
        <v>21</v>
      </c>
      <c r="D46" t="s">
        <v>235</v>
      </c>
      <c r="E46" t="s">
        <v>236</v>
      </c>
      <c r="F46" t="s">
        <v>237</v>
      </c>
      <c r="G46" t="s">
        <v>24</v>
      </c>
      <c r="H46" t="s">
        <v>238</v>
      </c>
      <c r="J46" t="s">
        <v>26</v>
      </c>
      <c r="L46" t="s">
        <v>27</v>
      </c>
    </row>
    <row r="47" spans="1:17" hidden="1" x14ac:dyDescent="0.25">
      <c r="A47" t="s">
        <v>33</v>
      </c>
      <c r="B47" t="s">
        <v>239</v>
      </c>
      <c r="C47" t="s">
        <v>21</v>
      </c>
      <c r="D47" t="s">
        <v>239</v>
      </c>
      <c r="E47" t="s">
        <v>240</v>
      </c>
      <c r="F47" t="s">
        <v>123</v>
      </c>
      <c r="G47" t="s">
        <v>24</v>
      </c>
      <c r="H47" t="s">
        <v>241</v>
      </c>
      <c r="J47" t="s">
        <v>26</v>
      </c>
      <c r="L47" t="s">
        <v>27</v>
      </c>
    </row>
    <row r="48" spans="1:17" hidden="1" x14ac:dyDescent="0.25">
      <c r="A48" t="s">
        <v>33</v>
      </c>
      <c r="B48" t="s">
        <v>242</v>
      </c>
      <c r="C48" t="s">
        <v>29</v>
      </c>
      <c r="D48" t="s">
        <v>242</v>
      </c>
      <c r="E48" t="s">
        <v>243</v>
      </c>
      <c r="F48" t="s">
        <v>244</v>
      </c>
      <c r="G48" t="s">
        <v>24</v>
      </c>
      <c r="H48" t="s">
        <v>245</v>
      </c>
      <c r="I48" t="s">
        <v>46</v>
      </c>
      <c r="L48" t="s">
        <v>246</v>
      </c>
      <c r="Q48" t="s">
        <v>48</v>
      </c>
    </row>
    <row r="49" spans="1:17" hidden="1" x14ac:dyDescent="0.25">
      <c r="A49" t="s">
        <v>33</v>
      </c>
      <c r="B49" t="s">
        <v>247</v>
      </c>
      <c r="C49" t="s">
        <v>21</v>
      </c>
      <c r="D49" t="s">
        <v>247</v>
      </c>
      <c r="E49" t="s">
        <v>248</v>
      </c>
      <c r="F49" t="s">
        <v>249</v>
      </c>
      <c r="G49" t="s">
        <v>24</v>
      </c>
      <c r="H49" t="s">
        <v>250</v>
      </c>
      <c r="L49" t="s">
        <v>38</v>
      </c>
    </row>
    <row r="50" spans="1:17" hidden="1" x14ac:dyDescent="0.25">
      <c r="A50" t="s">
        <v>33</v>
      </c>
      <c r="B50" t="s">
        <v>251</v>
      </c>
      <c r="C50" t="s">
        <v>21</v>
      </c>
      <c r="D50" t="s">
        <v>251</v>
      </c>
      <c r="E50" t="s">
        <v>252</v>
      </c>
      <c r="F50" t="s">
        <v>253</v>
      </c>
      <c r="G50" t="s">
        <v>24</v>
      </c>
      <c r="H50" t="s">
        <v>254</v>
      </c>
      <c r="I50" t="s">
        <v>46</v>
      </c>
      <c r="L50" t="s">
        <v>255</v>
      </c>
      <c r="Q50" t="s">
        <v>48</v>
      </c>
    </row>
    <row r="51" spans="1:17" hidden="1" x14ac:dyDescent="0.25">
      <c r="A51" t="s">
        <v>33</v>
      </c>
      <c r="B51" t="s">
        <v>256</v>
      </c>
      <c r="C51" t="s">
        <v>21</v>
      </c>
      <c r="D51" t="s">
        <v>256</v>
      </c>
      <c r="E51" t="s">
        <v>257</v>
      </c>
      <c r="F51" t="s">
        <v>258</v>
      </c>
      <c r="G51" t="s">
        <v>24</v>
      </c>
      <c r="H51" t="s">
        <v>259</v>
      </c>
      <c r="I51" t="s">
        <v>73</v>
      </c>
      <c r="L51" t="s">
        <v>90</v>
      </c>
      <c r="Q51" t="s">
        <v>75</v>
      </c>
    </row>
    <row r="52" spans="1:17" hidden="1" x14ac:dyDescent="0.25">
      <c r="A52" t="s">
        <v>33</v>
      </c>
      <c r="B52" t="s">
        <v>260</v>
      </c>
      <c r="C52" t="s">
        <v>21</v>
      </c>
      <c r="D52" t="s">
        <v>260</v>
      </c>
      <c r="G52" t="s">
        <v>24</v>
      </c>
      <c r="H52" t="s">
        <v>261</v>
      </c>
      <c r="J52" t="s">
        <v>262</v>
      </c>
      <c r="K52" t="s">
        <v>46</v>
      </c>
      <c r="L52" t="s">
        <v>27</v>
      </c>
      <c r="M52" t="s">
        <v>263</v>
      </c>
      <c r="N52" t="s">
        <v>48</v>
      </c>
    </row>
    <row r="53" spans="1:17" hidden="1" x14ac:dyDescent="0.25">
      <c r="A53" t="s">
        <v>33</v>
      </c>
      <c r="B53" t="s">
        <v>264</v>
      </c>
      <c r="C53" t="s">
        <v>21</v>
      </c>
      <c r="D53" t="s">
        <v>264</v>
      </c>
      <c r="E53" t="s">
        <v>140</v>
      </c>
      <c r="F53" t="s">
        <v>265</v>
      </c>
      <c r="G53" t="s">
        <v>24</v>
      </c>
      <c r="H53" s="1" t="s">
        <v>266</v>
      </c>
      <c r="L53" t="s">
        <v>27</v>
      </c>
    </row>
    <row r="54" spans="1:17" hidden="1" x14ac:dyDescent="0.25">
      <c r="A54" t="s">
        <v>33</v>
      </c>
      <c r="B54" t="s">
        <v>267</v>
      </c>
      <c r="C54" t="s">
        <v>21</v>
      </c>
      <c r="D54" t="s">
        <v>267</v>
      </c>
      <c r="E54" t="s">
        <v>100</v>
      </c>
      <c r="F54" t="s">
        <v>268</v>
      </c>
      <c r="G54" t="s">
        <v>24</v>
      </c>
      <c r="H54" t="s">
        <v>269</v>
      </c>
      <c r="L54" t="s">
        <v>27</v>
      </c>
    </row>
    <row r="55" spans="1:17" hidden="1" x14ac:dyDescent="0.25">
      <c r="A55" t="s">
        <v>33</v>
      </c>
      <c r="B55" t="s">
        <v>270</v>
      </c>
      <c r="C55" t="s">
        <v>21</v>
      </c>
      <c r="D55" t="s">
        <v>270</v>
      </c>
      <c r="E55" t="s">
        <v>22</v>
      </c>
      <c r="F55" t="s">
        <v>271</v>
      </c>
      <c r="G55" t="s">
        <v>24</v>
      </c>
      <c r="H55" t="s">
        <v>272</v>
      </c>
      <c r="I55" t="s">
        <v>46</v>
      </c>
      <c r="L55" t="s">
        <v>273</v>
      </c>
      <c r="Q55" t="s">
        <v>48</v>
      </c>
    </row>
    <row r="56" spans="1:17" hidden="1" x14ac:dyDescent="0.25">
      <c r="A56" t="s">
        <v>33</v>
      </c>
      <c r="B56" t="s">
        <v>274</v>
      </c>
      <c r="C56" t="s">
        <v>21</v>
      </c>
      <c r="D56" t="s">
        <v>274</v>
      </c>
      <c r="E56" t="s">
        <v>275</v>
      </c>
      <c r="F56" t="s">
        <v>276</v>
      </c>
      <c r="G56" t="s">
        <v>24</v>
      </c>
      <c r="H56" t="s">
        <v>277</v>
      </c>
      <c r="I56" t="s">
        <v>73</v>
      </c>
      <c r="L56" t="s">
        <v>38</v>
      </c>
      <c r="Q56" t="s">
        <v>75</v>
      </c>
    </row>
    <row r="57" spans="1:17" hidden="1" x14ac:dyDescent="0.25">
      <c r="A57" t="s">
        <v>33</v>
      </c>
      <c r="B57" t="s">
        <v>278</v>
      </c>
      <c r="C57" t="s">
        <v>21</v>
      </c>
      <c r="D57" t="s">
        <v>278</v>
      </c>
      <c r="G57" t="s">
        <v>24</v>
      </c>
      <c r="H57" t="s">
        <v>279</v>
      </c>
      <c r="L57" t="s">
        <v>27</v>
      </c>
    </row>
    <row r="58" spans="1:17" hidden="1" x14ac:dyDescent="0.25">
      <c r="A58" t="s">
        <v>33</v>
      </c>
      <c r="B58" t="s">
        <v>280</v>
      </c>
      <c r="C58" t="s">
        <v>21</v>
      </c>
      <c r="D58" t="s">
        <v>280</v>
      </c>
      <c r="E58" t="s">
        <v>236</v>
      </c>
      <c r="F58" t="s">
        <v>281</v>
      </c>
      <c r="G58" t="s">
        <v>24</v>
      </c>
      <c r="H58" t="s">
        <v>282</v>
      </c>
      <c r="J58" t="s">
        <v>26</v>
      </c>
      <c r="L58" t="s">
        <v>27</v>
      </c>
    </row>
    <row r="59" spans="1:17" hidden="1" x14ac:dyDescent="0.25">
      <c r="A59" t="s">
        <v>33</v>
      </c>
      <c r="B59" t="s">
        <v>283</v>
      </c>
      <c r="C59" t="s">
        <v>21</v>
      </c>
      <c r="D59" t="s">
        <v>283</v>
      </c>
      <c r="E59" t="s">
        <v>284</v>
      </c>
      <c r="F59" t="s">
        <v>285</v>
      </c>
      <c r="G59" t="s">
        <v>24</v>
      </c>
      <c r="H59" t="s">
        <v>286</v>
      </c>
      <c r="I59" t="s">
        <v>46</v>
      </c>
      <c r="L59" t="s">
        <v>287</v>
      </c>
      <c r="Q59" t="s">
        <v>48</v>
      </c>
    </row>
    <row r="60" spans="1:17" hidden="1" x14ac:dyDescent="0.25">
      <c r="A60" t="s">
        <v>33</v>
      </c>
      <c r="B60" t="s">
        <v>288</v>
      </c>
      <c r="C60" t="s">
        <v>21</v>
      </c>
      <c r="D60" t="s">
        <v>288</v>
      </c>
      <c r="E60" t="s">
        <v>289</v>
      </c>
      <c r="F60" t="s">
        <v>290</v>
      </c>
      <c r="G60" t="s">
        <v>24</v>
      </c>
      <c r="H60" t="s">
        <v>291</v>
      </c>
      <c r="I60" t="s">
        <v>46</v>
      </c>
      <c r="L60" t="s">
        <v>292</v>
      </c>
      <c r="Q60" t="s">
        <v>48</v>
      </c>
    </row>
    <row r="61" spans="1:17" hidden="1" x14ac:dyDescent="0.25">
      <c r="A61" t="s">
        <v>33</v>
      </c>
      <c r="B61" t="s">
        <v>293</v>
      </c>
      <c r="C61" t="s">
        <v>21</v>
      </c>
      <c r="D61" t="s">
        <v>293</v>
      </c>
      <c r="E61" t="s">
        <v>294</v>
      </c>
      <c r="F61" t="s">
        <v>295</v>
      </c>
      <c r="G61" t="s">
        <v>24</v>
      </c>
      <c r="H61" t="s">
        <v>296</v>
      </c>
      <c r="I61" t="s">
        <v>73</v>
      </c>
      <c r="L61" t="s">
        <v>38</v>
      </c>
      <c r="Q61" t="s">
        <v>75</v>
      </c>
    </row>
    <row r="62" spans="1:17" hidden="1" x14ac:dyDescent="0.25">
      <c r="A62" t="s">
        <v>33</v>
      </c>
      <c r="B62" t="s">
        <v>297</v>
      </c>
      <c r="C62" t="s">
        <v>21</v>
      </c>
      <c r="D62" t="s">
        <v>297</v>
      </c>
      <c r="E62" t="s">
        <v>298</v>
      </c>
      <c r="F62" t="s">
        <v>299</v>
      </c>
      <c r="G62" t="s">
        <v>24</v>
      </c>
      <c r="H62" t="s">
        <v>300</v>
      </c>
      <c r="L62" t="s">
        <v>27</v>
      </c>
    </row>
    <row r="63" spans="1:17" hidden="1" x14ac:dyDescent="0.25">
      <c r="A63" t="s">
        <v>33</v>
      </c>
      <c r="B63" t="s">
        <v>301</v>
      </c>
      <c r="C63" t="s">
        <v>21</v>
      </c>
      <c r="D63" t="s">
        <v>301</v>
      </c>
      <c r="E63" t="s">
        <v>302</v>
      </c>
      <c r="F63" t="s">
        <v>303</v>
      </c>
      <c r="G63" t="s">
        <v>24</v>
      </c>
      <c r="H63" t="s">
        <v>304</v>
      </c>
      <c r="I63" t="s">
        <v>46</v>
      </c>
      <c r="L63" t="s">
        <v>53</v>
      </c>
      <c r="Q63" t="s">
        <v>48</v>
      </c>
    </row>
    <row r="64" spans="1:17" hidden="1" x14ac:dyDescent="0.25">
      <c r="A64" t="s">
        <v>33</v>
      </c>
      <c r="B64" t="s">
        <v>305</v>
      </c>
      <c r="C64" t="s">
        <v>21</v>
      </c>
      <c r="D64" t="s">
        <v>305</v>
      </c>
      <c r="E64" t="s">
        <v>306</v>
      </c>
      <c r="F64" t="s">
        <v>307</v>
      </c>
      <c r="G64" t="s">
        <v>24</v>
      </c>
      <c r="H64" t="s">
        <v>308</v>
      </c>
      <c r="L64" t="s">
        <v>309</v>
      </c>
    </row>
    <row r="65" spans="1:17" hidden="1" x14ac:dyDescent="0.25">
      <c r="A65" t="s">
        <v>33</v>
      </c>
      <c r="B65" t="s">
        <v>310</v>
      </c>
      <c r="C65" t="s">
        <v>21</v>
      </c>
      <c r="D65" t="s">
        <v>310</v>
      </c>
      <c r="E65" t="s">
        <v>240</v>
      </c>
      <c r="F65" t="s">
        <v>311</v>
      </c>
      <c r="G65" t="s">
        <v>24</v>
      </c>
      <c r="H65" t="s">
        <v>312</v>
      </c>
      <c r="I65" t="s">
        <v>46</v>
      </c>
      <c r="L65" t="s">
        <v>273</v>
      </c>
      <c r="Q65" t="s">
        <v>48</v>
      </c>
    </row>
    <row r="66" spans="1:17" hidden="1" x14ac:dyDescent="0.25">
      <c r="A66" t="s">
        <v>33</v>
      </c>
      <c r="B66" t="s">
        <v>313</v>
      </c>
      <c r="C66" t="s">
        <v>21</v>
      </c>
      <c r="D66" t="s">
        <v>313</v>
      </c>
      <c r="E66" t="s">
        <v>314</v>
      </c>
      <c r="F66" t="s">
        <v>315</v>
      </c>
      <c r="G66" t="s">
        <v>24</v>
      </c>
      <c r="H66" t="s">
        <v>316</v>
      </c>
      <c r="I66" t="s">
        <v>46</v>
      </c>
      <c r="L66" t="s">
        <v>317</v>
      </c>
      <c r="Q66" t="s">
        <v>48</v>
      </c>
    </row>
    <row r="67" spans="1:17" hidden="1" x14ac:dyDescent="0.25">
      <c r="A67" t="s">
        <v>33</v>
      </c>
      <c r="B67" t="s">
        <v>318</v>
      </c>
      <c r="C67" t="s">
        <v>92</v>
      </c>
      <c r="D67" t="s">
        <v>318</v>
      </c>
      <c r="E67" t="s">
        <v>319</v>
      </c>
      <c r="F67" t="s">
        <v>320</v>
      </c>
      <c r="G67" t="s">
        <v>24</v>
      </c>
      <c r="H67" t="s">
        <v>321</v>
      </c>
      <c r="I67" t="s">
        <v>73</v>
      </c>
      <c r="L67" t="s">
        <v>322</v>
      </c>
      <c r="Q67" t="s">
        <v>75</v>
      </c>
    </row>
    <row r="68" spans="1:17" hidden="1" x14ac:dyDescent="0.25">
      <c r="A68" t="s">
        <v>33</v>
      </c>
      <c r="B68" t="s">
        <v>323</v>
      </c>
      <c r="C68" t="s">
        <v>21</v>
      </c>
      <c r="D68" t="s">
        <v>323</v>
      </c>
      <c r="E68" t="s">
        <v>324</v>
      </c>
      <c r="F68" t="s">
        <v>325</v>
      </c>
      <c r="G68" t="s">
        <v>24</v>
      </c>
      <c r="H68" t="s">
        <v>326</v>
      </c>
      <c r="L68" t="s">
        <v>327</v>
      </c>
    </row>
    <row r="69" spans="1:17" hidden="1" x14ac:dyDescent="0.25">
      <c r="A69" t="s">
        <v>33</v>
      </c>
      <c r="B69" t="s">
        <v>328</v>
      </c>
      <c r="C69" t="s">
        <v>21</v>
      </c>
      <c r="D69" t="s">
        <v>328</v>
      </c>
      <c r="E69" t="s">
        <v>329</v>
      </c>
      <c r="F69" t="s">
        <v>330</v>
      </c>
      <c r="G69" t="s">
        <v>24</v>
      </c>
      <c r="H69" t="s">
        <v>331</v>
      </c>
      <c r="L69" t="s">
        <v>332</v>
      </c>
    </row>
    <row r="70" spans="1:17" hidden="1" x14ac:dyDescent="0.25">
      <c r="A70" t="s">
        <v>33</v>
      </c>
      <c r="B70" t="s">
        <v>333</v>
      </c>
      <c r="C70" t="s">
        <v>21</v>
      </c>
      <c r="D70" t="s">
        <v>333</v>
      </c>
      <c r="E70" t="s">
        <v>334</v>
      </c>
      <c r="F70" t="s">
        <v>335</v>
      </c>
      <c r="G70" t="s">
        <v>24</v>
      </c>
      <c r="H70" t="s">
        <v>336</v>
      </c>
      <c r="I70" t="s">
        <v>46</v>
      </c>
      <c r="L70" t="s">
        <v>53</v>
      </c>
      <c r="Q70" t="s">
        <v>48</v>
      </c>
    </row>
    <row r="71" spans="1:17" hidden="1" x14ac:dyDescent="0.25">
      <c r="A71" t="s">
        <v>33</v>
      </c>
      <c r="B71" t="s">
        <v>337</v>
      </c>
      <c r="C71" t="s">
        <v>21</v>
      </c>
      <c r="D71" t="s">
        <v>337</v>
      </c>
      <c r="E71" t="s">
        <v>338</v>
      </c>
      <c r="F71" t="s">
        <v>339</v>
      </c>
      <c r="G71" t="s">
        <v>24</v>
      </c>
      <c r="H71" s="1" t="s">
        <v>340</v>
      </c>
      <c r="J71" t="s">
        <v>26</v>
      </c>
      <c r="L71" t="s">
        <v>27</v>
      </c>
    </row>
    <row r="72" spans="1:17" hidden="1" x14ac:dyDescent="0.25">
      <c r="A72" t="s">
        <v>33</v>
      </c>
      <c r="B72" t="s">
        <v>341</v>
      </c>
      <c r="C72" t="s">
        <v>21</v>
      </c>
      <c r="D72" t="s">
        <v>341</v>
      </c>
      <c r="E72" t="s">
        <v>342</v>
      </c>
      <c r="F72" t="s">
        <v>343</v>
      </c>
      <c r="G72" t="s">
        <v>24</v>
      </c>
      <c r="H72" t="s">
        <v>344</v>
      </c>
      <c r="I72" t="s">
        <v>46</v>
      </c>
      <c r="L72" t="s">
        <v>138</v>
      </c>
      <c r="Q72" t="s">
        <v>48</v>
      </c>
    </row>
    <row r="73" spans="1:17" hidden="1" x14ac:dyDescent="0.25">
      <c r="A73" t="s">
        <v>33</v>
      </c>
      <c r="B73" t="s">
        <v>345</v>
      </c>
      <c r="C73" t="s">
        <v>21</v>
      </c>
      <c r="D73" t="s">
        <v>345</v>
      </c>
      <c r="E73" t="s">
        <v>346</v>
      </c>
      <c r="F73" t="s">
        <v>347</v>
      </c>
      <c r="G73" t="s">
        <v>24</v>
      </c>
      <c r="H73" t="s">
        <v>348</v>
      </c>
      <c r="I73" t="s">
        <v>46</v>
      </c>
      <c r="L73" t="s">
        <v>349</v>
      </c>
      <c r="Q73" t="s">
        <v>48</v>
      </c>
    </row>
    <row r="74" spans="1:17" hidden="1" x14ac:dyDescent="0.25">
      <c r="A74" t="s">
        <v>33</v>
      </c>
      <c r="B74" t="s">
        <v>350</v>
      </c>
      <c r="C74" t="s">
        <v>21</v>
      </c>
      <c r="D74" t="s">
        <v>350</v>
      </c>
      <c r="E74" t="s">
        <v>351</v>
      </c>
      <c r="F74" t="s">
        <v>352</v>
      </c>
      <c r="G74" t="s">
        <v>24</v>
      </c>
      <c r="H74" t="s">
        <v>353</v>
      </c>
      <c r="I74" t="s">
        <v>46</v>
      </c>
      <c r="L74" t="s">
        <v>273</v>
      </c>
      <c r="Q74" t="s">
        <v>48</v>
      </c>
    </row>
    <row r="75" spans="1:17" hidden="1" x14ac:dyDescent="0.25">
      <c r="A75" t="s">
        <v>33</v>
      </c>
      <c r="B75" t="s">
        <v>354</v>
      </c>
      <c r="C75" t="s">
        <v>21</v>
      </c>
      <c r="D75" t="s">
        <v>354</v>
      </c>
      <c r="E75" t="s">
        <v>355</v>
      </c>
      <c r="F75" t="s">
        <v>356</v>
      </c>
      <c r="G75" t="s">
        <v>24</v>
      </c>
      <c r="H75" t="s">
        <v>357</v>
      </c>
      <c r="L75" t="s">
        <v>327</v>
      </c>
    </row>
    <row r="76" spans="1:17" hidden="1" x14ac:dyDescent="0.25">
      <c r="A76" t="s">
        <v>33</v>
      </c>
      <c r="B76" t="s">
        <v>358</v>
      </c>
      <c r="C76" t="s">
        <v>21</v>
      </c>
      <c r="D76" t="s">
        <v>358</v>
      </c>
      <c r="E76" t="s">
        <v>359</v>
      </c>
      <c r="F76" t="s">
        <v>360</v>
      </c>
      <c r="G76" t="s">
        <v>24</v>
      </c>
      <c r="H76" t="s">
        <v>361</v>
      </c>
      <c r="I76" t="s">
        <v>46</v>
      </c>
      <c r="L76" t="s">
        <v>53</v>
      </c>
      <c r="Q76" t="s">
        <v>48</v>
      </c>
    </row>
    <row r="77" spans="1:17" hidden="1" x14ac:dyDescent="0.25">
      <c r="A77" t="s">
        <v>33</v>
      </c>
      <c r="B77" t="s">
        <v>362</v>
      </c>
      <c r="C77" t="s">
        <v>29</v>
      </c>
      <c r="D77" t="s">
        <v>362</v>
      </c>
      <c r="E77" t="s">
        <v>363</v>
      </c>
      <c r="F77" t="s">
        <v>364</v>
      </c>
      <c r="G77" t="s">
        <v>24</v>
      </c>
      <c r="H77" t="s">
        <v>365</v>
      </c>
    </row>
    <row r="78" spans="1:17" hidden="1" x14ac:dyDescent="0.25">
      <c r="A78" t="s">
        <v>33</v>
      </c>
      <c r="B78" t="s">
        <v>366</v>
      </c>
      <c r="C78" t="s">
        <v>21</v>
      </c>
      <c r="D78" t="s">
        <v>366</v>
      </c>
      <c r="E78" t="s">
        <v>367</v>
      </c>
      <c r="F78" t="s">
        <v>368</v>
      </c>
      <c r="G78" t="s">
        <v>24</v>
      </c>
      <c r="H78" t="s">
        <v>369</v>
      </c>
      <c r="I78" t="s">
        <v>46</v>
      </c>
      <c r="L78" t="s">
        <v>370</v>
      </c>
      <c r="Q78" t="s">
        <v>48</v>
      </c>
    </row>
    <row r="79" spans="1:17" hidden="1" x14ac:dyDescent="0.25">
      <c r="A79" t="s">
        <v>33</v>
      </c>
      <c r="B79" t="s">
        <v>371</v>
      </c>
      <c r="C79" t="s">
        <v>21</v>
      </c>
      <c r="D79" t="s">
        <v>371</v>
      </c>
      <c r="E79" t="s">
        <v>372</v>
      </c>
      <c r="F79" t="s">
        <v>373</v>
      </c>
      <c r="G79" t="s">
        <v>24</v>
      </c>
      <c r="H79" t="s">
        <v>374</v>
      </c>
      <c r="I79" t="s">
        <v>46</v>
      </c>
      <c r="L79" t="s">
        <v>375</v>
      </c>
      <c r="Q79" t="s">
        <v>48</v>
      </c>
    </row>
    <row r="80" spans="1:17" hidden="1" x14ac:dyDescent="0.25">
      <c r="A80" t="s">
        <v>33</v>
      </c>
      <c r="B80" t="s">
        <v>376</v>
      </c>
      <c r="C80" t="s">
        <v>21</v>
      </c>
      <c r="D80" t="s">
        <v>376</v>
      </c>
      <c r="E80" t="s">
        <v>377</v>
      </c>
      <c r="F80" t="s">
        <v>78</v>
      </c>
      <c r="G80" t="s">
        <v>24</v>
      </c>
      <c r="H80" t="s">
        <v>378</v>
      </c>
      <c r="I80" t="s">
        <v>46</v>
      </c>
      <c r="L80" t="s">
        <v>38</v>
      </c>
      <c r="Q80" t="s">
        <v>48</v>
      </c>
    </row>
    <row r="81" spans="1:17" hidden="1" x14ac:dyDescent="0.25">
      <c r="A81" t="s">
        <v>33</v>
      </c>
      <c r="B81" t="s">
        <v>379</v>
      </c>
      <c r="C81" t="s">
        <v>21</v>
      </c>
      <c r="D81" t="s">
        <v>379</v>
      </c>
      <c r="E81" t="s">
        <v>380</v>
      </c>
      <c r="F81" t="s">
        <v>381</v>
      </c>
      <c r="G81" t="s">
        <v>24</v>
      </c>
      <c r="H81" t="s">
        <v>382</v>
      </c>
      <c r="L81" t="s">
        <v>129</v>
      </c>
    </row>
    <row r="82" spans="1:17" hidden="1" x14ac:dyDescent="0.25">
      <c r="A82" t="s">
        <v>33</v>
      </c>
      <c r="B82" t="s">
        <v>383</v>
      </c>
      <c r="C82" t="s">
        <v>21</v>
      </c>
      <c r="D82" t="s">
        <v>383</v>
      </c>
      <c r="E82" t="s">
        <v>377</v>
      </c>
      <c r="F82" t="s">
        <v>384</v>
      </c>
      <c r="G82" t="s">
        <v>24</v>
      </c>
      <c r="H82" s="1" t="s">
        <v>385</v>
      </c>
      <c r="I82" t="s">
        <v>73</v>
      </c>
      <c r="L82" t="s">
        <v>207</v>
      </c>
      <c r="Q82" t="s">
        <v>75</v>
      </c>
    </row>
    <row r="83" spans="1:17" hidden="1" x14ac:dyDescent="0.25">
      <c r="A83" t="s">
        <v>33</v>
      </c>
      <c r="B83" t="s">
        <v>386</v>
      </c>
      <c r="C83" t="s">
        <v>21</v>
      </c>
      <c r="D83" t="s">
        <v>386</v>
      </c>
      <c r="E83" t="s">
        <v>334</v>
      </c>
      <c r="F83" t="s">
        <v>387</v>
      </c>
      <c r="G83" t="s">
        <v>24</v>
      </c>
      <c r="H83" t="s">
        <v>388</v>
      </c>
      <c r="I83" t="s">
        <v>46</v>
      </c>
      <c r="L83" t="s">
        <v>389</v>
      </c>
      <c r="Q83" t="s">
        <v>48</v>
      </c>
    </row>
    <row r="84" spans="1:17" hidden="1" x14ac:dyDescent="0.25">
      <c r="A84" t="s">
        <v>33</v>
      </c>
      <c r="B84" t="s">
        <v>390</v>
      </c>
      <c r="C84" t="s">
        <v>21</v>
      </c>
      <c r="D84" t="s">
        <v>390</v>
      </c>
      <c r="E84" t="s">
        <v>159</v>
      </c>
      <c r="F84" t="s">
        <v>391</v>
      </c>
      <c r="G84" t="s">
        <v>24</v>
      </c>
      <c r="H84" t="s">
        <v>392</v>
      </c>
      <c r="L84" t="s">
        <v>53</v>
      </c>
    </row>
    <row r="85" spans="1:17" hidden="1" x14ac:dyDescent="0.25">
      <c r="A85" t="s">
        <v>33</v>
      </c>
      <c r="B85" t="s">
        <v>393</v>
      </c>
      <c r="C85" t="s">
        <v>29</v>
      </c>
      <c r="D85" t="s">
        <v>393</v>
      </c>
      <c r="E85" t="s">
        <v>394</v>
      </c>
      <c r="F85" t="s">
        <v>395</v>
      </c>
      <c r="G85" t="s">
        <v>24</v>
      </c>
      <c r="H85" t="s">
        <v>396</v>
      </c>
      <c r="L85" t="s">
        <v>397</v>
      </c>
    </row>
    <row r="86" spans="1:17" hidden="1" x14ac:dyDescent="0.25">
      <c r="A86" t="s">
        <v>33</v>
      </c>
      <c r="B86" t="s">
        <v>398</v>
      </c>
      <c r="C86" t="s">
        <v>21</v>
      </c>
      <c r="D86" t="s">
        <v>399</v>
      </c>
      <c r="E86" t="s">
        <v>400</v>
      </c>
      <c r="F86" t="s">
        <v>401</v>
      </c>
      <c r="G86" t="s">
        <v>24</v>
      </c>
      <c r="H86" t="s">
        <v>402</v>
      </c>
      <c r="I86" t="s">
        <v>46</v>
      </c>
      <c r="L86" t="s">
        <v>181</v>
      </c>
      <c r="Q86" t="s">
        <v>48</v>
      </c>
    </row>
    <row r="87" spans="1:17" hidden="1" x14ac:dyDescent="0.25">
      <c r="A87" t="s">
        <v>33</v>
      </c>
      <c r="B87" t="s">
        <v>403</v>
      </c>
      <c r="C87" t="s">
        <v>21</v>
      </c>
      <c r="D87" t="s">
        <v>403</v>
      </c>
      <c r="E87" t="s">
        <v>404</v>
      </c>
      <c r="F87" t="s">
        <v>405</v>
      </c>
      <c r="G87" t="s">
        <v>24</v>
      </c>
      <c r="H87" t="s">
        <v>406</v>
      </c>
      <c r="I87" t="s">
        <v>46</v>
      </c>
      <c r="L87" t="s">
        <v>349</v>
      </c>
      <c r="Q87" t="s">
        <v>48</v>
      </c>
    </row>
    <row r="88" spans="1:17" hidden="1" x14ac:dyDescent="0.25">
      <c r="A88" t="s">
        <v>33</v>
      </c>
      <c r="B88" t="s">
        <v>407</v>
      </c>
      <c r="C88" t="s">
        <v>21</v>
      </c>
      <c r="D88" t="s">
        <v>407</v>
      </c>
      <c r="E88" t="s">
        <v>408</v>
      </c>
      <c r="F88" t="s">
        <v>409</v>
      </c>
      <c r="G88" t="s">
        <v>24</v>
      </c>
      <c r="H88" t="s">
        <v>410</v>
      </c>
      <c r="I88" t="s">
        <v>46</v>
      </c>
      <c r="L88" t="s">
        <v>287</v>
      </c>
      <c r="Q88" t="s">
        <v>48</v>
      </c>
    </row>
    <row r="89" spans="1:17" hidden="1" x14ac:dyDescent="0.25">
      <c r="A89" t="s">
        <v>33</v>
      </c>
      <c r="B89" t="s">
        <v>411</v>
      </c>
      <c r="C89" t="s">
        <v>21</v>
      </c>
      <c r="D89" t="s">
        <v>411</v>
      </c>
      <c r="E89" t="s">
        <v>412</v>
      </c>
      <c r="F89" t="s">
        <v>413</v>
      </c>
      <c r="G89" t="s">
        <v>24</v>
      </c>
      <c r="H89" t="s">
        <v>414</v>
      </c>
      <c r="I89" t="s">
        <v>73</v>
      </c>
      <c r="L89" t="s">
        <v>415</v>
      </c>
      <c r="Q89" t="s">
        <v>75</v>
      </c>
    </row>
    <row r="90" spans="1:17" hidden="1" x14ac:dyDescent="0.25">
      <c r="A90" t="s">
        <v>33</v>
      </c>
      <c r="B90" t="s">
        <v>416</v>
      </c>
      <c r="C90" t="s">
        <v>21</v>
      </c>
      <c r="D90" t="s">
        <v>416</v>
      </c>
      <c r="E90" t="s">
        <v>187</v>
      </c>
      <c r="F90" t="s">
        <v>417</v>
      </c>
      <c r="G90" t="s">
        <v>24</v>
      </c>
      <c r="H90" t="s">
        <v>418</v>
      </c>
      <c r="L90" t="s">
        <v>309</v>
      </c>
    </row>
    <row r="91" spans="1:17" hidden="1" x14ac:dyDescent="0.25">
      <c r="A91" t="s">
        <v>33</v>
      </c>
      <c r="B91" t="s">
        <v>419</v>
      </c>
      <c r="C91" t="s">
        <v>21</v>
      </c>
      <c r="D91" t="s">
        <v>419</v>
      </c>
      <c r="E91" t="s">
        <v>420</v>
      </c>
      <c r="F91" t="s">
        <v>421</v>
      </c>
      <c r="G91" t="s">
        <v>24</v>
      </c>
      <c r="H91" t="s">
        <v>422</v>
      </c>
      <c r="I91" t="s">
        <v>46</v>
      </c>
      <c r="L91" t="s">
        <v>273</v>
      </c>
      <c r="Q91" t="s">
        <v>48</v>
      </c>
    </row>
    <row r="92" spans="1:17" hidden="1" x14ac:dyDescent="0.25">
      <c r="A92" t="s">
        <v>33</v>
      </c>
      <c r="B92" t="s">
        <v>423</v>
      </c>
      <c r="C92" t="s">
        <v>21</v>
      </c>
      <c r="D92" t="s">
        <v>423</v>
      </c>
      <c r="E92" t="s">
        <v>424</v>
      </c>
      <c r="F92" t="s">
        <v>425</v>
      </c>
      <c r="G92" t="s">
        <v>24</v>
      </c>
      <c r="H92" t="s">
        <v>426</v>
      </c>
      <c r="I92" t="s">
        <v>46</v>
      </c>
      <c r="L92" t="s">
        <v>185</v>
      </c>
      <c r="Q92" t="s">
        <v>48</v>
      </c>
    </row>
    <row r="93" spans="1:17" hidden="1" x14ac:dyDescent="0.25">
      <c r="A93" t="s">
        <v>33</v>
      </c>
      <c r="B93" t="s">
        <v>427</v>
      </c>
      <c r="C93" t="s">
        <v>21</v>
      </c>
      <c r="D93" t="s">
        <v>427</v>
      </c>
      <c r="E93" t="s">
        <v>428</v>
      </c>
      <c r="F93" t="s">
        <v>429</v>
      </c>
      <c r="G93" t="s">
        <v>24</v>
      </c>
      <c r="H93" t="s">
        <v>430</v>
      </c>
      <c r="I93" t="s">
        <v>46</v>
      </c>
      <c r="Q93" t="s">
        <v>48</v>
      </c>
    </row>
    <row r="94" spans="1:17" hidden="1" x14ac:dyDescent="0.25">
      <c r="A94" t="s">
        <v>33</v>
      </c>
      <c r="B94" t="s">
        <v>431</v>
      </c>
      <c r="C94" t="s">
        <v>21</v>
      </c>
      <c r="D94" t="s">
        <v>431</v>
      </c>
      <c r="E94" t="s">
        <v>338</v>
      </c>
      <c r="F94" t="s">
        <v>432</v>
      </c>
      <c r="G94" t="s">
        <v>24</v>
      </c>
      <c r="H94" t="s">
        <v>433</v>
      </c>
      <c r="I94" t="s">
        <v>46</v>
      </c>
      <c r="L94" t="s">
        <v>273</v>
      </c>
      <c r="Q94" t="s">
        <v>48</v>
      </c>
    </row>
    <row r="95" spans="1:17" hidden="1" x14ac:dyDescent="0.25">
      <c r="A95" t="s">
        <v>33</v>
      </c>
      <c r="B95" t="s">
        <v>434</v>
      </c>
      <c r="C95" t="s">
        <v>21</v>
      </c>
      <c r="D95" t="s">
        <v>434</v>
      </c>
      <c r="E95" t="s">
        <v>435</v>
      </c>
      <c r="F95" t="s">
        <v>436</v>
      </c>
      <c r="G95" t="s">
        <v>24</v>
      </c>
      <c r="H95" t="s">
        <v>437</v>
      </c>
      <c r="L95" t="s">
        <v>292</v>
      </c>
    </row>
    <row r="96" spans="1:17" hidden="1" x14ac:dyDescent="0.25">
      <c r="A96" t="s">
        <v>33</v>
      </c>
      <c r="B96" t="s">
        <v>438</v>
      </c>
      <c r="C96" t="s">
        <v>21</v>
      </c>
      <c r="D96" t="s">
        <v>438</v>
      </c>
      <c r="E96" t="s">
        <v>424</v>
      </c>
      <c r="F96" t="s">
        <v>439</v>
      </c>
      <c r="G96" t="s">
        <v>24</v>
      </c>
      <c r="H96" t="s">
        <v>440</v>
      </c>
      <c r="I96" t="s">
        <v>46</v>
      </c>
      <c r="L96" t="s">
        <v>349</v>
      </c>
      <c r="Q96" t="s">
        <v>48</v>
      </c>
    </row>
    <row r="97" spans="1:17" hidden="1" x14ac:dyDescent="0.25">
      <c r="A97" t="s">
        <v>33</v>
      </c>
      <c r="B97" t="s">
        <v>441</v>
      </c>
      <c r="C97" t="s">
        <v>21</v>
      </c>
      <c r="D97" t="s">
        <v>441</v>
      </c>
      <c r="E97" t="s">
        <v>200</v>
      </c>
      <c r="F97" t="s">
        <v>442</v>
      </c>
      <c r="G97" t="s">
        <v>24</v>
      </c>
      <c r="H97" t="s">
        <v>443</v>
      </c>
      <c r="I97" t="s">
        <v>46</v>
      </c>
      <c r="L97" t="s">
        <v>444</v>
      </c>
      <c r="Q97" t="s">
        <v>48</v>
      </c>
    </row>
    <row r="98" spans="1:17" hidden="1" x14ac:dyDescent="0.25">
      <c r="A98" t="s">
        <v>33</v>
      </c>
      <c r="B98" t="s">
        <v>445</v>
      </c>
      <c r="C98" t="s">
        <v>21</v>
      </c>
      <c r="D98" t="s">
        <v>445</v>
      </c>
      <c r="E98" t="s">
        <v>351</v>
      </c>
      <c r="F98" t="s">
        <v>446</v>
      </c>
      <c r="G98" t="s">
        <v>24</v>
      </c>
      <c r="H98" t="s">
        <v>447</v>
      </c>
      <c r="I98" t="s">
        <v>46</v>
      </c>
      <c r="L98" t="s">
        <v>185</v>
      </c>
      <c r="Q98" t="s">
        <v>48</v>
      </c>
    </row>
    <row r="99" spans="1:17" x14ac:dyDescent="0.25">
      <c r="A99" t="s">
        <v>33</v>
      </c>
      <c r="B99" t="s">
        <v>448</v>
      </c>
      <c r="C99" t="s">
        <v>21</v>
      </c>
      <c r="D99" t="s">
        <v>448</v>
      </c>
      <c r="E99" t="s">
        <v>449</v>
      </c>
      <c r="F99" t="s">
        <v>450</v>
      </c>
      <c r="G99" t="s">
        <v>24</v>
      </c>
      <c r="H99" t="s">
        <v>451</v>
      </c>
      <c r="I99" t="s">
        <v>452</v>
      </c>
      <c r="L99" t="s">
        <v>453</v>
      </c>
      <c r="Q99" t="s">
        <v>454</v>
      </c>
    </row>
    <row r="100" spans="1:17" hidden="1" x14ac:dyDescent="0.25">
      <c r="A100" t="s">
        <v>33</v>
      </c>
      <c r="B100" t="s">
        <v>455</v>
      </c>
      <c r="C100" t="s">
        <v>21</v>
      </c>
      <c r="D100" t="s">
        <v>455</v>
      </c>
      <c r="E100" t="s">
        <v>456</v>
      </c>
      <c r="F100" t="s">
        <v>457</v>
      </c>
      <c r="G100" t="s">
        <v>24</v>
      </c>
      <c r="H100" t="s">
        <v>458</v>
      </c>
      <c r="I100" t="s">
        <v>46</v>
      </c>
      <c r="L100" t="s">
        <v>273</v>
      </c>
      <c r="Q100" t="s">
        <v>48</v>
      </c>
    </row>
    <row r="101" spans="1:17" hidden="1" x14ac:dyDescent="0.25">
      <c r="A101" t="s">
        <v>33</v>
      </c>
      <c r="B101" t="s">
        <v>459</v>
      </c>
      <c r="C101" t="s">
        <v>21</v>
      </c>
      <c r="D101" t="s">
        <v>459</v>
      </c>
      <c r="E101" t="s">
        <v>460</v>
      </c>
      <c r="F101" t="s">
        <v>461</v>
      </c>
      <c r="G101" t="s">
        <v>24</v>
      </c>
      <c r="H101" t="s">
        <v>462</v>
      </c>
      <c r="I101" t="s">
        <v>46</v>
      </c>
      <c r="L101" t="s">
        <v>309</v>
      </c>
      <c r="Q101" t="s">
        <v>48</v>
      </c>
    </row>
    <row r="102" spans="1:17" hidden="1" x14ac:dyDescent="0.25">
      <c r="A102" t="s">
        <v>33</v>
      </c>
      <c r="B102" t="s">
        <v>463</v>
      </c>
      <c r="C102" t="s">
        <v>21</v>
      </c>
      <c r="D102" t="s">
        <v>463</v>
      </c>
      <c r="E102" t="s">
        <v>464</v>
      </c>
      <c r="F102" t="s">
        <v>465</v>
      </c>
      <c r="G102" t="s">
        <v>24</v>
      </c>
      <c r="H102" t="s">
        <v>466</v>
      </c>
      <c r="I102" t="s">
        <v>46</v>
      </c>
      <c r="L102" t="s">
        <v>467</v>
      </c>
      <c r="Q102" t="s">
        <v>48</v>
      </c>
    </row>
    <row r="103" spans="1:17" hidden="1" x14ac:dyDescent="0.25">
      <c r="A103" t="s">
        <v>33</v>
      </c>
      <c r="B103" t="s">
        <v>468</v>
      </c>
      <c r="C103" t="s">
        <v>21</v>
      </c>
      <c r="D103" t="s">
        <v>468</v>
      </c>
      <c r="E103" t="s">
        <v>65</v>
      </c>
      <c r="F103" t="s">
        <v>469</v>
      </c>
      <c r="G103" t="s">
        <v>24</v>
      </c>
      <c r="H103" t="s">
        <v>470</v>
      </c>
      <c r="I103" t="s">
        <v>46</v>
      </c>
      <c r="L103" t="s">
        <v>53</v>
      </c>
      <c r="Q103" t="s">
        <v>48</v>
      </c>
    </row>
    <row r="104" spans="1:17" hidden="1" x14ac:dyDescent="0.25">
      <c r="A104" t="s">
        <v>33</v>
      </c>
      <c r="B104" t="s">
        <v>471</v>
      </c>
      <c r="C104" t="s">
        <v>21</v>
      </c>
      <c r="D104" t="s">
        <v>471</v>
      </c>
      <c r="E104" t="s">
        <v>472</v>
      </c>
      <c r="F104" t="s">
        <v>473</v>
      </c>
      <c r="G104" t="s">
        <v>24</v>
      </c>
      <c r="H104" t="s">
        <v>474</v>
      </c>
      <c r="I104" t="s">
        <v>46</v>
      </c>
      <c r="L104" t="s">
        <v>80</v>
      </c>
      <c r="Q104" t="s">
        <v>48</v>
      </c>
    </row>
    <row r="105" spans="1:17" hidden="1" x14ac:dyDescent="0.25">
      <c r="A105" t="s">
        <v>33</v>
      </c>
      <c r="B105" t="s">
        <v>475</v>
      </c>
      <c r="C105" t="s">
        <v>21</v>
      </c>
      <c r="D105" t="s">
        <v>475</v>
      </c>
      <c r="E105" t="s">
        <v>476</v>
      </c>
      <c r="F105" t="s">
        <v>477</v>
      </c>
      <c r="G105" t="s">
        <v>24</v>
      </c>
      <c r="H105" t="s">
        <v>478</v>
      </c>
      <c r="I105" t="s">
        <v>73</v>
      </c>
      <c r="L105" t="s">
        <v>479</v>
      </c>
      <c r="Q105" t="s">
        <v>75</v>
      </c>
    </row>
    <row r="106" spans="1:17" hidden="1" x14ac:dyDescent="0.25">
      <c r="A106" t="s">
        <v>33</v>
      </c>
      <c r="B106" t="s">
        <v>480</v>
      </c>
      <c r="C106" t="s">
        <v>21</v>
      </c>
      <c r="D106" t="s">
        <v>480</v>
      </c>
      <c r="E106" t="s">
        <v>481</v>
      </c>
      <c r="F106" t="s">
        <v>482</v>
      </c>
      <c r="G106" t="s">
        <v>24</v>
      </c>
      <c r="H106" t="s">
        <v>483</v>
      </c>
      <c r="I106" t="s">
        <v>46</v>
      </c>
      <c r="L106" t="s">
        <v>484</v>
      </c>
      <c r="Q106" t="s">
        <v>48</v>
      </c>
    </row>
    <row r="107" spans="1:17" hidden="1" x14ac:dyDescent="0.25">
      <c r="A107" t="s">
        <v>33</v>
      </c>
      <c r="B107" t="s">
        <v>485</v>
      </c>
      <c r="C107" t="s">
        <v>21</v>
      </c>
      <c r="D107" t="s">
        <v>485</v>
      </c>
      <c r="E107" t="s">
        <v>486</v>
      </c>
      <c r="F107" t="s">
        <v>487</v>
      </c>
      <c r="G107" t="s">
        <v>24</v>
      </c>
      <c r="H107" t="s">
        <v>488</v>
      </c>
      <c r="L107" t="s">
        <v>27</v>
      </c>
    </row>
    <row r="108" spans="1:17" hidden="1" x14ac:dyDescent="0.25">
      <c r="A108" t="s">
        <v>33</v>
      </c>
      <c r="B108" t="s">
        <v>489</v>
      </c>
      <c r="C108" t="s">
        <v>29</v>
      </c>
      <c r="D108" t="s">
        <v>489</v>
      </c>
      <c r="E108" t="s">
        <v>490</v>
      </c>
      <c r="F108" t="s">
        <v>491</v>
      </c>
      <c r="G108" t="s">
        <v>24</v>
      </c>
      <c r="H108" t="s">
        <v>492</v>
      </c>
      <c r="I108" t="s">
        <v>46</v>
      </c>
      <c r="L108" t="s">
        <v>397</v>
      </c>
      <c r="Q108" t="s">
        <v>48</v>
      </c>
    </row>
    <row r="109" spans="1:17" hidden="1" x14ac:dyDescent="0.25">
      <c r="A109" t="s">
        <v>33</v>
      </c>
      <c r="B109" t="s">
        <v>493</v>
      </c>
      <c r="C109" t="s">
        <v>21</v>
      </c>
      <c r="D109" t="s">
        <v>493</v>
      </c>
      <c r="E109" t="s">
        <v>494</v>
      </c>
      <c r="F109" t="s">
        <v>495</v>
      </c>
      <c r="G109" t="s">
        <v>24</v>
      </c>
      <c r="H109" t="s">
        <v>496</v>
      </c>
      <c r="L109" t="s">
        <v>497</v>
      </c>
    </row>
    <row r="110" spans="1:17" hidden="1" x14ac:dyDescent="0.25">
      <c r="A110" t="s">
        <v>33</v>
      </c>
      <c r="B110" t="s">
        <v>498</v>
      </c>
      <c r="C110" t="s">
        <v>21</v>
      </c>
      <c r="D110" t="s">
        <v>498</v>
      </c>
      <c r="E110" t="s">
        <v>499</v>
      </c>
      <c r="F110" t="s">
        <v>500</v>
      </c>
      <c r="G110" t="s">
        <v>24</v>
      </c>
      <c r="H110" t="s">
        <v>501</v>
      </c>
      <c r="I110" t="s">
        <v>46</v>
      </c>
      <c r="L110" t="s">
        <v>502</v>
      </c>
      <c r="Q110" t="s">
        <v>48</v>
      </c>
    </row>
    <row r="111" spans="1:17" hidden="1" x14ac:dyDescent="0.25">
      <c r="A111" t="s">
        <v>33</v>
      </c>
      <c r="B111" t="s">
        <v>503</v>
      </c>
      <c r="C111" t="s">
        <v>21</v>
      </c>
      <c r="D111" t="s">
        <v>503</v>
      </c>
      <c r="E111" t="s">
        <v>504</v>
      </c>
      <c r="F111" t="s">
        <v>505</v>
      </c>
      <c r="G111" t="s">
        <v>24</v>
      </c>
      <c r="H111" t="s">
        <v>506</v>
      </c>
      <c r="L111" t="s">
        <v>507</v>
      </c>
    </row>
    <row r="112" spans="1:17" hidden="1" x14ac:dyDescent="0.25">
      <c r="A112" t="s">
        <v>33</v>
      </c>
      <c r="B112" t="s">
        <v>508</v>
      </c>
      <c r="C112" t="s">
        <v>29</v>
      </c>
      <c r="D112" t="s">
        <v>508</v>
      </c>
      <c r="E112" t="s">
        <v>509</v>
      </c>
      <c r="F112" t="s">
        <v>237</v>
      </c>
      <c r="G112" t="s">
        <v>24</v>
      </c>
      <c r="H112" t="s">
        <v>510</v>
      </c>
      <c r="I112" t="s">
        <v>46</v>
      </c>
      <c r="L112" t="s">
        <v>511</v>
      </c>
      <c r="Q112" t="s">
        <v>48</v>
      </c>
    </row>
    <row r="113" spans="1:17" hidden="1" x14ac:dyDescent="0.25">
      <c r="A113" t="s">
        <v>33</v>
      </c>
      <c r="B113" t="s">
        <v>512</v>
      </c>
      <c r="C113" t="s">
        <v>29</v>
      </c>
      <c r="D113" t="s">
        <v>513</v>
      </c>
      <c r="E113" t="s">
        <v>514</v>
      </c>
      <c r="F113" t="s">
        <v>515</v>
      </c>
      <c r="G113" t="s">
        <v>24</v>
      </c>
      <c r="H113" t="s">
        <v>516</v>
      </c>
      <c r="I113" t="s">
        <v>46</v>
      </c>
      <c r="L113" t="s">
        <v>517</v>
      </c>
      <c r="Q113" t="s">
        <v>48</v>
      </c>
    </row>
    <row r="114" spans="1:17" hidden="1" x14ac:dyDescent="0.25">
      <c r="A114" t="s">
        <v>33</v>
      </c>
      <c r="B114" t="s">
        <v>518</v>
      </c>
      <c r="C114" t="s">
        <v>21</v>
      </c>
      <c r="D114" t="s">
        <v>518</v>
      </c>
      <c r="E114" t="s">
        <v>519</v>
      </c>
      <c r="F114" t="s">
        <v>520</v>
      </c>
      <c r="G114" t="s">
        <v>24</v>
      </c>
      <c r="H114" t="s">
        <v>521</v>
      </c>
      <c r="I114" t="s">
        <v>73</v>
      </c>
      <c r="L114" t="s">
        <v>375</v>
      </c>
      <c r="Q114" t="s">
        <v>75</v>
      </c>
    </row>
    <row r="115" spans="1:17" hidden="1" x14ac:dyDescent="0.25">
      <c r="A115" t="s">
        <v>33</v>
      </c>
      <c r="B115" t="s">
        <v>522</v>
      </c>
      <c r="C115" t="s">
        <v>21</v>
      </c>
      <c r="D115" t="s">
        <v>522</v>
      </c>
      <c r="E115" t="s">
        <v>523</v>
      </c>
      <c r="F115" t="s">
        <v>524</v>
      </c>
      <c r="G115" t="s">
        <v>24</v>
      </c>
      <c r="H115" t="s">
        <v>525</v>
      </c>
      <c r="I115" t="s">
        <v>46</v>
      </c>
      <c r="L115" t="s">
        <v>507</v>
      </c>
      <c r="Q115" t="s">
        <v>48</v>
      </c>
    </row>
    <row r="116" spans="1:17" hidden="1" x14ac:dyDescent="0.25">
      <c r="A116" t="s">
        <v>33</v>
      </c>
      <c r="B116" t="s">
        <v>526</v>
      </c>
      <c r="C116" t="s">
        <v>21</v>
      </c>
      <c r="D116" t="s">
        <v>526</v>
      </c>
      <c r="E116" t="s">
        <v>527</v>
      </c>
      <c r="F116" t="s">
        <v>528</v>
      </c>
      <c r="G116" t="s">
        <v>24</v>
      </c>
      <c r="H116" t="s">
        <v>529</v>
      </c>
      <c r="I116" t="s">
        <v>46</v>
      </c>
      <c r="L116" t="s">
        <v>530</v>
      </c>
      <c r="Q116" t="s">
        <v>48</v>
      </c>
    </row>
    <row r="117" spans="1:17" hidden="1" x14ac:dyDescent="0.25">
      <c r="A117" t="s">
        <v>33</v>
      </c>
      <c r="B117" t="s">
        <v>531</v>
      </c>
      <c r="C117" t="s">
        <v>21</v>
      </c>
      <c r="D117" t="s">
        <v>531</v>
      </c>
      <c r="E117" t="s">
        <v>532</v>
      </c>
      <c r="F117" t="s">
        <v>533</v>
      </c>
      <c r="G117" t="s">
        <v>24</v>
      </c>
      <c r="H117" t="s">
        <v>534</v>
      </c>
      <c r="I117" t="s">
        <v>46</v>
      </c>
      <c r="L117" t="s">
        <v>535</v>
      </c>
      <c r="Q117" t="s">
        <v>48</v>
      </c>
    </row>
    <row r="118" spans="1:17" hidden="1" x14ac:dyDescent="0.25">
      <c r="A118" t="s">
        <v>33</v>
      </c>
      <c r="B118" t="s">
        <v>536</v>
      </c>
      <c r="C118" t="s">
        <v>21</v>
      </c>
      <c r="D118" t="s">
        <v>536</v>
      </c>
      <c r="E118" t="s">
        <v>486</v>
      </c>
      <c r="F118" t="s">
        <v>537</v>
      </c>
      <c r="G118" t="s">
        <v>24</v>
      </c>
      <c r="H118" t="s">
        <v>538</v>
      </c>
      <c r="J118" t="s">
        <v>26</v>
      </c>
      <c r="L118" t="s">
        <v>27</v>
      </c>
    </row>
    <row r="119" spans="1:17" hidden="1" x14ac:dyDescent="0.25">
      <c r="A119" t="s">
        <v>33</v>
      </c>
      <c r="B119" t="s">
        <v>539</v>
      </c>
      <c r="C119" t="s">
        <v>21</v>
      </c>
      <c r="D119" t="s">
        <v>539</v>
      </c>
      <c r="E119" t="s">
        <v>540</v>
      </c>
      <c r="F119" t="s">
        <v>541</v>
      </c>
      <c r="G119" t="s">
        <v>24</v>
      </c>
      <c r="H119" t="s">
        <v>542</v>
      </c>
      <c r="I119" t="s">
        <v>46</v>
      </c>
      <c r="L119" t="s">
        <v>543</v>
      </c>
      <c r="Q119" t="s">
        <v>48</v>
      </c>
    </row>
    <row r="120" spans="1:17" hidden="1" x14ac:dyDescent="0.25">
      <c r="A120" t="s">
        <v>33</v>
      </c>
      <c r="B120" t="s">
        <v>544</v>
      </c>
      <c r="C120" t="s">
        <v>21</v>
      </c>
      <c r="D120" t="s">
        <v>544</v>
      </c>
      <c r="E120" t="s">
        <v>545</v>
      </c>
      <c r="F120" t="s">
        <v>546</v>
      </c>
      <c r="G120" t="s">
        <v>24</v>
      </c>
      <c r="H120" t="s">
        <v>547</v>
      </c>
      <c r="I120" t="s">
        <v>73</v>
      </c>
      <c r="L120" t="s">
        <v>548</v>
      </c>
      <c r="Q120" t="s">
        <v>75</v>
      </c>
    </row>
    <row r="121" spans="1:17" hidden="1" x14ac:dyDescent="0.25">
      <c r="A121" t="s">
        <v>33</v>
      </c>
      <c r="B121" t="s">
        <v>549</v>
      </c>
      <c r="C121" t="s">
        <v>21</v>
      </c>
      <c r="D121" t="s">
        <v>549</v>
      </c>
      <c r="E121" t="s">
        <v>100</v>
      </c>
      <c r="F121" t="s">
        <v>550</v>
      </c>
      <c r="G121" t="s">
        <v>24</v>
      </c>
      <c r="H121" t="s">
        <v>551</v>
      </c>
      <c r="L121" t="s">
        <v>166</v>
      </c>
    </row>
    <row r="122" spans="1:17" hidden="1" x14ac:dyDescent="0.25">
      <c r="A122" t="s">
        <v>33</v>
      </c>
      <c r="B122" t="s">
        <v>552</v>
      </c>
      <c r="C122" t="s">
        <v>21</v>
      </c>
      <c r="D122" t="s">
        <v>552</v>
      </c>
      <c r="E122" t="s">
        <v>178</v>
      </c>
      <c r="F122" t="s">
        <v>553</v>
      </c>
      <c r="G122" t="s">
        <v>24</v>
      </c>
      <c r="H122" t="s">
        <v>554</v>
      </c>
      <c r="I122" t="s">
        <v>46</v>
      </c>
      <c r="L122" t="s">
        <v>555</v>
      </c>
      <c r="Q122" t="s">
        <v>48</v>
      </c>
    </row>
    <row r="123" spans="1:17" hidden="1" x14ac:dyDescent="0.25">
      <c r="A123" t="s">
        <v>33</v>
      </c>
      <c r="B123" t="s">
        <v>556</v>
      </c>
      <c r="C123" t="s">
        <v>21</v>
      </c>
      <c r="D123" t="s">
        <v>556</v>
      </c>
      <c r="E123" t="s">
        <v>557</v>
      </c>
      <c r="F123" t="s">
        <v>558</v>
      </c>
      <c r="G123" t="s">
        <v>24</v>
      </c>
      <c r="H123" t="s">
        <v>559</v>
      </c>
      <c r="L123" t="s">
        <v>548</v>
      </c>
    </row>
    <row r="124" spans="1:17" x14ac:dyDescent="0.25">
      <c r="A124" t="s">
        <v>33</v>
      </c>
      <c r="B124" t="s">
        <v>560</v>
      </c>
      <c r="C124" t="s">
        <v>21</v>
      </c>
      <c r="D124" t="s">
        <v>560</v>
      </c>
      <c r="E124" t="s">
        <v>561</v>
      </c>
      <c r="F124" t="s">
        <v>562</v>
      </c>
      <c r="G124" t="s">
        <v>24</v>
      </c>
      <c r="H124" t="s">
        <v>563</v>
      </c>
      <c r="I124" t="s">
        <v>564</v>
      </c>
      <c r="L124" t="s">
        <v>565</v>
      </c>
      <c r="Q124" t="s">
        <v>566</v>
      </c>
    </row>
    <row r="125" spans="1:17" hidden="1" x14ac:dyDescent="0.25">
      <c r="A125" t="s">
        <v>33</v>
      </c>
      <c r="B125" t="s">
        <v>567</v>
      </c>
      <c r="C125" t="s">
        <v>21</v>
      </c>
      <c r="D125" t="s">
        <v>567</v>
      </c>
      <c r="E125" t="s">
        <v>568</v>
      </c>
      <c r="F125" t="s">
        <v>569</v>
      </c>
      <c r="G125" t="s">
        <v>24</v>
      </c>
      <c r="H125" t="s">
        <v>570</v>
      </c>
      <c r="I125" t="s">
        <v>46</v>
      </c>
      <c r="L125" t="s">
        <v>571</v>
      </c>
      <c r="Q125" t="s">
        <v>48</v>
      </c>
    </row>
    <row r="126" spans="1:17" hidden="1" x14ac:dyDescent="0.25">
      <c r="A126" t="s">
        <v>33</v>
      </c>
      <c r="B126" t="s">
        <v>572</v>
      </c>
      <c r="C126" t="s">
        <v>21</v>
      </c>
      <c r="D126" t="s">
        <v>572</v>
      </c>
      <c r="E126" t="s">
        <v>334</v>
      </c>
      <c r="F126" t="s">
        <v>573</v>
      </c>
      <c r="G126" t="s">
        <v>24</v>
      </c>
      <c r="H126" t="s">
        <v>574</v>
      </c>
      <c r="I126" t="s">
        <v>46</v>
      </c>
      <c r="L126" t="s">
        <v>575</v>
      </c>
      <c r="Q126" t="s">
        <v>48</v>
      </c>
    </row>
    <row r="127" spans="1:17" hidden="1" x14ac:dyDescent="0.25">
      <c r="A127" t="s">
        <v>33</v>
      </c>
      <c r="B127" t="s">
        <v>576</v>
      </c>
      <c r="C127" t="s">
        <v>21</v>
      </c>
      <c r="D127" t="s">
        <v>576</v>
      </c>
      <c r="E127" t="s">
        <v>372</v>
      </c>
      <c r="F127" t="s">
        <v>577</v>
      </c>
      <c r="G127" t="s">
        <v>24</v>
      </c>
      <c r="H127" t="s">
        <v>578</v>
      </c>
      <c r="L127" t="s">
        <v>273</v>
      </c>
    </row>
    <row r="128" spans="1:17" hidden="1" x14ac:dyDescent="0.25">
      <c r="A128" t="s">
        <v>33</v>
      </c>
      <c r="B128" t="s">
        <v>579</v>
      </c>
      <c r="C128" t="s">
        <v>29</v>
      </c>
      <c r="D128" t="s">
        <v>579</v>
      </c>
      <c r="E128" t="s">
        <v>372</v>
      </c>
      <c r="F128" t="s">
        <v>580</v>
      </c>
      <c r="G128" t="s">
        <v>24</v>
      </c>
      <c r="H128" t="s">
        <v>581</v>
      </c>
      <c r="I128" t="s">
        <v>73</v>
      </c>
      <c r="L128" t="s">
        <v>190</v>
      </c>
      <c r="Q128" t="s">
        <v>75</v>
      </c>
    </row>
    <row r="129" spans="1:17" hidden="1" x14ac:dyDescent="0.25">
      <c r="A129" t="s">
        <v>33</v>
      </c>
      <c r="B129" t="s">
        <v>582</v>
      </c>
      <c r="C129" t="s">
        <v>21</v>
      </c>
      <c r="D129" t="s">
        <v>582</v>
      </c>
      <c r="E129" t="s">
        <v>583</v>
      </c>
      <c r="F129" t="s">
        <v>584</v>
      </c>
      <c r="G129" t="s">
        <v>24</v>
      </c>
      <c r="H129" t="s">
        <v>585</v>
      </c>
      <c r="L129" t="s">
        <v>207</v>
      </c>
    </row>
    <row r="130" spans="1:17" hidden="1" x14ac:dyDescent="0.25">
      <c r="A130" t="s">
        <v>33</v>
      </c>
      <c r="B130" t="s">
        <v>586</v>
      </c>
      <c r="C130" t="s">
        <v>21</v>
      </c>
      <c r="D130" t="s">
        <v>586</v>
      </c>
      <c r="E130" t="s">
        <v>587</v>
      </c>
      <c r="F130" t="s">
        <v>588</v>
      </c>
      <c r="G130" t="s">
        <v>24</v>
      </c>
      <c r="H130" t="s">
        <v>589</v>
      </c>
      <c r="I130" t="s">
        <v>46</v>
      </c>
      <c r="L130" t="s">
        <v>38</v>
      </c>
      <c r="Q130" t="s">
        <v>48</v>
      </c>
    </row>
    <row r="131" spans="1:17" hidden="1" x14ac:dyDescent="0.25">
      <c r="A131" t="s">
        <v>33</v>
      </c>
      <c r="B131" t="s">
        <v>590</v>
      </c>
      <c r="C131" t="s">
        <v>21</v>
      </c>
      <c r="D131" t="s">
        <v>590</v>
      </c>
      <c r="E131" t="s">
        <v>523</v>
      </c>
      <c r="F131" t="s">
        <v>591</v>
      </c>
      <c r="G131" t="s">
        <v>24</v>
      </c>
      <c r="H131" s="1" t="s">
        <v>592</v>
      </c>
      <c r="I131" t="s">
        <v>46</v>
      </c>
      <c r="L131" t="s">
        <v>349</v>
      </c>
      <c r="Q131" t="s">
        <v>48</v>
      </c>
    </row>
    <row r="132" spans="1:17" hidden="1" x14ac:dyDescent="0.25">
      <c r="A132" t="s">
        <v>33</v>
      </c>
      <c r="B132" t="s">
        <v>593</v>
      </c>
      <c r="C132" t="s">
        <v>21</v>
      </c>
      <c r="D132" t="s">
        <v>593</v>
      </c>
      <c r="E132" t="s">
        <v>594</v>
      </c>
      <c r="F132" t="s">
        <v>595</v>
      </c>
      <c r="G132" t="s">
        <v>24</v>
      </c>
      <c r="H132" t="s">
        <v>596</v>
      </c>
      <c r="I132" t="s">
        <v>46</v>
      </c>
      <c r="L132" t="s">
        <v>108</v>
      </c>
      <c r="Q132" t="s">
        <v>48</v>
      </c>
    </row>
    <row r="133" spans="1:17" hidden="1" x14ac:dyDescent="0.25">
      <c r="A133" t="s">
        <v>33</v>
      </c>
      <c r="B133" t="s">
        <v>597</v>
      </c>
      <c r="C133" t="s">
        <v>29</v>
      </c>
      <c r="D133" t="s">
        <v>597</v>
      </c>
      <c r="E133" t="s">
        <v>598</v>
      </c>
      <c r="F133" t="s">
        <v>599</v>
      </c>
      <c r="G133" t="s">
        <v>24</v>
      </c>
      <c r="H133" t="s">
        <v>600</v>
      </c>
      <c r="I133" t="s">
        <v>46</v>
      </c>
      <c r="L133" t="s">
        <v>601</v>
      </c>
      <c r="Q133" t="s">
        <v>48</v>
      </c>
    </row>
    <row r="134" spans="1:17" hidden="1" x14ac:dyDescent="0.25">
      <c r="A134" t="s">
        <v>33</v>
      </c>
      <c r="B134" t="s">
        <v>602</v>
      </c>
      <c r="C134" t="s">
        <v>21</v>
      </c>
      <c r="D134" t="s">
        <v>602</v>
      </c>
      <c r="E134" t="s">
        <v>204</v>
      </c>
      <c r="F134" t="s">
        <v>603</v>
      </c>
      <c r="G134" t="s">
        <v>24</v>
      </c>
      <c r="H134" t="s">
        <v>604</v>
      </c>
      <c r="I134" t="s">
        <v>46</v>
      </c>
      <c r="L134" t="s">
        <v>185</v>
      </c>
      <c r="Q134" t="s">
        <v>48</v>
      </c>
    </row>
    <row r="135" spans="1:17" hidden="1" x14ac:dyDescent="0.25">
      <c r="A135" t="s">
        <v>33</v>
      </c>
      <c r="B135" t="s">
        <v>605</v>
      </c>
      <c r="C135" t="s">
        <v>21</v>
      </c>
      <c r="D135" t="s">
        <v>605</v>
      </c>
      <c r="E135" t="s">
        <v>606</v>
      </c>
      <c r="F135" t="s">
        <v>607</v>
      </c>
      <c r="G135" t="s">
        <v>24</v>
      </c>
      <c r="H135" t="s">
        <v>608</v>
      </c>
      <c r="I135" t="s">
        <v>46</v>
      </c>
      <c r="L135" t="s">
        <v>349</v>
      </c>
      <c r="Q135" t="s">
        <v>48</v>
      </c>
    </row>
    <row r="136" spans="1:17" hidden="1" x14ac:dyDescent="0.25">
      <c r="A136" t="s">
        <v>33</v>
      </c>
      <c r="B136" t="s">
        <v>609</v>
      </c>
      <c r="C136" t="s">
        <v>21</v>
      </c>
      <c r="D136" t="s">
        <v>609</v>
      </c>
      <c r="E136" t="s">
        <v>610</v>
      </c>
      <c r="F136" t="s">
        <v>611</v>
      </c>
      <c r="G136" t="s">
        <v>24</v>
      </c>
      <c r="H136" t="s">
        <v>612</v>
      </c>
      <c r="I136" t="s">
        <v>46</v>
      </c>
      <c r="L136" t="s">
        <v>389</v>
      </c>
      <c r="Q136" t="s">
        <v>48</v>
      </c>
    </row>
    <row r="137" spans="1:17" hidden="1" x14ac:dyDescent="0.25">
      <c r="A137" t="s">
        <v>33</v>
      </c>
      <c r="B137" t="s">
        <v>613</v>
      </c>
      <c r="C137" t="s">
        <v>21</v>
      </c>
      <c r="D137" t="s">
        <v>613</v>
      </c>
      <c r="E137" t="s">
        <v>614</v>
      </c>
      <c r="F137" t="s">
        <v>615</v>
      </c>
      <c r="G137" t="s">
        <v>24</v>
      </c>
      <c r="H137" t="s">
        <v>616</v>
      </c>
      <c r="I137" t="s">
        <v>46</v>
      </c>
      <c r="L137" t="s">
        <v>571</v>
      </c>
      <c r="Q137" t="s">
        <v>48</v>
      </c>
    </row>
    <row r="138" spans="1:17" hidden="1" x14ac:dyDescent="0.25">
      <c r="A138" t="s">
        <v>33</v>
      </c>
      <c r="B138" t="s">
        <v>617</v>
      </c>
      <c r="C138" t="s">
        <v>21</v>
      </c>
      <c r="D138" t="s">
        <v>617</v>
      </c>
      <c r="E138" t="s">
        <v>351</v>
      </c>
      <c r="F138" t="s">
        <v>618</v>
      </c>
      <c r="G138" t="s">
        <v>24</v>
      </c>
      <c r="H138" t="s">
        <v>619</v>
      </c>
      <c r="I138" t="s">
        <v>46</v>
      </c>
      <c r="L138" t="s">
        <v>620</v>
      </c>
      <c r="Q138" t="s">
        <v>48</v>
      </c>
    </row>
    <row r="139" spans="1:17" hidden="1" x14ac:dyDescent="0.25">
      <c r="A139" t="s">
        <v>33</v>
      </c>
      <c r="B139" t="s">
        <v>621</v>
      </c>
      <c r="C139" t="s">
        <v>21</v>
      </c>
      <c r="D139" t="s">
        <v>621</v>
      </c>
      <c r="E139" t="s">
        <v>622</v>
      </c>
      <c r="F139" t="s">
        <v>623</v>
      </c>
      <c r="G139" t="s">
        <v>24</v>
      </c>
      <c r="H139" t="s">
        <v>624</v>
      </c>
      <c r="I139" t="s">
        <v>46</v>
      </c>
      <c r="L139" t="s">
        <v>620</v>
      </c>
      <c r="Q139" t="s">
        <v>48</v>
      </c>
    </row>
    <row r="140" spans="1:17" hidden="1" x14ac:dyDescent="0.25">
      <c r="A140" t="s">
        <v>33</v>
      </c>
      <c r="B140" t="s">
        <v>625</v>
      </c>
      <c r="C140" t="s">
        <v>29</v>
      </c>
      <c r="D140" t="s">
        <v>625</v>
      </c>
      <c r="E140" t="s">
        <v>626</v>
      </c>
      <c r="F140" t="s">
        <v>627</v>
      </c>
      <c r="G140" t="s">
        <v>24</v>
      </c>
      <c r="H140" t="s">
        <v>628</v>
      </c>
      <c r="I140" t="s">
        <v>46</v>
      </c>
      <c r="J140" t="s">
        <v>26</v>
      </c>
      <c r="L140" t="s">
        <v>629</v>
      </c>
      <c r="Q140" t="s">
        <v>48</v>
      </c>
    </row>
    <row r="141" spans="1:17" hidden="1" x14ac:dyDescent="0.25">
      <c r="A141" t="s">
        <v>33</v>
      </c>
      <c r="B141" t="s">
        <v>630</v>
      </c>
      <c r="C141" t="s">
        <v>29</v>
      </c>
      <c r="D141" t="s">
        <v>630</v>
      </c>
      <c r="E141" t="s">
        <v>631</v>
      </c>
      <c r="F141" t="s">
        <v>632</v>
      </c>
      <c r="G141" t="s">
        <v>24</v>
      </c>
      <c r="H141" t="s">
        <v>633</v>
      </c>
      <c r="I141" t="s">
        <v>46</v>
      </c>
      <c r="L141" t="s">
        <v>511</v>
      </c>
      <c r="Q141" t="s">
        <v>48</v>
      </c>
    </row>
    <row r="142" spans="1:17" hidden="1" x14ac:dyDescent="0.25">
      <c r="A142" t="s">
        <v>33</v>
      </c>
      <c r="B142" t="s">
        <v>634</v>
      </c>
      <c r="C142" t="s">
        <v>29</v>
      </c>
      <c r="D142" t="s">
        <v>634</v>
      </c>
      <c r="E142" t="s">
        <v>635</v>
      </c>
      <c r="F142" t="s">
        <v>636</v>
      </c>
      <c r="G142" t="s">
        <v>24</v>
      </c>
      <c r="H142" t="s">
        <v>637</v>
      </c>
      <c r="I142" t="s">
        <v>46</v>
      </c>
      <c r="L142" t="s">
        <v>638</v>
      </c>
      <c r="Q142" t="s">
        <v>48</v>
      </c>
    </row>
    <row r="143" spans="1:17" hidden="1" x14ac:dyDescent="0.25">
      <c r="A143" t="s">
        <v>33</v>
      </c>
      <c r="B143" t="s">
        <v>639</v>
      </c>
      <c r="C143" t="s">
        <v>21</v>
      </c>
      <c r="D143" t="s">
        <v>639</v>
      </c>
      <c r="E143" t="s">
        <v>640</v>
      </c>
      <c r="F143" t="s">
        <v>641</v>
      </c>
      <c r="G143" t="s">
        <v>24</v>
      </c>
      <c r="H143" t="s">
        <v>642</v>
      </c>
      <c r="L143" t="s">
        <v>643</v>
      </c>
    </row>
    <row r="144" spans="1:17" hidden="1" x14ac:dyDescent="0.25">
      <c r="A144" t="s">
        <v>33</v>
      </c>
      <c r="B144" t="s">
        <v>644</v>
      </c>
      <c r="C144" t="s">
        <v>21</v>
      </c>
      <c r="D144" t="s">
        <v>644</v>
      </c>
      <c r="E144" t="s">
        <v>159</v>
      </c>
      <c r="F144" t="s">
        <v>645</v>
      </c>
      <c r="G144" t="s">
        <v>24</v>
      </c>
      <c r="H144" t="s">
        <v>646</v>
      </c>
      <c r="L144" t="s">
        <v>647</v>
      </c>
    </row>
    <row r="145" spans="1:17" hidden="1" x14ac:dyDescent="0.25">
      <c r="A145" t="s">
        <v>33</v>
      </c>
      <c r="B145" t="s">
        <v>648</v>
      </c>
      <c r="C145" t="s">
        <v>21</v>
      </c>
      <c r="D145" t="s">
        <v>648</v>
      </c>
      <c r="E145" t="s">
        <v>649</v>
      </c>
      <c r="F145" t="s">
        <v>650</v>
      </c>
      <c r="G145" t="s">
        <v>24</v>
      </c>
      <c r="H145" t="s">
        <v>651</v>
      </c>
      <c r="I145" t="s">
        <v>73</v>
      </c>
      <c r="L145" t="s">
        <v>53</v>
      </c>
      <c r="Q145" t="s">
        <v>75</v>
      </c>
    </row>
    <row r="146" spans="1:17" hidden="1" x14ac:dyDescent="0.25">
      <c r="A146" t="s">
        <v>33</v>
      </c>
      <c r="B146" t="s">
        <v>652</v>
      </c>
      <c r="C146" t="s">
        <v>21</v>
      </c>
      <c r="D146" t="s">
        <v>652</v>
      </c>
      <c r="E146" t="s">
        <v>126</v>
      </c>
      <c r="F146" t="s">
        <v>653</v>
      </c>
      <c r="G146" t="s">
        <v>24</v>
      </c>
      <c r="H146" t="s">
        <v>654</v>
      </c>
      <c r="I146" t="s">
        <v>46</v>
      </c>
      <c r="L146" t="s">
        <v>185</v>
      </c>
      <c r="Q146" t="s">
        <v>48</v>
      </c>
    </row>
    <row r="147" spans="1:17" hidden="1" x14ac:dyDescent="0.25">
      <c r="A147" t="s">
        <v>33</v>
      </c>
      <c r="B147" t="s">
        <v>655</v>
      </c>
      <c r="C147" t="s">
        <v>21</v>
      </c>
      <c r="D147" t="s">
        <v>655</v>
      </c>
      <c r="E147" t="s">
        <v>656</v>
      </c>
      <c r="F147" t="s">
        <v>657</v>
      </c>
      <c r="G147" t="s">
        <v>24</v>
      </c>
      <c r="H147" t="s">
        <v>658</v>
      </c>
      <c r="I147" t="s">
        <v>46</v>
      </c>
      <c r="L147" t="s">
        <v>38</v>
      </c>
      <c r="Q147" t="s">
        <v>48</v>
      </c>
    </row>
    <row r="148" spans="1:17" hidden="1" x14ac:dyDescent="0.25">
      <c r="A148" t="s">
        <v>33</v>
      </c>
      <c r="B148" t="s">
        <v>659</v>
      </c>
      <c r="C148" t="s">
        <v>21</v>
      </c>
      <c r="D148" t="s">
        <v>659</v>
      </c>
      <c r="E148" t="s">
        <v>660</v>
      </c>
      <c r="F148" t="s">
        <v>661</v>
      </c>
      <c r="G148" t="s">
        <v>24</v>
      </c>
      <c r="H148" t="s">
        <v>662</v>
      </c>
      <c r="L148" t="s">
        <v>38</v>
      </c>
    </row>
    <row r="149" spans="1:17" hidden="1" x14ac:dyDescent="0.25">
      <c r="A149" t="s">
        <v>33</v>
      </c>
      <c r="B149" t="s">
        <v>663</v>
      </c>
      <c r="C149" t="s">
        <v>21</v>
      </c>
      <c r="D149" t="s">
        <v>663</v>
      </c>
      <c r="E149" t="s">
        <v>338</v>
      </c>
      <c r="F149" t="s">
        <v>664</v>
      </c>
      <c r="G149" t="s">
        <v>24</v>
      </c>
      <c r="H149" t="s">
        <v>665</v>
      </c>
      <c r="J149" t="s">
        <v>26</v>
      </c>
      <c r="L149" t="s">
        <v>27</v>
      </c>
    </row>
    <row r="150" spans="1:17" hidden="1" x14ac:dyDescent="0.25">
      <c r="A150" t="s">
        <v>33</v>
      </c>
      <c r="B150" t="s">
        <v>666</v>
      </c>
      <c r="C150" t="s">
        <v>21</v>
      </c>
      <c r="D150" t="s">
        <v>666</v>
      </c>
      <c r="E150" t="s">
        <v>667</v>
      </c>
      <c r="F150" t="s">
        <v>668</v>
      </c>
      <c r="G150" t="s">
        <v>24</v>
      </c>
      <c r="H150" t="s">
        <v>669</v>
      </c>
      <c r="L150" t="s">
        <v>670</v>
      </c>
    </row>
    <row r="151" spans="1:17" hidden="1" x14ac:dyDescent="0.25">
      <c r="A151" t="s">
        <v>33</v>
      </c>
      <c r="B151" t="s">
        <v>671</v>
      </c>
      <c r="C151" t="s">
        <v>29</v>
      </c>
      <c r="D151" t="s">
        <v>671</v>
      </c>
      <c r="E151" t="s">
        <v>178</v>
      </c>
      <c r="F151" t="s">
        <v>672</v>
      </c>
      <c r="G151" t="s">
        <v>24</v>
      </c>
      <c r="H151" t="s">
        <v>673</v>
      </c>
      <c r="I151" t="s">
        <v>46</v>
      </c>
      <c r="L151" t="s">
        <v>246</v>
      </c>
      <c r="Q151" t="s">
        <v>48</v>
      </c>
    </row>
    <row r="152" spans="1:17" hidden="1" x14ac:dyDescent="0.25">
      <c r="A152" t="s">
        <v>33</v>
      </c>
      <c r="B152" t="s">
        <v>674</v>
      </c>
      <c r="C152" t="s">
        <v>21</v>
      </c>
      <c r="D152" t="s">
        <v>674</v>
      </c>
      <c r="E152" t="s">
        <v>598</v>
      </c>
      <c r="F152" t="s">
        <v>675</v>
      </c>
      <c r="G152" t="s">
        <v>24</v>
      </c>
      <c r="H152" t="s">
        <v>676</v>
      </c>
      <c r="I152" t="s">
        <v>96</v>
      </c>
      <c r="L152" t="s">
        <v>453</v>
      </c>
      <c r="Q152" t="s">
        <v>98</v>
      </c>
    </row>
    <row r="153" spans="1:17" hidden="1" x14ac:dyDescent="0.25">
      <c r="A153" t="s">
        <v>33</v>
      </c>
      <c r="B153" t="s">
        <v>677</v>
      </c>
      <c r="C153" t="s">
        <v>21</v>
      </c>
      <c r="D153" t="s">
        <v>677</v>
      </c>
      <c r="E153" t="s">
        <v>678</v>
      </c>
      <c r="F153" t="s">
        <v>146</v>
      </c>
      <c r="G153" t="s">
        <v>24</v>
      </c>
      <c r="H153" s="1" t="s">
        <v>679</v>
      </c>
      <c r="I153" t="s">
        <v>46</v>
      </c>
      <c r="L153" t="s">
        <v>53</v>
      </c>
      <c r="Q153" t="s">
        <v>48</v>
      </c>
    </row>
    <row r="154" spans="1:17" hidden="1" x14ac:dyDescent="0.25">
      <c r="A154" t="s">
        <v>33</v>
      </c>
      <c r="B154" t="s">
        <v>680</v>
      </c>
      <c r="C154" t="s">
        <v>21</v>
      </c>
      <c r="D154" t="s">
        <v>680</v>
      </c>
      <c r="E154" t="s">
        <v>289</v>
      </c>
      <c r="F154" t="s">
        <v>681</v>
      </c>
      <c r="G154" t="s">
        <v>24</v>
      </c>
      <c r="H154" t="s">
        <v>682</v>
      </c>
      <c r="I154" t="s">
        <v>46</v>
      </c>
      <c r="L154" t="s">
        <v>683</v>
      </c>
      <c r="Q154" t="s">
        <v>48</v>
      </c>
    </row>
    <row r="155" spans="1:17" hidden="1" x14ac:dyDescent="0.25">
      <c r="A155" t="s">
        <v>33</v>
      </c>
      <c r="B155" t="s">
        <v>684</v>
      </c>
      <c r="C155" t="s">
        <v>21</v>
      </c>
      <c r="D155" t="s">
        <v>684</v>
      </c>
      <c r="E155" t="s">
        <v>685</v>
      </c>
      <c r="F155" t="s">
        <v>686</v>
      </c>
      <c r="G155" t="s">
        <v>24</v>
      </c>
      <c r="H155" t="s">
        <v>687</v>
      </c>
      <c r="I155" t="s">
        <v>73</v>
      </c>
      <c r="L155" t="s">
        <v>688</v>
      </c>
      <c r="Q155" t="s">
        <v>75</v>
      </c>
    </row>
    <row r="156" spans="1:17" hidden="1" x14ac:dyDescent="0.25">
      <c r="A156" t="s">
        <v>33</v>
      </c>
      <c r="B156" t="s">
        <v>689</v>
      </c>
      <c r="C156" t="s">
        <v>21</v>
      </c>
      <c r="D156" t="s">
        <v>689</v>
      </c>
      <c r="E156" t="s">
        <v>187</v>
      </c>
      <c r="F156" t="s">
        <v>690</v>
      </c>
      <c r="G156" t="s">
        <v>24</v>
      </c>
      <c r="H156" t="s">
        <v>691</v>
      </c>
      <c r="I156" t="s">
        <v>46</v>
      </c>
      <c r="L156" t="s">
        <v>692</v>
      </c>
      <c r="Q156" t="s">
        <v>48</v>
      </c>
    </row>
    <row r="157" spans="1:17" hidden="1" x14ac:dyDescent="0.25">
      <c r="A157" t="s">
        <v>33</v>
      </c>
      <c r="B157" t="s">
        <v>693</v>
      </c>
      <c r="C157" t="s">
        <v>21</v>
      </c>
      <c r="D157" t="s">
        <v>693</v>
      </c>
      <c r="E157" t="s">
        <v>694</v>
      </c>
      <c r="F157" t="s">
        <v>695</v>
      </c>
      <c r="G157" t="s">
        <v>24</v>
      </c>
      <c r="H157" t="s">
        <v>696</v>
      </c>
      <c r="L157" t="s">
        <v>697</v>
      </c>
    </row>
    <row r="158" spans="1:17" hidden="1" x14ac:dyDescent="0.25">
      <c r="A158" t="s">
        <v>33</v>
      </c>
      <c r="B158" t="s">
        <v>698</v>
      </c>
      <c r="C158" t="s">
        <v>92</v>
      </c>
      <c r="D158" t="s">
        <v>698</v>
      </c>
      <c r="E158" t="s">
        <v>699</v>
      </c>
      <c r="F158" t="s">
        <v>700</v>
      </c>
      <c r="G158" t="s">
        <v>24</v>
      </c>
      <c r="H158" t="s">
        <v>701</v>
      </c>
      <c r="I158" t="s">
        <v>46</v>
      </c>
      <c r="L158" t="s">
        <v>702</v>
      </c>
      <c r="Q158" t="s">
        <v>48</v>
      </c>
    </row>
    <row r="159" spans="1:17" hidden="1" x14ac:dyDescent="0.25">
      <c r="A159" t="s">
        <v>33</v>
      </c>
      <c r="B159" t="s">
        <v>703</v>
      </c>
      <c r="C159" t="s">
        <v>21</v>
      </c>
      <c r="D159" t="s">
        <v>703</v>
      </c>
      <c r="E159" t="s">
        <v>65</v>
      </c>
      <c r="F159" t="s">
        <v>432</v>
      </c>
      <c r="G159" t="s">
        <v>24</v>
      </c>
      <c r="H159" t="s">
        <v>704</v>
      </c>
      <c r="I159" t="s">
        <v>46</v>
      </c>
      <c r="L159" t="s">
        <v>185</v>
      </c>
      <c r="Q159" t="s">
        <v>48</v>
      </c>
    </row>
    <row r="160" spans="1:17" hidden="1" x14ac:dyDescent="0.25">
      <c r="A160" t="s">
        <v>33</v>
      </c>
      <c r="B160" t="s">
        <v>705</v>
      </c>
      <c r="C160" t="s">
        <v>21</v>
      </c>
      <c r="D160" t="s">
        <v>705</v>
      </c>
      <c r="E160" t="s">
        <v>706</v>
      </c>
      <c r="F160" t="s">
        <v>707</v>
      </c>
      <c r="G160" t="s">
        <v>24</v>
      </c>
      <c r="H160" t="s">
        <v>708</v>
      </c>
      <c r="L160" t="s">
        <v>565</v>
      </c>
    </row>
    <row r="161" spans="1:17" hidden="1" x14ac:dyDescent="0.25">
      <c r="A161" t="s">
        <v>33</v>
      </c>
      <c r="B161" t="s">
        <v>709</v>
      </c>
      <c r="C161" t="s">
        <v>21</v>
      </c>
      <c r="D161" t="s">
        <v>709</v>
      </c>
      <c r="E161" t="s">
        <v>710</v>
      </c>
      <c r="F161" t="s">
        <v>711</v>
      </c>
      <c r="G161" t="s">
        <v>24</v>
      </c>
      <c r="H161" t="s">
        <v>712</v>
      </c>
      <c r="J161" t="s">
        <v>26</v>
      </c>
      <c r="L161" t="s">
        <v>27</v>
      </c>
    </row>
    <row r="162" spans="1:17" hidden="1" x14ac:dyDescent="0.25">
      <c r="A162" t="s">
        <v>33</v>
      </c>
      <c r="B162" t="s">
        <v>713</v>
      </c>
      <c r="C162" t="s">
        <v>29</v>
      </c>
      <c r="D162" t="s">
        <v>713</v>
      </c>
      <c r="E162" t="s">
        <v>428</v>
      </c>
      <c r="F162" t="s">
        <v>714</v>
      </c>
      <c r="G162" t="s">
        <v>24</v>
      </c>
      <c r="H162" s="1" t="s">
        <v>715</v>
      </c>
      <c r="I162" t="s">
        <v>46</v>
      </c>
      <c r="L162" t="s">
        <v>638</v>
      </c>
      <c r="Q162" t="s">
        <v>48</v>
      </c>
    </row>
    <row r="163" spans="1:17" hidden="1" x14ac:dyDescent="0.25">
      <c r="A163" t="s">
        <v>33</v>
      </c>
      <c r="B163" t="s">
        <v>716</v>
      </c>
      <c r="C163" t="s">
        <v>21</v>
      </c>
      <c r="D163" t="s">
        <v>716</v>
      </c>
      <c r="E163" t="s">
        <v>424</v>
      </c>
      <c r="F163" t="s">
        <v>717</v>
      </c>
      <c r="G163" t="s">
        <v>24</v>
      </c>
      <c r="H163" t="s">
        <v>718</v>
      </c>
      <c r="I163" t="s">
        <v>46</v>
      </c>
      <c r="L163" t="s">
        <v>119</v>
      </c>
      <c r="Q163" t="s">
        <v>48</v>
      </c>
    </row>
    <row r="164" spans="1:17" hidden="1" x14ac:dyDescent="0.25">
      <c r="A164" t="s">
        <v>33</v>
      </c>
      <c r="B164" t="s">
        <v>719</v>
      </c>
      <c r="C164" t="s">
        <v>21</v>
      </c>
      <c r="D164" t="s">
        <v>719</v>
      </c>
      <c r="E164" t="s">
        <v>428</v>
      </c>
      <c r="F164" t="s">
        <v>720</v>
      </c>
      <c r="G164" t="s">
        <v>24</v>
      </c>
      <c r="H164" t="s">
        <v>721</v>
      </c>
      <c r="I164" t="s">
        <v>46</v>
      </c>
      <c r="L164" t="s">
        <v>185</v>
      </c>
      <c r="Q164" t="s">
        <v>48</v>
      </c>
    </row>
    <row r="165" spans="1:17" hidden="1" x14ac:dyDescent="0.25">
      <c r="A165" t="s">
        <v>33</v>
      </c>
      <c r="B165" t="s">
        <v>722</v>
      </c>
      <c r="C165" t="s">
        <v>21</v>
      </c>
      <c r="D165" t="s">
        <v>722</v>
      </c>
      <c r="E165" t="s">
        <v>723</v>
      </c>
      <c r="F165" t="s">
        <v>724</v>
      </c>
      <c r="G165" t="s">
        <v>24</v>
      </c>
      <c r="H165" t="s">
        <v>725</v>
      </c>
      <c r="I165" t="s">
        <v>46</v>
      </c>
      <c r="L165" t="s">
        <v>68</v>
      </c>
      <c r="Q165" t="s">
        <v>48</v>
      </c>
    </row>
    <row r="166" spans="1:17" hidden="1" x14ac:dyDescent="0.25">
      <c r="A166" t="s">
        <v>33</v>
      </c>
      <c r="B166" t="s">
        <v>726</v>
      </c>
      <c r="C166" t="s">
        <v>21</v>
      </c>
      <c r="D166" t="s">
        <v>726</v>
      </c>
      <c r="E166" t="s">
        <v>727</v>
      </c>
      <c r="F166" t="s">
        <v>728</v>
      </c>
      <c r="G166" t="s">
        <v>24</v>
      </c>
      <c r="H166" t="s">
        <v>729</v>
      </c>
      <c r="I166" t="s">
        <v>73</v>
      </c>
      <c r="L166" t="s">
        <v>38</v>
      </c>
      <c r="Q166" t="s">
        <v>75</v>
      </c>
    </row>
    <row r="167" spans="1:17" hidden="1" x14ac:dyDescent="0.25">
      <c r="A167" t="s">
        <v>33</v>
      </c>
      <c r="B167" t="s">
        <v>730</v>
      </c>
      <c r="C167" t="s">
        <v>21</v>
      </c>
      <c r="D167" t="s">
        <v>730</v>
      </c>
      <c r="E167" t="s">
        <v>731</v>
      </c>
      <c r="F167" t="s">
        <v>732</v>
      </c>
      <c r="G167" t="s">
        <v>24</v>
      </c>
      <c r="H167" t="s">
        <v>733</v>
      </c>
      <c r="L167" t="s">
        <v>620</v>
      </c>
    </row>
    <row r="168" spans="1:17" hidden="1" x14ac:dyDescent="0.25">
      <c r="A168" t="s">
        <v>33</v>
      </c>
      <c r="B168" t="s">
        <v>734</v>
      </c>
      <c r="C168" t="s">
        <v>21</v>
      </c>
      <c r="D168" t="s">
        <v>734</v>
      </c>
      <c r="E168" t="s">
        <v>735</v>
      </c>
      <c r="F168" t="s">
        <v>736</v>
      </c>
      <c r="G168" t="s">
        <v>24</v>
      </c>
      <c r="H168" t="s">
        <v>737</v>
      </c>
      <c r="L168" t="s">
        <v>738</v>
      </c>
    </row>
    <row r="169" spans="1:17" hidden="1" x14ac:dyDescent="0.25">
      <c r="A169" t="s">
        <v>33</v>
      </c>
      <c r="B169" t="s">
        <v>739</v>
      </c>
      <c r="C169" t="s">
        <v>92</v>
      </c>
      <c r="D169" t="s">
        <v>739</v>
      </c>
      <c r="E169" t="s">
        <v>740</v>
      </c>
      <c r="F169" t="s">
        <v>741</v>
      </c>
      <c r="G169" t="s">
        <v>24</v>
      </c>
      <c r="H169" t="s">
        <v>742</v>
      </c>
      <c r="I169" t="s">
        <v>46</v>
      </c>
      <c r="L169" t="s">
        <v>743</v>
      </c>
      <c r="Q169" t="s">
        <v>48</v>
      </c>
    </row>
    <row r="170" spans="1:17" hidden="1" x14ac:dyDescent="0.25">
      <c r="A170" t="s">
        <v>33</v>
      </c>
      <c r="B170" t="s">
        <v>744</v>
      </c>
      <c r="C170" t="s">
        <v>21</v>
      </c>
      <c r="D170" t="s">
        <v>744</v>
      </c>
      <c r="E170" t="s">
        <v>135</v>
      </c>
      <c r="F170" t="s">
        <v>745</v>
      </c>
      <c r="G170" t="s">
        <v>24</v>
      </c>
      <c r="H170" t="s">
        <v>746</v>
      </c>
      <c r="I170" t="s">
        <v>73</v>
      </c>
      <c r="L170" t="s">
        <v>747</v>
      </c>
      <c r="Q170" t="s">
        <v>75</v>
      </c>
    </row>
    <row r="171" spans="1:17" hidden="1" x14ac:dyDescent="0.25">
      <c r="A171" t="s">
        <v>33</v>
      </c>
      <c r="B171" t="s">
        <v>748</v>
      </c>
      <c r="C171" t="s">
        <v>21</v>
      </c>
      <c r="D171" t="s">
        <v>748</v>
      </c>
      <c r="E171" t="s">
        <v>284</v>
      </c>
      <c r="F171" t="s">
        <v>749</v>
      </c>
      <c r="G171" t="s">
        <v>24</v>
      </c>
      <c r="H171" t="s">
        <v>750</v>
      </c>
      <c r="I171" t="s">
        <v>46</v>
      </c>
      <c r="L171" t="s">
        <v>68</v>
      </c>
      <c r="Q171" t="s">
        <v>48</v>
      </c>
    </row>
    <row r="172" spans="1:17" hidden="1" x14ac:dyDescent="0.25">
      <c r="A172" t="s">
        <v>33</v>
      </c>
      <c r="B172" t="s">
        <v>751</v>
      </c>
      <c r="C172" t="s">
        <v>21</v>
      </c>
      <c r="D172" t="s">
        <v>751</v>
      </c>
      <c r="E172" t="s">
        <v>752</v>
      </c>
      <c r="F172" t="s">
        <v>753</v>
      </c>
      <c r="G172" t="s">
        <v>24</v>
      </c>
      <c r="H172" t="s">
        <v>754</v>
      </c>
      <c r="I172" t="s">
        <v>46</v>
      </c>
      <c r="L172" t="s">
        <v>755</v>
      </c>
      <c r="Q172" t="s">
        <v>48</v>
      </c>
    </row>
    <row r="173" spans="1:17" hidden="1" x14ac:dyDescent="0.25">
      <c r="A173" t="s">
        <v>33</v>
      </c>
      <c r="B173" t="s">
        <v>756</v>
      </c>
      <c r="C173" t="s">
        <v>21</v>
      </c>
      <c r="D173" t="s">
        <v>756</v>
      </c>
      <c r="E173" t="s">
        <v>757</v>
      </c>
      <c r="F173" t="s">
        <v>758</v>
      </c>
      <c r="G173" t="s">
        <v>24</v>
      </c>
      <c r="H173" t="s">
        <v>759</v>
      </c>
      <c r="I173" t="s">
        <v>46</v>
      </c>
      <c r="J173" t="s">
        <v>26</v>
      </c>
      <c r="L173" t="s">
        <v>27</v>
      </c>
      <c r="Q173" t="s">
        <v>48</v>
      </c>
    </row>
    <row r="174" spans="1:17" hidden="1" x14ac:dyDescent="0.25">
      <c r="A174" t="s">
        <v>33</v>
      </c>
      <c r="B174" t="s">
        <v>760</v>
      </c>
      <c r="C174" t="s">
        <v>21</v>
      </c>
      <c r="D174" t="s">
        <v>760</v>
      </c>
      <c r="E174" t="s">
        <v>761</v>
      </c>
      <c r="F174" t="s">
        <v>762</v>
      </c>
      <c r="G174" t="s">
        <v>24</v>
      </c>
      <c r="H174" t="s">
        <v>763</v>
      </c>
      <c r="L174" t="s">
        <v>287</v>
      </c>
    </row>
    <row r="175" spans="1:17" hidden="1" x14ac:dyDescent="0.25">
      <c r="A175" t="s">
        <v>33</v>
      </c>
      <c r="B175" t="s">
        <v>764</v>
      </c>
      <c r="C175" t="s">
        <v>21</v>
      </c>
      <c r="D175" t="s">
        <v>764</v>
      </c>
      <c r="E175" t="s">
        <v>178</v>
      </c>
      <c r="F175" t="s">
        <v>765</v>
      </c>
      <c r="G175" t="s">
        <v>24</v>
      </c>
      <c r="H175" t="s">
        <v>766</v>
      </c>
      <c r="I175" t="s">
        <v>46</v>
      </c>
      <c r="L175" t="s">
        <v>389</v>
      </c>
      <c r="Q175" t="s">
        <v>48</v>
      </c>
    </row>
    <row r="176" spans="1:17" hidden="1" x14ac:dyDescent="0.25">
      <c r="A176" t="s">
        <v>33</v>
      </c>
      <c r="B176" t="s">
        <v>767</v>
      </c>
      <c r="C176" t="s">
        <v>21</v>
      </c>
      <c r="D176" t="s">
        <v>768</v>
      </c>
      <c r="E176" t="s">
        <v>126</v>
      </c>
      <c r="F176" t="s">
        <v>769</v>
      </c>
      <c r="G176" t="s">
        <v>24</v>
      </c>
      <c r="H176" t="s">
        <v>770</v>
      </c>
      <c r="L176" t="s">
        <v>327</v>
      </c>
    </row>
    <row r="177" spans="1:17" hidden="1" x14ac:dyDescent="0.25">
      <c r="A177" t="s">
        <v>33</v>
      </c>
      <c r="B177" t="s">
        <v>771</v>
      </c>
      <c r="C177" t="s">
        <v>21</v>
      </c>
      <c r="D177" t="s">
        <v>771</v>
      </c>
      <c r="E177" t="s">
        <v>302</v>
      </c>
      <c r="F177" t="s">
        <v>772</v>
      </c>
      <c r="G177" t="s">
        <v>24</v>
      </c>
      <c r="H177" t="s">
        <v>773</v>
      </c>
      <c r="I177" t="s">
        <v>46</v>
      </c>
      <c r="L177" t="s">
        <v>38</v>
      </c>
      <c r="Q177" t="s">
        <v>48</v>
      </c>
    </row>
    <row r="178" spans="1:17" hidden="1" x14ac:dyDescent="0.25">
      <c r="A178" t="s">
        <v>33</v>
      </c>
      <c r="B178" t="s">
        <v>774</v>
      </c>
      <c r="C178" t="s">
        <v>21</v>
      </c>
      <c r="D178" t="s">
        <v>774</v>
      </c>
      <c r="E178" t="s">
        <v>775</v>
      </c>
      <c r="F178" t="s">
        <v>384</v>
      </c>
      <c r="G178" t="s">
        <v>24</v>
      </c>
      <c r="H178" t="s">
        <v>776</v>
      </c>
      <c r="L178" t="s">
        <v>327</v>
      </c>
    </row>
    <row r="179" spans="1:17" hidden="1" x14ac:dyDescent="0.25">
      <c r="A179" t="s">
        <v>33</v>
      </c>
      <c r="B179" t="s">
        <v>777</v>
      </c>
      <c r="C179" t="s">
        <v>21</v>
      </c>
      <c r="D179" t="s">
        <v>777</v>
      </c>
      <c r="E179" t="s">
        <v>778</v>
      </c>
      <c r="F179" t="s">
        <v>779</v>
      </c>
      <c r="G179" t="s">
        <v>24</v>
      </c>
      <c r="H179" t="s">
        <v>780</v>
      </c>
      <c r="L179" t="s">
        <v>327</v>
      </c>
    </row>
    <row r="180" spans="1:17" hidden="1" x14ac:dyDescent="0.25">
      <c r="A180" t="s">
        <v>33</v>
      </c>
      <c r="B180" t="s">
        <v>781</v>
      </c>
      <c r="C180" t="s">
        <v>21</v>
      </c>
      <c r="D180" t="s">
        <v>781</v>
      </c>
      <c r="E180" t="s">
        <v>424</v>
      </c>
      <c r="F180" t="s">
        <v>782</v>
      </c>
      <c r="G180" t="s">
        <v>24</v>
      </c>
      <c r="H180" t="s">
        <v>783</v>
      </c>
      <c r="L180" t="s">
        <v>327</v>
      </c>
    </row>
    <row r="181" spans="1:17" hidden="1" x14ac:dyDescent="0.25">
      <c r="A181" t="s">
        <v>33</v>
      </c>
      <c r="B181" t="s">
        <v>784</v>
      </c>
      <c r="C181" t="s">
        <v>21</v>
      </c>
      <c r="D181" t="s">
        <v>784</v>
      </c>
      <c r="E181" t="s">
        <v>476</v>
      </c>
      <c r="F181" t="s">
        <v>785</v>
      </c>
      <c r="G181" t="s">
        <v>24</v>
      </c>
      <c r="H181" t="s">
        <v>786</v>
      </c>
      <c r="L181" t="s">
        <v>327</v>
      </c>
    </row>
    <row r="182" spans="1:17" hidden="1" x14ac:dyDescent="0.25">
      <c r="A182" t="s">
        <v>19</v>
      </c>
      <c r="B182" t="s">
        <v>787</v>
      </c>
      <c r="C182" t="s">
        <v>788</v>
      </c>
      <c r="D182" t="s">
        <v>787</v>
      </c>
      <c r="E182" t="s">
        <v>342</v>
      </c>
      <c r="F182" t="s">
        <v>343</v>
      </c>
      <c r="G182" t="s">
        <v>24</v>
      </c>
      <c r="H182" t="s">
        <v>789</v>
      </c>
      <c r="L182" t="s">
        <v>138</v>
      </c>
    </row>
    <row r="183" spans="1:17" hidden="1" x14ac:dyDescent="0.25">
      <c r="A183" t="s">
        <v>33</v>
      </c>
      <c r="B183" t="s">
        <v>790</v>
      </c>
      <c r="C183" t="s">
        <v>21</v>
      </c>
      <c r="D183" t="s">
        <v>790</v>
      </c>
      <c r="E183" t="s">
        <v>791</v>
      </c>
      <c r="F183" t="s">
        <v>792</v>
      </c>
      <c r="G183" t="s">
        <v>24</v>
      </c>
      <c r="H183" t="s">
        <v>793</v>
      </c>
      <c r="I183" t="s">
        <v>46</v>
      </c>
      <c r="L183" t="s">
        <v>794</v>
      </c>
      <c r="Q183" t="s">
        <v>48</v>
      </c>
    </row>
    <row r="184" spans="1:17" hidden="1" x14ac:dyDescent="0.25">
      <c r="A184" t="s">
        <v>33</v>
      </c>
      <c r="B184" t="s">
        <v>795</v>
      </c>
      <c r="C184" t="s">
        <v>29</v>
      </c>
      <c r="D184" t="s">
        <v>795</v>
      </c>
      <c r="E184" t="s">
        <v>796</v>
      </c>
      <c r="F184" t="s">
        <v>797</v>
      </c>
      <c r="G184" t="s">
        <v>24</v>
      </c>
      <c r="H184" t="s">
        <v>798</v>
      </c>
      <c r="I184" t="s">
        <v>46</v>
      </c>
      <c r="L184" t="s">
        <v>190</v>
      </c>
      <c r="Q184" t="s">
        <v>48</v>
      </c>
    </row>
    <row r="185" spans="1:17" hidden="1" x14ac:dyDescent="0.25">
      <c r="A185" t="s">
        <v>33</v>
      </c>
      <c r="B185" t="s">
        <v>799</v>
      </c>
      <c r="C185" t="s">
        <v>21</v>
      </c>
      <c r="D185" t="s">
        <v>799</v>
      </c>
      <c r="E185" t="s">
        <v>800</v>
      </c>
      <c r="F185" t="s">
        <v>801</v>
      </c>
      <c r="G185" t="s">
        <v>24</v>
      </c>
      <c r="H185" t="s">
        <v>802</v>
      </c>
      <c r="I185" t="s">
        <v>46</v>
      </c>
      <c r="L185" t="s">
        <v>803</v>
      </c>
      <c r="Q185" t="s">
        <v>48</v>
      </c>
    </row>
    <row r="186" spans="1:17" hidden="1" x14ac:dyDescent="0.25">
      <c r="A186" t="s">
        <v>33</v>
      </c>
      <c r="B186" t="s">
        <v>804</v>
      </c>
      <c r="C186" t="s">
        <v>21</v>
      </c>
      <c r="D186" t="s">
        <v>804</v>
      </c>
      <c r="E186" t="s">
        <v>805</v>
      </c>
      <c r="F186" t="s">
        <v>806</v>
      </c>
      <c r="G186" t="s">
        <v>24</v>
      </c>
      <c r="H186" t="s">
        <v>807</v>
      </c>
      <c r="I186" t="s">
        <v>46</v>
      </c>
      <c r="L186" t="s">
        <v>808</v>
      </c>
      <c r="Q186" t="s">
        <v>48</v>
      </c>
    </row>
    <row r="187" spans="1:17" hidden="1" x14ac:dyDescent="0.25">
      <c r="A187" t="s">
        <v>33</v>
      </c>
      <c r="B187" t="s">
        <v>809</v>
      </c>
      <c r="C187" t="s">
        <v>21</v>
      </c>
      <c r="D187" t="s">
        <v>809</v>
      </c>
      <c r="E187" t="s">
        <v>412</v>
      </c>
      <c r="F187" t="s">
        <v>810</v>
      </c>
      <c r="G187" t="s">
        <v>24</v>
      </c>
      <c r="H187" t="s">
        <v>811</v>
      </c>
      <c r="L187" t="s">
        <v>317</v>
      </c>
    </row>
    <row r="188" spans="1:17" hidden="1" x14ac:dyDescent="0.25">
      <c r="A188" t="s">
        <v>33</v>
      </c>
      <c r="B188" t="s">
        <v>812</v>
      </c>
      <c r="C188" t="s">
        <v>21</v>
      </c>
      <c r="D188" t="s">
        <v>812</v>
      </c>
      <c r="E188" t="s">
        <v>240</v>
      </c>
      <c r="F188" t="s">
        <v>813</v>
      </c>
      <c r="G188" t="s">
        <v>24</v>
      </c>
      <c r="H188" t="s">
        <v>814</v>
      </c>
      <c r="I188" t="s">
        <v>46</v>
      </c>
      <c r="L188" t="s">
        <v>181</v>
      </c>
      <c r="Q188" t="s">
        <v>48</v>
      </c>
    </row>
    <row r="189" spans="1:17" hidden="1" x14ac:dyDescent="0.25">
      <c r="A189" t="s">
        <v>33</v>
      </c>
      <c r="B189" t="s">
        <v>815</v>
      </c>
      <c r="C189" t="s">
        <v>21</v>
      </c>
      <c r="D189" t="s">
        <v>815</v>
      </c>
      <c r="E189" t="s">
        <v>816</v>
      </c>
      <c r="F189" t="s">
        <v>817</v>
      </c>
      <c r="G189" t="s">
        <v>24</v>
      </c>
      <c r="H189" t="s">
        <v>818</v>
      </c>
      <c r="I189" t="s">
        <v>46</v>
      </c>
      <c r="L189" t="s">
        <v>819</v>
      </c>
      <c r="Q189" t="s">
        <v>48</v>
      </c>
    </row>
    <row r="190" spans="1:17" hidden="1" x14ac:dyDescent="0.25">
      <c r="A190" t="s">
        <v>33</v>
      </c>
      <c r="B190" t="s">
        <v>820</v>
      </c>
      <c r="C190" t="s">
        <v>21</v>
      </c>
      <c r="D190" t="s">
        <v>820</v>
      </c>
      <c r="E190" t="s">
        <v>821</v>
      </c>
      <c r="F190" t="s">
        <v>822</v>
      </c>
      <c r="G190" t="s">
        <v>24</v>
      </c>
      <c r="H190" t="s">
        <v>823</v>
      </c>
      <c r="I190" t="s">
        <v>73</v>
      </c>
      <c r="L190" t="s">
        <v>824</v>
      </c>
      <c r="Q190" t="s">
        <v>75</v>
      </c>
    </row>
    <row r="191" spans="1:17" hidden="1" x14ac:dyDescent="0.25">
      <c r="A191" t="s">
        <v>33</v>
      </c>
      <c r="B191" t="s">
        <v>825</v>
      </c>
      <c r="C191" t="s">
        <v>21</v>
      </c>
      <c r="D191" t="s">
        <v>825</v>
      </c>
      <c r="E191" t="s">
        <v>610</v>
      </c>
      <c r="F191" t="s">
        <v>826</v>
      </c>
      <c r="G191" t="s">
        <v>24</v>
      </c>
      <c r="H191" t="s">
        <v>827</v>
      </c>
      <c r="L191" t="s">
        <v>185</v>
      </c>
    </row>
    <row r="192" spans="1:17" hidden="1" x14ac:dyDescent="0.25">
      <c r="A192" t="s">
        <v>33</v>
      </c>
      <c r="B192" t="s">
        <v>828</v>
      </c>
      <c r="C192" t="s">
        <v>29</v>
      </c>
      <c r="D192" t="s">
        <v>828</v>
      </c>
      <c r="E192" t="s">
        <v>519</v>
      </c>
      <c r="F192" t="s">
        <v>829</v>
      </c>
      <c r="G192" t="s">
        <v>24</v>
      </c>
      <c r="H192" t="s">
        <v>830</v>
      </c>
      <c r="I192" t="s">
        <v>46</v>
      </c>
      <c r="L192" t="s">
        <v>246</v>
      </c>
      <c r="Q192" t="s">
        <v>48</v>
      </c>
    </row>
    <row r="193" spans="1:17" hidden="1" x14ac:dyDescent="0.25">
      <c r="A193" t="s">
        <v>33</v>
      </c>
      <c r="B193" t="s">
        <v>831</v>
      </c>
      <c r="C193" t="s">
        <v>21</v>
      </c>
      <c r="D193" t="s">
        <v>831</v>
      </c>
      <c r="E193" t="s">
        <v>284</v>
      </c>
      <c r="F193" t="s">
        <v>832</v>
      </c>
      <c r="G193" t="s">
        <v>24</v>
      </c>
      <c r="H193" t="s">
        <v>833</v>
      </c>
      <c r="I193" t="s">
        <v>46</v>
      </c>
      <c r="L193" t="s">
        <v>38</v>
      </c>
      <c r="Q193" t="s">
        <v>48</v>
      </c>
    </row>
    <row r="194" spans="1:17" hidden="1" x14ac:dyDescent="0.25">
      <c r="A194" t="s">
        <v>33</v>
      </c>
      <c r="B194" t="s">
        <v>834</v>
      </c>
      <c r="C194" t="s">
        <v>21</v>
      </c>
      <c r="D194" t="s">
        <v>834</v>
      </c>
      <c r="E194" t="s">
        <v>835</v>
      </c>
      <c r="F194" t="s">
        <v>836</v>
      </c>
      <c r="G194" t="s">
        <v>24</v>
      </c>
      <c r="H194" t="s">
        <v>837</v>
      </c>
      <c r="L194" t="s">
        <v>53</v>
      </c>
    </row>
    <row r="195" spans="1:17" hidden="1" x14ac:dyDescent="0.25">
      <c r="A195" t="s">
        <v>33</v>
      </c>
      <c r="B195" t="s">
        <v>838</v>
      </c>
      <c r="C195" t="s">
        <v>21</v>
      </c>
      <c r="D195" t="s">
        <v>838</v>
      </c>
      <c r="E195" t="s">
        <v>839</v>
      </c>
      <c r="F195" t="s">
        <v>840</v>
      </c>
      <c r="G195" t="s">
        <v>24</v>
      </c>
      <c r="H195" t="s">
        <v>841</v>
      </c>
      <c r="I195" t="s">
        <v>73</v>
      </c>
      <c r="L195" t="s">
        <v>47</v>
      </c>
      <c r="Q195" t="s">
        <v>75</v>
      </c>
    </row>
    <row r="196" spans="1:17" hidden="1" x14ac:dyDescent="0.25">
      <c r="A196" t="s">
        <v>33</v>
      </c>
      <c r="B196" t="s">
        <v>842</v>
      </c>
      <c r="C196" t="s">
        <v>29</v>
      </c>
      <c r="D196" t="s">
        <v>842</v>
      </c>
      <c r="E196" t="s">
        <v>710</v>
      </c>
      <c r="F196" t="s">
        <v>31</v>
      </c>
      <c r="G196" t="s">
        <v>24</v>
      </c>
      <c r="H196" t="s">
        <v>843</v>
      </c>
      <c r="J196" t="s">
        <v>26</v>
      </c>
      <c r="L196" t="s">
        <v>27</v>
      </c>
    </row>
    <row r="197" spans="1:17" hidden="1" x14ac:dyDescent="0.25">
      <c r="A197" t="s">
        <v>33</v>
      </c>
      <c r="B197" t="s">
        <v>844</v>
      </c>
      <c r="C197" t="s">
        <v>21</v>
      </c>
      <c r="D197" t="s">
        <v>844</v>
      </c>
      <c r="E197" t="s">
        <v>845</v>
      </c>
      <c r="F197" t="s">
        <v>846</v>
      </c>
      <c r="G197" t="s">
        <v>24</v>
      </c>
      <c r="H197" t="s">
        <v>847</v>
      </c>
      <c r="L197" t="s">
        <v>185</v>
      </c>
    </row>
    <row r="198" spans="1:17" hidden="1" x14ac:dyDescent="0.25">
      <c r="A198" t="s">
        <v>33</v>
      </c>
      <c r="B198" t="s">
        <v>848</v>
      </c>
      <c r="C198" t="s">
        <v>21</v>
      </c>
      <c r="D198" t="s">
        <v>848</v>
      </c>
      <c r="E198" t="s">
        <v>849</v>
      </c>
      <c r="F198" t="s">
        <v>850</v>
      </c>
      <c r="G198" t="s">
        <v>24</v>
      </c>
      <c r="H198" t="s">
        <v>851</v>
      </c>
      <c r="I198" t="s">
        <v>46</v>
      </c>
      <c r="L198" t="s">
        <v>317</v>
      </c>
      <c r="Q198" t="s">
        <v>48</v>
      </c>
    </row>
    <row r="199" spans="1:17" hidden="1" x14ac:dyDescent="0.25">
      <c r="A199" t="s">
        <v>33</v>
      </c>
      <c r="B199" t="s">
        <v>852</v>
      </c>
      <c r="C199" t="s">
        <v>21</v>
      </c>
      <c r="D199" t="s">
        <v>852</v>
      </c>
      <c r="E199" t="s">
        <v>853</v>
      </c>
      <c r="F199" t="s">
        <v>854</v>
      </c>
      <c r="G199" t="s">
        <v>24</v>
      </c>
      <c r="H199" t="s">
        <v>855</v>
      </c>
      <c r="I199" t="s">
        <v>73</v>
      </c>
      <c r="L199" t="s">
        <v>856</v>
      </c>
      <c r="Q199" t="s">
        <v>75</v>
      </c>
    </row>
    <row r="200" spans="1:17" hidden="1" x14ac:dyDescent="0.25">
      <c r="A200" t="s">
        <v>33</v>
      </c>
      <c r="B200" t="s">
        <v>857</v>
      </c>
      <c r="C200" t="s">
        <v>29</v>
      </c>
      <c r="D200" t="s">
        <v>857</v>
      </c>
      <c r="E200" t="s">
        <v>858</v>
      </c>
      <c r="F200" t="s">
        <v>859</v>
      </c>
      <c r="G200" t="s">
        <v>24</v>
      </c>
      <c r="H200" t="s">
        <v>860</v>
      </c>
      <c r="L200" t="s">
        <v>861</v>
      </c>
    </row>
    <row r="201" spans="1:17" hidden="1" x14ac:dyDescent="0.25">
      <c r="A201" t="s">
        <v>33</v>
      </c>
      <c r="B201" t="s">
        <v>862</v>
      </c>
      <c r="C201" t="s">
        <v>21</v>
      </c>
      <c r="D201" t="s">
        <v>863</v>
      </c>
      <c r="E201" t="s">
        <v>864</v>
      </c>
      <c r="F201" t="s">
        <v>865</v>
      </c>
      <c r="G201" t="s">
        <v>24</v>
      </c>
      <c r="H201" t="s">
        <v>866</v>
      </c>
      <c r="I201" t="s">
        <v>46</v>
      </c>
      <c r="L201" t="s">
        <v>181</v>
      </c>
      <c r="Q201" t="s">
        <v>48</v>
      </c>
    </row>
    <row r="202" spans="1:17" hidden="1" x14ac:dyDescent="0.25">
      <c r="A202" t="s">
        <v>33</v>
      </c>
      <c r="B202" t="s">
        <v>867</v>
      </c>
      <c r="C202" t="s">
        <v>21</v>
      </c>
      <c r="D202" t="s">
        <v>867</v>
      </c>
      <c r="E202" t="s">
        <v>868</v>
      </c>
      <c r="F202" t="s">
        <v>869</v>
      </c>
      <c r="G202" t="s">
        <v>24</v>
      </c>
      <c r="H202" t="s">
        <v>870</v>
      </c>
      <c r="I202" t="s">
        <v>46</v>
      </c>
      <c r="L202" t="s">
        <v>349</v>
      </c>
      <c r="Q202" t="s">
        <v>48</v>
      </c>
    </row>
    <row r="203" spans="1:17" hidden="1" x14ac:dyDescent="0.25">
      <c r="A203" t="s">
        <v>33</v>
      </c>
      <c r="B203" t="s">
        <v>871</v>
      </c>
      <c r="C203" t="s">
        <v>21</v>
      </c>
      <c r="D203" t="s">
        <v>871</v>
      </c>
      <c r="E203" t="s">
        <v>131</v>
      </c>
      <c r="F203" t="s">
        <v>872</v>
      </c>
      <c r="G203" t="s">
        <v>24</v>
      </c>
      <c r="H203" t="s">
        <v>873</v>
      </c>
      <c r="L203" t="s">
        <v>861</v>
      </c>
    </row>
    <row r="204" spans="1:17" hidden="1" x14ac:dyDescent="0.25">
      <c r="A204" t="s">
        <v>33</v>
      </c>
      <c r="B204" t="s">
        <v>874</v>
      </c>
      <c r="C204" t="s">
        <v>21</v>
      </c>
      <c r="D204" t="s">
        <v>875</v>
      </c>
      <c r="E204" t="s">
        <v>876</v>
      </c>
      <c r="F204" t="s">
        <v>311</v>
      </c>
      <c r="G204" t="s">
        <v>24</v>
      </c>
      <c r="H204" t="s">
        <v>877</v>
      </c>
      <c r="L204" t="s">
        <v>878</v>
      </c>
    </row>
    <row r="205" spans="1:17" hidden="1" x14ac:dyDescent="0.25">
      <c r="A205" t="s">
        <v>33</v>
      </c>
      <c r="B205" t="s">
        <v>879</v>
      </c>
      <c r="C205" t="s">
        <v>21</v>
      </c>
      <c r="D205" t="s">
        <v>879</v>
      </c>
      <c r="E205" t="s">
        <v>187</v>
      </c>
      <c r="F205" t="s">
        <v>880</v>
      </c>
      <c r="G205" t="s">
        <v>24</v>
      </c>
      <c r="H205" t="s">
        <v>881</v>
      </c>
      <c r="I205" t="s">
        <v>882</v>
      </c>
      <c r="L205" t="s">
        <v>883</v>
      </c>
      <c r="Q205" t="s">
        <v>884</v>
      </c>
    </row>
    <row r="206" spans="1:17" hidden="1" x14ac:dyDescent="0.25">
      <c r="A206" t="s">
        <v>33</v>
      </c>
      <c r="B206" t="s">
        <v>885</v>
      </c>
      <c r="C206" t="s">
        <v>21</v>
      </c>
      <c r="D206" t="s">
        <v>885</v>
      </c>
      <c r="E206" t="s">
        <v>886</v>
      </c>
      <c r="F206" t="s">
        <v>887</v>
      </c>
      <c r="G206" t="s">
        <v>24</v>
      </c>
      <c r="H206" t="s">
        <v>888</v>
      </c>
      <c r="I206" t="s">
        <v>73</v>
      </c>
      <c r="L206" t="s">
        <v>181</v>
      </c>
      <c r="Q206" t="s">
        <v>75</v>
      </c>
    </row>
    <row r="207" spans="1:17" hidden="1" x14ac:dyDescent="0.25">
      <c r="A207" t="s">
        <v>33</v>
      </c>
      <c r="B207" t="s">
        <v>889</v>
      </c>
      <c r="C207" t="s">
        <v>21</v>
      </c>
      <c r="D207" t="s">
        <v>889</v>
      </c>
      <c r="E207" t="s">
        <v>890</v>
      </c>
      <c r="F207" t="s">
        <v>891</v>
      </c>
      <c r="G207" t="s">
        <v>24</v>
      </c>
      <c r="H207" t="s">
        <v>892</v>
      </c>
      <c r="I207" t="s">
        <v>46</v>
      </c>
      <c r="L207" t="s">
        <v>507</v>
      </c>
      <c r="Q207" t="s">
        <v>48</v>
      </c>
    </row>
    <row r="208" spans="1:17" hidden="1" x14ac:dyDescent="0.25">
      <c r="A208" t="s">
        <v>33</v>
      </c>
      <c r="B208" t="s">
        <v>893</v>
      </c>
      <c r="C208" t="s">
        <v>21</v>
      </c>
      <c r="D208" t="s">
        <v>893</v>
      </c>
      <c r="E208" t="s">
        <v>894</v>
      </c>
      <c r="F208" t="s">
        <v>895</v>
      </c>
      <c r="G208" t="s">
        <v>24</v>
      </c>
      <c r="H208" t="s">
        <v>896</v>
      </c>
      <c r="L208" t="s">
        <v>47</v>
      </c>
    </row>
    <row r="209" spans="1:17" hidden="1" x14ac:dyDescent="0.25">
      <c r="A209" t="s">
        <v>33</v>
      </c>
      <c r="B209" t="s">
        <v>897</v>
      </c>
      <c r="C209" t="s">
        <v>92</v>
      </c>
      <c r="D209" t="s">
        <v>897</v>
      </c>
      <c r="E209" t="s">
        <v>898</v>
      </c>
      <c r="F209" t="s">
        <v>899</v>
      </c>
      <c r="G209" t="s">
        <v>24</v>
      </c>
      <c r="H209" t="s">
        <v>900</v>
      </c>
      <c r="I209" t="s">
        <v>46</v>
      </c>
      <c r="L209" t="s">
        <v>901</v>
      </c>
      <c r="Q209" t="s">
        <v>48</v>
      </c>
    </row>
    <row r="210" spans="1:17" hidden="1" x14ac:dyDescent="0.25">
      <c r="A210" t="s">
        <v>19</v>
      </c>
      <c r="B210" t="s">
        <v>902</v>
      </c>
      <c r="C210" t="s">
        <v>903</v>
      </c>
      <c r="D210" t="s">
        <v>902</v>
      </c>
      <c r="E210" t="s">
        <v>898</v>
      </c>
      <c r="F210" t="s">
        <v>899</v>
      </c>
      <c r="G210" t="s">
        <v>904</v>
      </c>
      <c r="H210" t="s">
        <v>905</v>
      </c>
      <c r="L210" t="s">
        <v>901</v>
      </c>
    </row>
    <row r="211" spans="1:17" hidden="1" x14ac:dyDescent="0.25">
      <c r="A211" t="s">
        <v>33</v>
      </c>
      <c r="B211" t="s">
        <v>906</v>
      </c>
      <c r="C211" t="s">
        <v>21</v>
      </c>
      <c r="D211" t="s">
        <v>906</v>
      </c>
      <c r="E211" t="s">
        <v>907</v>
      </c>
      <c r="F211" t="s">
        <v>908</v>
      </c>
      <c r="G211" t="s">
        <v>24</v>
      </c>
      <c r="H211" t="s">
        <v>909</v>
      </c>
      <c r="I211" t="s">
        <v>73</v>
      </c>
      <c r="L211" t="s">
        <v>207</v>
      </c>
      <c r="Q211" t="s">
        <v>75</v>
      </c>
    </row>
    <row r="212" spans="1:17" hidden="1" x14ac:dyDescent="0.25">
      <c r="A212" t="s">
        <v>33</v>
      </c>
      <c r="B212" t="s">
        <v>910</v>
      </c>
      <c r="C212" t="s">
        <v>21</v>
      </c>
      <c r="D212" t="s">
        <v>910</v>
      </c>
      <c r="E212" t="s">
        <v>911</v>
      </c>
      <c r="F212" t="s">
        <v>912</v>
      </c>
      <c r="G212" t="s">
        <v>24</v>
      </c>
      <c r="H212" t="s">
        <v>913</v>
      </c>
      <c r="L212" t="s">
        <v>914</v>
      </c>
    </row>
    <row r="213" spans="1:17" hidden="1" x14ac:dyDescent="0.25">
      <c r="A213" t="s">
        <v>33</v>
      </c>
      <c r="B213" t="s">
        <v>915</v>
      </c>
      <c r="C213" t="s">
        <v>21</v>
      </c>
      <c r="D213" t="s">
        <v>915</v>
      </c>
      <c r="E213" t="s">
        <v>916</v>
      </c>
      <c r="F213" t="s">
        <v>917</v>
      </c>
      <c r="G213" t="s">
        <v>24</v>
      </c>
      <c r="H213" s="1" t="s">
        <v>918</v>
      </c>
      <c r="I213" t="s">
        <v>46</v>
      </c>
      <c r="L213" t="s">
        <v>185</v>
      </c>
      <c r="Q213" t="s">
        <v>48</v>
      </c>
    </row>
    <row r="214" spans="1:17" hidden="1" x14ac:dyDescent="0.25">
      <c r="A214" t="s">
        <v>33</v>
      </c>
      <c r="B214" t="s">
        <v>919</v>
      </c>
      <c r="C214" t="s">
        <v>29</v>
      </c>
      <c r="D214" t="s">
        <v>920</v>
      </c>
      <c r="E214" t="s">
        <v>921</v>
      </c>
      <c r="F214" t="s">
        <v>922</v>
      </c>
      <c r="G214" t="s">
        <v>24</v>
      </c>
      <c r="H214" t="s">
        <v>923</v>
      </c>
      <c r="I214" t="s">
        <v>46</v>
      </c>
      <c r="L214" t="s">
        <v>246</v>
      </c>
      <c r="Q214" t="s">
        <v>48</v>
      </c>
    </row>
    <row r="215" spans="1:17" hidden="1" x14ac:dyDescent="0.25">
      <c r="A215" t="s">
        <v>33</v>
      </c>
      <c r="B215" t="s">
        <v>924</v>
      </c>
      <c r="C215" t="s">
        <v>21</v>
      </c>
      <c r="D215" t="s">
        <v>924</v>
      </c>
      <c r="E215" t="s">
        <v>925</v>
      </c>
      <c r="F215" t="s">
        <v>926</v>
      </c>
      <c r="G215" t="s">
        <v>24</v>
      </c>
      <c r="H215" t="s">
        <v>927</v>
      </c>
      <c r="I215" t="s">
        <v>46</v>
      </c>
      <c r="L215" t="s">
        <v>928</v>
      </c>
      <c r="Q215" t="s">
        <v>48</v>
      </c>
    </row>
    <row r="216" spans="1:17" hidden="1" x14ac:dyDescent="0.25">
      <c r="A216" t="s">
        <v>33</v>
      </c>
      <c r="B216" t="s">
        <v>929</v>
      </c>
      <c r="C216" t="s">
        <v>21</v>
      </c>
      <c r="D216" t="s">
        <v>929</v>
      </c>
      <c r="E216" t="s">
        <v>930</v>
      </c>
      <c r="F216" t="s">
        <v>931</v>
      </c>
      <c r="G216" t="s">
        <v>24</v>
      </c>
      <c r="H216" t="s">
        <v>932</v>
      </c>
      <c r="L216" t="s">
        <v>38</v>
      </c>
    </row>
    <row r="217" spans="1:17" hidden="1" x14ac:dyDescent="0.25">
      <c r="A217" t="s">
        <v>33</v>
      </c>
      <c r="B217" t="s">
        <v>933</v>
      </c>
      <c r="C217" t="s">
        <v>21</v>
      </c>
      <c r="D217" t="s">
        <v>933</v>
      </c>
      <c r="E217" t="s">
        <v>934</v>
      </c>
      <c r="F217" t="s">
        <v>935</v>
      </c>
      <c r="G217" t="s">
        <v>24</v>
      </c>
      <c r="H217" t="s">
        <v>936</v>
      </c>
      <c r="I217" t="s">
        <v>46</v>
      </c>
      <c r="L217" t="s">
        <v>937</v>
      </c>
      <c r="Q217" t="s">
        <v>48</v>
      </c>
    </row>
    <row r="218" spans="1:17" hidden="1" x14ac:dyDescent="0.25">
      <c r="A218" t="s">
        <v>33</v>
      </c>
      <c r="B218" t="s">
        <v>938</v>
      </c>
      <c r="C218" t="s">
        <v>29</v>
      </c>
      <c r="D218" t="s">
        <v>938</v>
      </c>
      <c r="E218" t="s">
        <v>939</v>
      </c>
      <c r="F218" t="s">
        <v>940</v>
      </c>
      <c r="G218" t="s">
        <v>24</v>
      </c>
      <c r="H218" t="s">
        <v>941</v>
      </c>
      <c r="I218" t="s">
        <v>46</v>
      </c>
      <c r="L218" t="s">
        <v>246</v>
      </c>
      <c r="Q218" t="s">
        <v>48</v>
      </c>
    </row>
    <row r="219" spans="1:17" hidden="1" x14ac:dyDescent="0.25">
      <c r="A219" t="s">
        <v>33</v>
      </c>
      <c r="B219" t="s">
        <v>942</v>
      </c>
      <c r="C219" t="s">
        <v>21</v>
      </c>
      <c r="D219" t="s">
        <v>942</v>
      </c>
      <c r="E219" t="s">
        <v>943</v>
      </c>
      <c r="F219" t="s">
        <v>944</v>
      </c>
      <c r="G219" t="s">
        <v>24</v>
      </c>
      <c r="H219" t="s">
        <v>945</v>
      </c>
      <c r="I219" t="s">
        <v>46</v>
      </c>
      <c r="L219" t="s">
        <v>309</v>
      </c>
      <c r="Q219" t="s">
        <v>48</v>
      </c>
    </row>
    <row r="220" spans="1:17" hidden="1" x14ac:dyDescent="0.25">
      <c r="A220" t="s">
        <v>33</v>
      </c>
      <c r="B220" t="s">
        <v>946</v>
      </c>
      <c r="C220" t="s">
        <v>21</v>
      </c>
      <c r="D220" t="s">
        <v>946</v>
      </c>
      <c r="E220" t="s">
        <v>947</v>
      </c>
      <c r="F220" t="s">
        <v>303</v>
      </c>
      <c r="G220" t="s">
        <v>24</v>
      </c>
      <c r="H220" s="1" t="s">
        <v>948</v>
      </c>
      <c r="L220" t="s">
        <v>148</v>
      </c>
    </row>
    <row r="221" spans="1:17" hidden="1" x14ac:dyDescent="0.25">
      <c r="A221" t="s">
        <v>33</v>
      </c>
      <c r="B221" t="s">
        <v>949</v>
      </c>
      <c r="C221" t="s">
        <v>21</v>
      </c>
      <c r="D221" t="s">
        <v>949</v>
      </c>
      <c r="E221" t="s">
        <v>950</v>
      </c>
      <c r="F221" t="s">
        <v>951</v>
      </c>
      <c r="G221" t="s">
        <v>24</v>
      </c>
      <c r="H221" t="s">
        <v>952</v>
      </c>
      <c r="L221" t="s">
        <v>794</v>
      </c>
    </row>
    <row r="222" spans="1:17" hidden="1" x14ac:dyDescent="0.25">
      <c r="A222" t="s">
        <v>33</v>
      </c>
      <c r="B222" t="s">
        <v>953</v>
      </c>
      <c r="C222" t="s">
        <v>21</v>
      </c>
      <c r="D222" t="s">
        <v>954</v>
      </c>
      <c r="E222" t="s">
        <v>778</v>
      </c>
      <c r="F222" t="s">
        <v>955</v>
      </c>
      <c r="G222" t="s">
        <v>24</v>
      </c>
      <c r="H222" t="s">
        <v>956</v>
      </c>
      <c r="I222" t="s">
        <v>46</v>
      </c>
      <c r="L222" t="s">
        <v>181</v>
      </c>
      <c r="Q222" t="s">
        <v>48</v>
      </c>
    </row>
    <row r="223" spans="1:17" hidden="1" x14ac:dyDescent="0.25">
      <c r="A223" t="s">
        <v>33</v>
      </c>
      <c r="B223" t="s">
        <v>957</v>
      </c>
      <c r="C223" t="s">
        <v>21</v>
      </c>
      <c r="D223" t="s">
        <v>957</v>
      </c>
      <c r="E223" t="s">
        <v>178</v>
      </c>
      <c r="F223" t="s">
        <v>958</v>
      </c>
      <c r="G223" t="s">
        <v>24</v>
      </c>
      <c r="H223" s="1" t="s">
        <v>959</v>
      </c>
      <c r="L223" t="s">
        <v>38</v>
      </c>
    </row>
    <row r="224" spans="1:17" hidden="1" x14ac:dyDescent="0.25">
      <c r="A224" t="s">
        <v>33</v>
      </c>
      <c r="B224" t="s">
        <v>960</v>
      </c>
      <c r="C224" t="s">
        <v>21</v>
      </c>
      <c r="D224" t="s">
        <v>960</v>
      </c>
      <c r="E224" t="s">
        <v>961</v>
      </c>
      <c r="F224" t="s">
        <v>962</v>
      </c>
      <c r="G224" t="s">
        <v>24</v>
      </c>
      <c r="H224" t="s">
        <v>963</v>
      </c>
      <c r="I224" t="s">
        <v>46</v>
      </c>
      <c r="L224" t="s">
        <v>964</v>
      </c>
      <c r="Q224" t="s">
        <v>48</v>
      </c>
    </row>
    <row r="225" spans="1:17" hidden="1" x14ac:dyDescent="0.25">
      <c r="A225" t="s">
        <v>33</v>
      </c>
      <c r="B225" t="s">
        <v>965</v>
      </c>
      <c r="C225" t="s">
        <v>21</v>
      </c>
      <c r="D225" t="s">
        <v>965</v>
      </c>
      <c r="E225" t="s">
        <v>966</v>
      </c>
      <c r="F225" t="s">
        <v>967</v>
      </c>
      <c r="G225" t="s">
        <v>24</v>
      </c>
      <c r="H225" t="s">
        <v>968</v>
      </c>
      <c r="I225" t="s">
        <v>46</v>
      </c>
      <c r="L225" t="s">
        <v>74</v>
      </c>
      <c r="Q225" t="s">
        <v>48</v>
      </c>
    </row>
    <row r="226" spans="1:17" hidden="1" x14ac:dyDescent="0.25">
      <c r="A226" t="s">
        <v>33</v>
      </c>
      <c r="B226" t="s">
        <v>969</v>
      </c>
      <c r="C226" t="s">
        <v>21</v>
      </c>
      <c r="D226" t="s">
        <v>969</v>
      </c>
      <c r="E226" t="s">
        <v>970</v>
      </c>
      <c r="F226" t="s">
        <v>971</v>
      </c>
      <c r="G226" t="s">
        <v>24</v>
      </c>
      <c r="H226" s="1" t="s">
        <v>972</v>
      </c>
      <c r="L226" t="s">
        <v>85</v>
      </c>
    </row>
    <row r="227" spans="1:17" hidden="1" x14ac:dyDescent="0.25">
      <c r="A227" t="s">
        <v>33</v>
      </c>
      <c r="B227" t="s">
        <v>973</v>
      </c>
      <c r="C227" t="s">
        <v>21</v>
      </c>
      <c r="D227" t="s">
        <v>973</v>
      </c>
      <c r="E227" t="s">
        <v>974</v>
      </c>
      <c r="F227" t="s">
        <v>975</v>
      </c>
      <c r="G227" t="s">
        <v>24</v>
      </c>
      <c r="H227" t="s">
        <v>976</v>
      </c>
      <c r="I227" t="s">
        <v>73</v>
      </c>
      <c r="L227" t="s">
        <v>977</v>
      </c>
      <c r="Q227" t="s">
        <v>75</v>
      </c>
    </row>
    <row r="228" spans="1:17" hidden="1" x14ac:dyDescent="0.25">
      <c r="A228" t="s">
        <v>33</v>
      </c>
      <c r="B228" t="s">
        <v>978</v>
      </c>
      <c r="C228" t="s">
        <v>21</v>
      </c>
      <c r="D228" t="s">
        <v>978</v>
      </c>
      <c r="E228" t="s">
        <v>979</v>
      </c>
      <c r="F228" t="s">
        <v>980</v>
      </c>
      <c r="G228" t="s">
        <v>24</v>
      </c>
      <c r="H228" t="s">
        <v>981</v>
      </c>
      <c r="L228" t="s">
        <v>185</v>
      </c>
    </row>
    <row r="229" spans="1:17" hidden="1" x14ac:dyDescent="0.25">
      <c r="A229" t="s">
        <v>33</v>
      </c>
      <c r="B229" t="s">
        <v>982</v>
      </c>
      <c r="C229" t="s">
        <v>21</v>
      </c>
      <c r="D229" t="s">
        <v>982</v>
      </c>
      <c r="E229" t="s">
        <v>983</v>
      </c>
      <c r="F229" t="s">
        <v>984</v>
      </c>
      <c r="G229" t="s">
        <v>24</v>
      </c>
      <c r="H229" t="s">
        <v>985</v>
      </c>
      <c r="I229" t="s">
        <v>46</v>
      </c>
      <c r="L229" t="s">
        <v>986</v>
      </c>
      <c r="Q229" t="s">
        <v>48</v>
      </c>
    </row>
    <row r="230" spans="1:17" hidden="1" x14ac:dyDescent="0.25">
      <c r="A230" t="s">
        <v>33</v>
      </c>
      <c r="B230" t="s">
        <v>987</v>
      </c>
      <c r="C230" t="s">
        <v>21</v>
      </c>
      <c r="D230" t="s">
        <v>987</v>
      </c>
      <c r="E230" t="s">
        <v>988</v>
      </c>
      <c r="F230" t="s">
        <v>989</v>
      </c>
      <c r="G230" t="s">
        <v>24</v>
      </c>
      <c r="H230" t="s">
        <v>990</v>
      </c>
      <c r="L230" t="s">
        <v>309</v>
      </c>
    </row>
    <row r="231" spans="1:17" hidden="1" x14ac:dyDescent="0.25">
      <c r="A231" t="s">
        <v>33</v>
      </c>
      <c r="B231" t="s">
        <v>991</v>
      </c>
      <c r="C231" t="s">
        <v>21</v>
      </c>
      <c r="D231" t="s">
        <v>991</v>
      </c>
      <c r="E231" t="s">
        <v>992</v>
      </c>
      <c r="F231" t="s">
        <v>330</v>
      </c>
      <c r="G231" t="s">
        <v>24</v>
      </c>
      <c r="H231" t="s">
        <v>993</v>
      </c>
      <c r="L231" t="s">
        <v>994</v>
      </c>
    </row>
    <row r="232" spans="1:17" hidden="1" x14ac:dyDescent="0.25">
      <c r="A232" t="s">
        <v>33</v>
      </c>
      <c r="B232" t="s">
        <v>995</v>
      </c>
      <c r="C232" t="s">
        <v>21</v>
      </c>
      <c r="D232" t="s">
        <v>995</v>
      </c>
      <c r="E232" t="s">
        <v>303</v>
      </c>
      <c r="F232" t="s">
        <v>996</v>
      </c>
      <c r="G232" t="s">
        <v>24</v>
      </c>
      <c r="H232" t="s">
        <v>997</v>
      </c>
      <c r="I232" t="s">
        <v>46</v>
      </c>
      <c r="L232" t="s">
        <v>692</v>
      </c>
      <c r="Q232" t="s">
        <v>48</v>
      </c>
    </row>
    <row r="233" spans="1:17" hidden="1" x14ac:dyDescent="0.25">
      <c r="A233" t="s">
        <v>33</v>
      </c>
      <c r="B233" t="s">
        <v>998</v>
      </c>
      <c r="C233" t="s">
        <v>21</v>
      </c>
      <c r="D233" t="s">
        <v>998</v>
      </c>
      <c r="E233" t="s">
        <v>999</v>
      </c>
      <c r="F233" t="s">
        <v>1000</v>
      </c>
      <c r="G233" t="s">
        <v>24</v>
      </c>
      <c r="H233" t="s">
        <v>1001</v>
      </c>
      <c r="L233" t="s">
        <v>692</v>
      </c>
    </row>
    <row r="234" spans="1:17" hidden="1" x14ac:dyDescent="0.25">
      <c r="A234" t="s">
        <v>33</v>
      </c>
      <c r="B234" t="s">
        <v>1002</v>
      </c>
      <c r="C234" t="s">
        <v>21</v>
      </c>
      <c r="D234" t="s">
        <v>1002</v>
      </c>
      <c r="E234" t="s">
        <v>1003</v>
      </c>
      <c r="F234" t="s">
        <v>1004</v>
      </c>
      <c r="G234" t="s">
        <v>24</v>
      </c>
      <c r="H234" t="s">
        <v>1005</v>
      </c>
      <c r="I234" t="s">
        <v>46</v>
      </c>
      <c r="L234" t="s">
        <v>108</v>
      </c>
      <c r="Q234" t="s">
        <v>48</v>
      </c>
    </row>
    <row r="235" spans="1:17" hidden="1" x14ac:dyDescent="0.25">
      <c r="A235" t="s">
        <v>33</v>
      </c>
      <c r="B235" t="s">
        <v>1006</v>
      </c>
      <c r="C235" t="s">
        <v>21</v>
      </c>
      <c r="D235" t="s">
        <v>1006</v>
      </c>
      <c r="E235" t="s">
        <v>424</v>
      </c>
      <c r="F235" t="s">
        <v>1007</v>
      </c>
      <c r="G235" t="s">
        <v>24</v>
      </c>
      <c r="H235" t="s">
        <v>1008</v>
      </c>
      <c r="I235" t="s">
        <v>46</v>
      </c>
      <c r="L235" t="s">
        <v>185</v>
      </c>
      <c r="Q235" t="s">
        <v>48</v>
      </c>
    </row>
    <row r="236" spans="1:17" hidden="1" x14ac:dyDescent="0.25">
      <c r="A236" t="s">
        <v>33</v>
      </c>
      <c r="B236" t="s">
        <v>1009</v>
      </c>
      <c r="C236" t="s">
        <v>21</v>
      </c>
      <c r="D236" t="s">
        <v>1009</v>
      </c>
      <c r="E236" t="s">
        <v>1010</v>
      </c>
      <c r="F236" t="s">
        <v>1011</v>
      </c>
      <c r="G236" t="s">
        <v>24</v>
      </c>
      <c r="H236" t="s">
        <v>1012</v>
      </c>
      <c r="L236" t="s">
        <v>1013</v>
      </c>
    </row>
    <row r="237" spans="1:17" hidden="1" x14ac:dyDescent="0.25">
      <c r="A237" t="s">
        <v>33</v>
      </c>
      <c r="B237" t="s">
        <v>1014</v>
      </c>
      <c r="C237" t="s">
        <v>21</v>
      </c>
      <c r="D237" t="s">
        <v>1014</v>
      </c>
      <c r="E237" t="s">
        <v>1015</v>
      </c>
      <c r="F237" t="s">
        <v>1016</v>
      </c>
      <c r="G237" t="s">
        <v>24</v>
      </c>
      <c r="H237" t="s">
        <v>1017</v>
      </c>
      <c r="L237" t="s">
        <v>38</v>
      </c>
    </row>
    <row r="238" spans="1:17" hidden="1" x14ac:dyDescent="0.25">
      <c r="A238" t="s">
        <v>33</v>
      </c>
      <c r="B238" t="s">
        <v>1018</v>
      </c>
      <c r="C238" t="s">
        <v>21</v>
      </c>
      <c r="D238" t="s">
        <v>1018</v>
      </c>
      <c r="E238" t="s">
        <v>275</v>
      </c>
      <c r="F238" t="s">
        <v>1019</v>
      </c>
      <c r="G238" t="s">
        <v>24</v>
      </c>
      <c r="H238" t="s">
        <v>1020</v>
      </c>
      <c r="I238" t="s">
        <v>46</v>
      </c>
      <c r="L238" t="s">
        <v>914</v>
      </c>
      <c r="Q238" t="s">
        <v>48</v>
      </c>
    </row>
    <row r="239" spans="1:17" hidden="1" x14ac:dyDescent="0.25">
      <c r="A239" t="s">
        <v>33</v>
      </c>
      <c r="B239" t="s">
        <v>28</v>
      </c>
      <c r="C239" t="s">
        <v>29</v>
      </c>
      <c r="D239" t="s">
        <v>28</v>
      </c>
      <c r="E239" t="s">
        <v>30</v>
      </c>
      <c r="F239" t="s">
        <v>31</v>
      </c>
      <c r="G239" t="s">
        <v>24</v>
      </c>
      <c r="H239" t="s">
        <v>1021</v>
      </c>
      <c r="L239" t="s">
        <v>27</v>
      </c>
    </row>
    <row r="240" spans="1:17" hidden="1" x14ac:dyDescent="0.25">
      <c r="A240" t="s">
        <v>33</v>
      </c>
      <c r="B240" t="s">
        <v>1022</v>
      </c>
      <c r="C240" t="s">
        <v>21</v>
      </c>
      <c r="D240" t="s">
        <v>1022</v>
      </c>
      <c r="E240" t="s">
        <v>30</v>
      </c>
      <c r="F240" t="s">
        <v>711</v>
      </c>
      <c r="G240" t="s">
        <v>24</v>
      </c>
      <c r="H240" t="s">
        <v>1023</v>
      </c>
      <c r="J240" t="s">
        <v>26</v>
      </c>
      <c r="L240" t="s">
        <v>27</v>
      </c>
    </row>
    <row r="241" spans="1:17" hidden="1" x14ac:dyDescent="0.25">
      <c r="A241" t="s">
        <v>33</v>
      </c>
      <c r="B241" t="s">
        <v>1024</v>
      </c>
      <c r="C241" t="s">
        <v>21</v>
      </c>
      <c r="D241" t="s">
        <v>1024</v>
      </c>
      <c r="E241" t="s">
        <v>135</v>
      </c>
      <c r="F241" t="s">
        <v>1025</v>
      </c>
      <c r="G241" t="s">
        <v>24</v>
      </c>
      <c r="H241" t="s">
        <v>1026</v>
      </c>
      <c r="I241" t="s">
        <v>46</v>
      </c>
      <c r="L241" t="s">
        <v>224</v>
      </c>
      <c r="Q241" t="s">
        <v>48</v>
      </c>
    </row>
    <row r="242" spans="1:17" hidden="1" x14ac:dyDescent="0.25">
      <c r="A242" t="s">
        <v>33</v>
      </c>
      <c r="B242" t="s">
        <v>1027</v>
      </c>
      <c r="C242" t="s">
        <v>21</v>
      </c>
      <c r="D242" t="s">
        <v>1027</v>
      </c>
      <c r="E242" t="s">
        <v>1028</v>
      </c>
      <c r="F242" t="s">
        <v>1029</v>
      </c>
      <c r="G242" t="s">
        <v>24</v>
      </c>
      <c r="H242" t="s">
        <v>1030</v>
      </c>
      <c r="I242" t="s">
        <v>46</v>
      </c>
      <c r="L242" t="s">
        <v>349</v>
      </c>
      <c r="Q242" t="s">
        <v>48</v>
      </c>
    </row>
    <row r="243" spans="1:17" hidden="1" x14ac:dyDescent="0.25">
      <c r="A243" t="s">
        <v>33</v>
      </c>
      <c r="B243" t="s">
        <v>1031</v>
      </c>
      <c r="C243" t="s">
        <v>21</v>
      </c>
      <c r="D243" t="s">
        <v>1031</v>
      </c>
      <c r="E243" t="s">
        <v>1032</v>
      </c>
      <c r="F243" t="s">
        <v>1033</v>
      </c>
      <c r="G243" t="s">
        <v>24</v>
      </c>
      <c r="H243" t="s">
        <v>1034</v>
      </c>
      <c r="I243" t="s">
        <v>46</v>
      </c>
      <c r="L243" t="s">
        <v>692</v>
      </c>
      <c r="Q243" t="s">
        <v>48</v>
      </c>
    </row>
    <row r="244" spans="1:17" hidden="1" x14ac:dyDescent="0.25">
      <c r="A244" t="s">
        <v>33</v>
      </c>
      <c r="B244" t="s">
        <v>1035</v>
      </c>
      <c r="C244" t="s">
        <v>21</v>
      </c>
      <c r="D244" t="s">
        <v>1035</v>
      </c>
      <c r="E244" t="s">
        <v>135</v>
      </c>
      <c r="F244" t="s">
        <v>1036</v>
      </c>
      <c r="G244" t="s">
        <v>24</v>
      </c>
      <c r="H244" t="s">
        <v>1037</v>
      </c>
      <c r="I244" t="s">
        <v>46</v>
      </c>
      <c r="J244" t="s">
        <v>26</v>
      </c>
      <c r="L244" t="s">
        <v>27</v>
      </c>
      <c r="Q244" t="s">
        <v>48</v>
      </c>
    </row>
    <row r="245" spans="1:17" hidden="1" x14ac:dyDescent="0.25">
      <c r="A245" t="s">
        <v>33</v>
      </c>
      <c r="B245" t="s">
        <v>1038</v>
      </c>
      <c r="C245" t="s">
        <v>21</v>
      </c>
      <c r="D245" t="s">
        <v>1038</v>
      </c>
      <c r="E245" t="s">
        <v>1039</v>
      </c>
      <c r="F245" t="s">
        <v>1040</v>
      </c>
      <c r="G245" t="s">
        <v>24</v>
      </c>
      <c r="H245" t="s">
        <v>1041</v>
      </c>
      <c r="I245" t="s">
        <v>46</v>
      </c>
      <c r="L245" t="s">
        <v>1042</v>
      </c>
      <c r="Q245" t="s">
        <v>48</v>
      </c>
    </row>
    <row r="246" spans="1:17" hidden="1" x14ac:dyDescent="0.25">
      <c r="A246" t="s">
        <v>33</v>
      </c>
      <c r="B246" t="s">
        <v>1043</v>
      </c>
      <c r="C246" t="s">
        <v>21</v>
      </c>
      <c r="D246" t="s">
        <v>1043</v>
      </c>
      <c r="E246" t="s">
        <v>1044</v>
      </c>
      <c r="F246" t="s">
        <v>1045</v>
      </c>
      <c r="G246" t="s">
        <v>24</v>
      </c>
      <c r="H246" t="s">
        <v>1046</v>
      </c>
      <c r="I246" t="s">
        <v>46</v>
      </c>
      <c r="L246" t="s">
        <v>166</v>
      </c>
      <c r="Q246" t="s">
        <v>48</v>
      </c>
    </row>
    <row r="247" spans="1:17" hidden="1" x14ac:dyDescent="0.25">
      <c r="A247" t="s">
        <v>33</v>
      </c>
      <c r="B247" t="s">
        <v>1047</v>
      </c>
      <c r="C247" t="s">
        <v>21</v>
      </c>
      <c r="D247" t="s">
        <v>1047</v>
      </c>
      <c r="E247" t="s">
        <v>1048</v>
      </c>
      <c r="F247" t="s">
        <v>1049</v>
      </c>
      <c r="G247" t="s">
        <v>24</v>
      </c>
      <c r="H247" t="s">
        <v>1050</v>
      </c>
      <c r="I247" t="s">
        <v>46</v>
      </c>
      <c r="L247" t="s">
        <v>317</v>
      </c>
      <c r="Q247" t="s">
        <v>48</v>
      </c>
    </row>
    <row r="248" spans="1:17" x14ac:dyDescent="0.25">
      <c r="A248" t="s">
        <v>33</v>
      </c>
      <c r="B248" t="s">
        <v>1051</v>
      </c>
      <c r="C248" t="s">
        <v>21</v>
      </c>
      <c r="D248" t="s">
        <v>1051</v>
      </c>
      <c r="E248" t="s">
        <v>1052</v>
      </c>
      <c r="F248" t="s">
        <v>1053</v>
      </c>
      <c r="G248" t="s">
        <v>24</v>
      </c>
      <c r="H248" t="s">
        <v>1054</v>
      </c>
      <c r="I248" t="s">
        <v>1055</v>
      </c>
      <c r="L248" t="s">
        <v>327</v>
      </c>
      <c r="Q248" t="s">
        <v>1056</v>
      </c>
    </row>
    <row r="249" spans="1:17" hidden="1" x14ac:dyDescent="0.25">
      <c r="A249" t="s">
        <v>33</v>
      </c>
      <c r="B249" t="s">
        <v>1057</v>
      </c>
      <c r="C249" t="s">
        <v>21</v>
      </c>
      <c r="D249" t="s">
        <v>1057</v>
      </c>
      <c r="E249" t="s">
        <v>1058</v>
      </c>
      <c r="F249" t="s">
        <v>1059</v>
      </c>
      <c r="G249" t="s">
        <v>24</v>
      </c>
      <c r="H249" t="s">
        <v>1060</v>
      </c>
      <c r="I249" t="s">
        <v>46</v>
      </c>
      <c r="L249" t="s">
        <v>1061</v>
      </c>
      <c r="Q249" t="s">
        <v>48</v>
      </c>
    </row>
    <row r="250" spans="1:17" hidden="1" x14ac:dyDescent="0.25">
      <c r="A250" t="s">
        <v>33</v>
      </c>
      <c r="B250" t="s">
        <v>1062</v>
      </c>
      <c r="C250" t="s">
        <v>21</v>
      </c>
      <c r="D250" t="s">
        <v>1062</v>
      </c>
      <c r="E250" t="s">
        <v>1063</v>
      </c>
      <c r="F250" t="s">
        <v>1064</v>
      </c>
      <c r="G250" t="s">
        <v>24</v>
      </c>
      <c r="H250" t="s">
        <v>1065</v>
      </c>
      <c r="I250" t="s">
        <v>73</v>
      </c>
      <c r="L250" t="s">
        <v>620</v>
      </c>
      <c r="Q250" t="s">
        <v>75</v>
      </c>
    </row>
    <row r="251" spans="1:17" hidden="1" x14ac:dyDescent="0.25">
      <c r="A251" t="s">
        <v>33</v>
      </c>
      <c r="B251" t="s">
        <v>1066</v>
      </c>
      <c r="C251" t="s">
        <v>29</v>
      </c>
      <c r="D251" t="s">
        <v>1067</v>
      </c>
      <c r="E251" t="s">
        <v>1068</v>
      </c>
      <c r="F251" t="s">
        <v>1069</v>
      </c>
      <c r="G251" t="s">
        <v>24</v>
      </c>
      <c r="H251" t="s">
        <v>1070</v>
      </c>
      <c r="I251" t="s">
        <v>46</v>
      </c>
      <c r="L251" t="s">
        <v>861</v>
      </c>
      <c r="Q251" t="s">
        <v>48</v>
      </c>
    </row>
    <row r="252" spans="1:17" hidden="1" x14ac:dyDescent="0.25">
      <c r="A252" t="s">
        <v>33</v>
      </c>
      <c r="B252" t="s">
        <v>1071</v>
      </c>
      <c r="C252" t="s">
        <v>21</v>
      </c>
      <c r="D252" t="s">
        <v>1071</v>
      </c>
      <c r="E252" t="s">
        <v>1072</v>
      </c>
      <c r="F252" t="s">
        <v>1073</v>
      </c>
      <c r="G252" t="s">
        <v>24</v>
      </c>
      <c r="H252" t="s">
        <v>1074</v>
      </c>
      <c r="I252" t="s">
        <v>46</v>
      </c>
      <c r="L252" t="s">
        <v>74</v>
      </c>
      <c r="Q252" t="s">
        <v>48</v>
      </c>
    </row>
    <row r="253" spans="1:17" hidden="1" x14ac:dyDescent="0.25">
      <c r="A253" t="s">
        <v>33</v>
      </c>
      <c r="B253" t="s">
        <v>1075</v>
      </c>
      <c r="C253" t="s">
        <v>21</v>
      </c>
      <c r="D253" t="s">
        <v>1075</v>
      </c>
      <c r="E253" t="s">
        <v>1076</v>
      </c>
      <c r="F253" t="s">
        <v>1077</v>
      </c>
      <c r="G253" t="s">
        <v>24</v>
      </c>
      <c r="H253" t="s">
        <v>1078</v>
      </c>
      <c r="I253" t="s">
        <v>73</v>
      </c>
      <c r="L253" t="s">
        <v>27</v>
      </c>
      <c r="Q253" t="s">
        <v>75</v>
      </c>
    </row>
    <row r="254" spans="1:17" hidden="1" x14ac:dyDescent="0.25">
      <c r="A254" t="s">
        <v>33</v>
      </c>
      <c r="B254" t="s">
        <v>1079</v>
      </c>
      <c r="C254" t="s">
        <v>21</v>
      </c>
      <c r="D254" t="s">
        <v>1079</v>
      </c>
      <c r="E254" t="s">
        <v>1080</v>
      </c>
      <c r="F254" t="s">
        <v>1081</v>
      </c>
      <c r="G254" t="s">
        <v>24</v>
      </c>
      <c r="H254" t="s">
        <v>1082</v>
      </c>
      <c r="I254" t="s">
        <v>73</v>
      </c>
      <c r="L254" t="s">
        <v>517</v>
      </c>
      <c r="Q254" t="s">
        <v>75</v>
      </c>
    </row>
    <row r="255" spans="1:17" hidden="1" x14ac:dyDescent="0.25">
      <c r="A255" t="s">
        <v>33</v>
      </c>
      <c r="B255" t="s">
        <v>1083</v>
      </c>
      <c r="C255" t="s">
        <v>21</v>
      </c>
      <c r="D255" t="s">
        <v>1083</v>
      </c>
      <c r="E255" t="s">
        <v>126</v>
      </c>
      <c r="F255" t="s">
        <v>1084</v>
      </c>
      <c r="G255" t="s">
        <v>24</v>
      </c>
      <c r="H255" t="s">
        <v>1085</v>
      </c>
      <c r="I255" t="s">
        <v>46</v>
      </c>
      <c r="L255" t="s">
        <v>185</v>
      </c>
      <c r="Q255" t="s">
        <v>48</v>
      </c>
    </row>
    <row r="256" spans="1:17" hidden="1" x14ac:dyDescent="0.25">
      <c r="A256" t="s">
        <v>33</v>
      </c>
      <c r="B256" t="s">
        <v>1086</v>
      </c>
      <c r="C256" t="s">
        <v>21</v>
      </c>
      <c r="D256" t="s">
        <v>1086</v>
      </c>
      <c r="E256" t="s">
        <v>70</v>
      </c>
      <c r="F256" t="s">
        <v>1087</v>
      </c>
      <c r="G256" t="s">
        <v>24</v>
      </c>
      <c r="H256" t="s">
        <v>1088</v>
      </c>
      <c r="I256" t="s">
        <v>46</v>
      </c>
      <c r="L256" t="s">
        <v>1042</v>
      </c>
      <c r="Q256" t="s">
        <v>48</v>
      </c>
    </row>
    <row r="257" spans="1:17" hidden="1" x14ac:dyDescent="0.25">
      <c r="A257" t="s">
        <v>33</v>
      </c>
      <c r="B257" t="s">
        <v>1089</v>
      </c>
      <c r="C257" t="s">
        <v>21</v>
      </c>
      <c r="D257" t="s">
        <v>1089</v>
      </c>
      <c r="E257" t="s">
        <v>159</v>
      </c>
      <c r="F257" t="s">
        <v>1090</v>
      </c>
      <c r="G257" t="s">
        <v>24</v>
      </c>
      <c r="H257" t="s">
        <v>1091</v>
      </c>
      <c r="I257" t="s">
        <v>46</v>
      </c>
      <c r="L257" t="s">
        <v>1061</v>
      </c>
      <c r="Q257" t="s">
        <v>48</v>
      </c>
    </row>
    <row r="258" spans="1:17" hidden="1" x14ac:dyDescent="0.25">
      <c r="A258" t="s">
        <v>33</v>
      </c>
      <c r="B258" t="s">
        <v>1092</v>
      </c>
      <c r="C258" t="s">
        <v>21</v>
      </c>
      <c r="D258" t="s">
        <v>1092</v>
      </c>
      <c r="E258" t="s">
        <v>1093</v>
      </c>
      <c r="F258" t="s">
        <v>1094</v>
      </c>
      <c r="G258" t="s">
        <v>24</v>
      </c>
      <c r="H258" t="s">
        <v>1095</v>
      </c>
      <c r="L258" t="s">
        <v>74</v>
      </c>
    </row>
    <row r="259" spans="1:17" hidden="1" x14ac:dyDescent="0.25">
      <c r="A259" t="s">
        <v>33</v>
      </c>
      <c r="B259" t="s">
        <v>1096</v>
      </c>
      <c r="C259" t="s">
        <v>21</v>
      </c>
      <c r="D259" t="s">
        <v>1096</v>
      </c>
      <c r="E259" t="s">
        <v>1097</v>
      </c>
      <c r="F259" t="s">
        <v>1098</v>
      </c>
      <c r="G259" t="s">
        <v>24</v>
      </c>
      <c r="H259" t="s">
        <v>1099</v>
      </c>
      <c r="I259" t="s">
        <v>46</v>
      </c>
      <c r="L259" t="s">
        <v>994</v>
      </c>
      <c r="Q259" t="s">
        <v>48</v>
      </c>
    </row>
    <row r="260" spans="1:17" hidden="1" x14ac:dyDescent="0.25">
      <c r="A260" t="s">
        <v>33</v>
      </c>
      <c r="B260" t="s">
        <v>1100</v>
      </c>
      <c r="C260" t="s">
        <v>21</v>
      </c>
      <c r="D260" t="s">
        <v>1100</v>
      </c>
      <c r="E260" t="s">
        <v>363</v>
      </c>
      <c r="F260" t="s">
        <v>1101</v>
      </c>
      <c r="G260" t="s">
        <v>24</v>
      </c>
      <c r="H260" t="s">
        <v>1102</v>
      </c>
      <c r="I260" t="s">
        <v>96</v>
      </c>
      <c r="L260" t="s">
        <v>349</v>
      </c>
      <c r="Q260" t="s">
        <v>98</v>
      </c>
    </row>
    <row r="261" spans="1:17" hidden="1" x14ac:dyDescent="0.25">
      <c r="A261" t="s">
        <v>33</v>
      </c>
      <c r="B261" t="s">
        <v>1103</v>
      </c>
      <c r="C261" t="s">
        <v>21</v>
      </c>
      <c r="D261" t="s">
        <v>1103</v>
      </c>
      <c r="E261" t="s">
        <v>1104</v>
      </c>
      <c r="F261" t="s">
        <v>1105</v>
      </c>
      <c r="G261" t="s">
        <v>24</v>
      </c>
      <c r="H261" t="s">
        <v>1106</v>
      </c>
      <c r="I261" t="s">
        <v>46</v>
      </c>
      <c r="L261" t="s">
        <v>994</v>
      </c>
      <c r="Q261" t="s">
        <v>48</v>
      </c>
    </row>
    <row r="262" spans="1:17" hidden="1" x14ac:dyDescent="0.25">
      <c r="A262" t="s">
        <v>33</v>
      </c>
      <c r="B262" t="s">
        <v>1107</v>
      </c>
      <c r="C262" t="s">
        <v>21</v>
      </c>
      <c r="D262" t="s">
        <v>1107</v>
      </c>
      <c r="E262" t="s">
        <v>1108</v>
      </c>
      <c r="F262" t="s">
        <v>1109</v>
      </c>
      <c r="G262" t="s">
        <v>24</v>
      </c>
      <c r="H262" t="s">
        <v>1110</v>
      </c>
      <c r="I262" t="s">
        <v>46</v>
      </c>
      <c r="L262" t="s">
        <v>38</v>
      </c>
      <c r="Q262" t="s">
        <v>48</v>
      </c>
    </row>
    <row r="263" spans="1:17" hidden="1" x14ac:dyDescent="0.25">
      <c r="A263" t="s">
        <v>33</v>
      </c>
      <c r="B263" t="s">
        <v>1111</v>
      </c>
      <c r="C263" t="s">
        <v>92</v>
      </c>
      <c r="D263" t="s">
        <v>1111</v>
      </c>
      <c r="E263" t="s">
        <v>1112</v>
      </c>
      <c r="F263" t="s">
        <v>1113</v>
      </c>
      <c r="G263" t="s">
        <v>24</v>
      </c>
      <c r="H263" t="s">
        <v>1114</v>
      </c>
      <c r="I263" t="s">
        <v>46</v>
      </c>
      <c r="L263" t="s">
        <v>1115</v>
      </c>
      <c r="Q263" t="s">
        <v>48</v>
      </c>
    </row>
    <row r="264" spans="1:17" hidden="1" x14ac:dyDescent="0.25">
      <c r="A264" t="s">
        <v>33</v>
      </c>
      <c r="B264" t="s">
        <v>1116</v>
      </c>
      <c r="C264" t="s">
        <v>21</v>
      </c>
      <c r="D264" t="s">
        <v>1116</v>
      </c>
      <c r="E264" t="s">
        <v>1117</v>
      </c>
      <c r="F264" t="s">
        <v>1118</v>
      </c>
      <c r="G264" t="s">
        <v>24</v>
      </c>
      <c r="H264" t="s">
        <v>1119</v>
      </c>
      <c r="I264" t="s">
        <v>46</v>
      </c>
      <c r="L264" t="s">
        <v>1115</v>
      </c>
      <c r="Q264" t="s">
        <v>48</v>
      </c>
    </row>
    <row r="265" spans="1:17" hidden="1" x14ac:dyDescent="0.25">
      <c r="A265" t="s">
        <v>33</v>
      </c>
      <c r="B265" t="s">
        <v>1120</v>
      </c>
      <c r="C265" t="s">
        <v>21</v>
      </c>
      <c r="D265" t="s">
        <v>1120</v>
      </c>
      <c r="E265" t="s">
        <v>1121</v>
      </c>
      <c r="F265" t="s">
        <v>1122</v>
      </c>
      <c r="G265" t="s">
        <v>24</v>
      </c>
      <c r="H265" t="s">
        <v>1123</v>
      </c>
      <c r="I265" t="s">
        <v>46</v>
      </c>
      <c r="L265" t="s">
        <v>914</v>
      </c>
      <c r="Q265" t="s">
        <v>48</v>
      </c>
    </row>
    <row r="266" spans="1:17" hidden="1" x14ac:dyDescent="0.25">
      <c r="A266" t="s">
        <v>33</v>
      </c>
      <c r="B266" t="s">
        <v>1124</v>
      </c>
      <c r="C266" t="s">
        <v>92</v>
      </c>
      <c r="D266" t="s">
        <v>1124</v>
      </c>
      <c r="E266" t="s">
        <v>1125</v>
      </c>
      <c r="F266" t="s">
        <v>1126</v>
      </c>
      <c r="G266" t="s">
        <v>24</v>
      </c>
      <c r="H266" t="s">
        <v>1127</v>
      </c>
      <c r="I266" t="s">
        <v>46</v>
      </c>
      <c r="L266" t="s">
        <v>937</v>
      </c>
      <c r="Q266" t="s">
        <v>48</v>
      </c>
    </row>
    <row r="267" spans="1:17" hidden="1" x14ac:dyDescent="0.25">
      <c r="A267" t="s">
        <v>33</v>
      </c>
      <c r="B267" t="s">
        <v>1128</v>
      </c>
      <c r="C267" t="s">
        <v>21</v>
      </c>
      <c r="D267" t="s">
        <v>1128</v>
      </c>
      <c r="E267" t="s">
        <v>87</v>
      </c>
      <c r="F267" t="s">
        <v>1129</v>
      </c>
      <c r="G267" t="s">
        <v>24</v>
      </c>
      <c r="H267" t="s">
        <v>1130</v>
      </c>
      <c r="I267" t="s">
        <v>46</v>
      </c>
      <c r="L267" t="s">
        <v>1131</v>
      </c>
      <c r="Q267" t="s">
        <v>48</v>
      </c>
    </row>
    <row r="268" spans="1:17" hidden="1" x14ac:dyDescent="0.25">
      <c r="A268" t="s">
        <v>33</v>
      </c>
      <c r="B268" t="s">
        <v>1132</v>
      </c>
      <c r="C268" t="s">
        <v>21</v>
      </c>
      <c r="D268" t="s">
        <v>1132</v>
      </c>
      <c r="E268" t="s">
        <v>1063</v>
      </c>
      <c r="F268" t="s">
        <v>1133</v>
      </c>
      <c r="G268" t="s">
        <v>24</v>
      </c>
      <c r="H268" t="s">
        <v>1134</v>
      </c>
      <c r="L268" t="s">
        <v>1135</v>
      </c>
    </row>
    <row r="269" spans="1:17" hidden="1" x14ac:dyDescent="0.25">
      <c r="A269" t="s">
        <v>33</v>
      </c>
      <c r="B269" t="s">
        <v>1136</v>
      </c>
      <c r="C269" t="s">
        <v>21</v>
      </c>
      <c r="D269" t="s">
        <v>1136</v>
      </c>
      <c r="E269" t="s">
        <v>1137</v>
      </c>
      <c r="F269" t="s">
        <v>1138</v>
      </c>
      <c r="G269" t="s">
        <v>24</v>
      </c>
      <c r="H269" s="1" t="s">
        <v>1139</v>
      </c>
      <c r="I269" t="s">
        <v>46</v>
      </c>
      <c r="L269" t="s">
        <v>986</v>
      </c>
      <c r="Q269" t="s">
        <v>48</v>
      </c>
    </row>
    <row r="270" spans="1:17" hidden="1" x14ac:dyDescent="0.25">
      <c r="A270" t="s">
        <v>33</v>
      </c>
      <c r="B270" t="s">
        <v>1140</v>
      </c>
      <c r="C270" t="s">
        <v>21</v>
      </c>
      <c r="D270" t="s">
        <v>1141</v>
      </c>
      <c r="E270" t="s">
        <v>1142</v>
      </c>
      <c r="F270" t="s">
        <v>1143</v>
      </c>
      <c r="G270" t="s">
        <v>24</v>
      </c>
      <c r="H270" t="s">
        <v>1144</v>
      </c>
      <c r="I270" t="s">
        <v>73</v>
      </c>
      <c r="L270" t="s">
        <v>643</v>
      </c>
      <c r="Q270" t="s">
        <v>75</v>
      </c>
    </row>
    <row r="271" spans="1:17" hidden="1" x14ac:dyDescent="0.25">
      <c r="A271" t="s">
        <v>33</v>
      </c>
      <c r="B271" t="s">
        <v>1145</v>
      </c>
      <c r="C271" t="s">
        <v>21</v>
      </c>
      <c r="D271" t="s">
        <v>1145</v>
      </c>
      <c r="E271" t="s">
        <v>1146</v>
      </c>
      <c r="F271" t="s">
        <v>465</v>
      </c>
      <c r="G271" t="s">
        <v>24</v>
      </c>
      <c r="H271" t="s">
        <v>1147</v>
      </c>
      <c r="I271" t="s">
        <v>46</v>
      </c>
      <c r="L271" t="s">
        <v>389</v>
      </c>
      <c r="Q271" t="s">
        <v>48</v>
      </c>
    </row>
    <row r="272" spans="1:17" hidden="1" x14ac:dyDescent="0.25">
      <c r="A272" t="s">
        <v>33</v>
      </c>
      <c r="B272" t="s">
        <v>1148</v>
      </c>
      <c r="C272" t="s">
        <v>21</v>
      </c>
      <c r="D272" t="s">
        <v>1148</v>
      </c>
      <c r="E272" t="s">
        <v>1149</v>
      </c>
      <c r="F272" t="s">
        <v>1150</v>
      </c>
      <c r="G272" t="s">
        <v>24</v>
      </c>
      <c r="H272" t="s">
        <v>1151</v>
      </c>
      <c r="I272" t="s">
        <v>46</v>
      </c>
      <c r="L272" t="s">
        <v>1152</v>
      </c>
      <c r="Q272" t="s">
        <v>48</v>
      </c>
    </row>
    <row r="273" spans="1:17" hidden="1" x14ac:dyDescent="0.25">
      <c r="A273" t="s">
        <v>33</v>
      </c>
      <c r="B273" t="s">
        <v>1153</v>
      </c>
      <c r="C273" t="s">
        <v>21</v>
      </c>
      <c r="D273" t="s">
        <v>1153</v>
      </c>
      <c r="E273" t="s">
        <v>1154</v>
      </c>
      <c r="F273" t="s">
        <v>1155</v>
      </c>
      <c r="G273" t="s">
        <v>24</v>
      </c>
      <c r="H273" t="s">
        <v>1156</v>
      </c>
      <c r="L273" t="s">
        <v>138</v>
      </c>
    </row>
    <row r="274" spans="1:17" hidden="1" x14ac:dyDescent="0.25">
      <c r="A274" t="s">
        <v>33</v>
      </c>
      <c r="B274" t="s">
        <v>1157</v>
      </c>
      <c r="C274" t="s">
        <v>21</v>
      </c>
      <c r="D274" t="s">
        <v>1157</v>
      </c>
      <c r="E274" t="s">
        <v>359</v>
      </c>
      <c r="F274" t="s">
        <v>1158</v>
      </c>
      <c r="G274" t="s">
        <v>24</v>
      </c>
      <c r="H274" t="s">
        <v>1159</v>
      </c>
      <c r="I274" t="s">
        <v>46</v>
      </c>
      <c r="L274" t="s">
        <v>74</v>
      </c>
      <c r="Q274" t="s">
        <v>48</v>
      </c>
    </row>
    <row r="275" spans="1:17" hidden="1" x14ac:dyDescent="0.25">
      <c r="A275" t="s">
        <v>33</v>
      </c>
      <c r="B275" t="s">
        <v>1160</v>
      </c>
      <c r="C275" t="s">
        <v>21</v>
      </c>
      <c r="D275" t="s">
        <v>1160</v>
      </c>
      <c r="E275" t="s">
        <v>1161</v>
      </c>
      <c r="F275" t="s">
        <v>1162</v>
      </c>
      <c r="G275" t="s">
        <v>24</v>
      </c>
      <c r="H275" t="s">
        <v>1163</v>
      </c>
      <c r="L275" t="s">
        <v>309</v>
      </c>
    </row>
    <row r="276" spans="1:17" hidden="1" x14ac:dyDescent="0.25">
      <c r="A276" t="s">
        <v>33</v>
      </c>
      <c r="B276" t="s">
        <v>1164</v>
      </c>
      <c r="C276" t="s">
        <v>21</v>
      </c>
      <c r="D276" t="s">
        <v>1164</v>
      </c>
      <c r="E276" t="s">
        <v>1165</v>
      </c>
      <c r="F276" t="s">
        <v>1166</v>
      </c>
      <c r="G276" t="s">
        <v>24</v>
      </c>
      <c r="H276" t="s">
        <v>1167</v>
      </c>
      <c r="L276" t="s">
        <v>148</v>
      </c>
    </row>
    <row r="277" spans="1:17" hidden="1" x14ac:dyDescent="0.25">
      <c r="A277" t="s">
        <v>33</v>
      </c>
      <c r="B277" t="s">
        <v>1168</v>
      </c>
      <c r="C277" t="s">
        <v>21</v>
      </c>
      <c r="D277" t="s">
        <v>1168</v>
      </c>
      <c r="E277" t="s">
        <v>126</v>
      </c>
      <c r="F277" t="s">
        <v>1169</v>
      </c>
      <c r="G277" t="s">
        <v>24</v>
      </c>
      <c r="H277" t="s">
        <v>1170</v>
      </c>
      <c r="L277" t="s">
        <v>224</v>
      </c>
    </row>
    <row r="278" spans="1:17" hidden="1" x14ac:dyDescent="0.25">
      <c r="A278" t="s">
        <v>33</v>
      </c>
      <c r="B278" t="s">
        <v>1171</v>
      </c>
      <c r="C278" t="s">
        <v>21</v>
      </c>
      <c r="D278" t="s">
        <v>1171</v>
      </c>
      <c r="E278" t="s">
        <v>1172</v>
      </c>
      <c r="F278" t="s">
        <v>1173</v>
      </c>
      <c r="G278" t="s">
        <v>24</v>
      </c>
      <c r="H278" t="s">
        <v>1174</v>
      </c>
      <c r="I278" t="s">
        <v>46</v>
      </c>
      <c r="L278" t="s">
        <v>964</v>
      </c>
      <c r="Q278" t="s">
        <v>48</v>
      </c>
    </row>
    <row r="279" spans="1:17" hidden="1" x14ac:dyDescent="0.25">
      <c r="A279" t="s">
        <v>33</v>
      </c>
      <c r="B279" t="s">
        <v>1175</v>
      </c>
      <c r="C279" t="s">
        <v>21</v>
      </c>
      <c r="D279" t="s">
        <v>1175</v>
      </c>
      <c r="E279" t="s">
        <v>1176</v>
      </c>
      <c r="F279" t="s">
        <v>1177</v>
      </c>
      <c r="G279" t="s">
        <v>24</v>
      </c>
      <c r="H279" t="s">
        <v>1178</v>
      </c>
      <c r="L279" t="s">
        <v>1179</v>
      </c>
    </row>
    <row r="280" spans="1:17" hidden="1" x14ac:dyDescent="0.25">
      <c r="A280" t="s">
        <v>33</v>
      </c>
      <c r="B280" t="s">
        <v>1180</v>
      </c>
      <c r="C280" t="s">
        <v>21</v>
      </c>
      <c r="D280" t="s">
        <v>1180</v>
      </c>
      <c r="E280" t="s">
        <v>1181</v>
      </c>
      <c r="F280" t="s">
        <v>1182</v>
      </c>
      <c r="G280" t="s">
        <v>24</v>
      </c>
      <c r="H280" t="s">
        <v>1183</v>
      </c>
      <c r="L280" t="s">
        <v>1184</v>
      </c>
    </row>
    <row r="281" spans="1:17" hidden="1" x14ac:dyDescent="0.25">
      <c r="A281" t="s">
        <v>33</v>
      </c>
      <c r="B281" t="s">
        <v>1185</v>
      </c>
      <c r="C281" t="s">
        <v>21</v>
      </c>
      <c r="D281" t="s">
        <v>1185</v>
      </c>
      <c r="E281" t="s">
        <v>140</v>
      </c>
      <c r="F281" t="s">
        <v>1186</v>
      </c>
      <c r="G281" t="s">
        <v>24</v>
      </c>
      <c r="H281" t="s">
        <v>1187</v>
      </c>
      <c r="I281" t="s">
        <v>46</v>
      </c>
      <c r="L281" t="s">
        <v>181</v>
      </c>
      <c r="Q281" t="s">
        <v>48</v>
      </c>
    </row>
    <row r="282" spans="1:17" hidden="1" x14ac:dyDescent="0.25">
      <c r="A282" t="s">
        <v>33</v>
      </c>
      <c r="B282" t="s">
        <v>1188</v>
      </c>
      <c r="C282" t="s">
        <v>21</v>
      </c>
      <c r="D282" t="s">
        <v>1188</v>
      </c>
      <c r="E282" t="s">
        <v>1189</v>
      </c>
      <c r="F282" t="s">
        <v>1190</v>
      </c>
      <c r="G282" t="s">
        <v>24</v>
      </c>
      <c r="H282" t="s">
        <v>1191</v>
      </c>
      <c r="I282" t="s">
        <v>46</v>
      </c>
      <c r="L282" t="s">
        <v>63</v>
      </c>
      <c r="Q282" t="s">
        <v>48</v>
      </c>
    </row>
    <row r="283" spans="1:17" hidden="1" x14ac:dyDescent="0.25">
      <c r="A283" t="s">
        <v>33</v>
      </c>
      <c r="B283" t="s">
        <v>1192</v>
      </c>
      <c r="C283" t="s">
        <v>21</v>
      </c>
      <c r="D283" t="s">
        <v>1192</v>
      </c>
      <c r="E283" t="s">
        <v>1032</v>
      </c>
      <c r="F283" t="s">
        <v>1193</v>
      </c>
      <c r="G283" t="s">
        <v>24</v>
      </c>
      <c r="H283" t="s">
        <v>1194</v>
      </c>
      <c r="I283" t="s">
        <v>46</v>
      </c>
      <c r="L283" t="s">
        <v>38</v>
      </c>
      <c r="Q283" t="s">
        <v>48</v>
      </c>
    </row>
    <row r="284" spans="1:17" hidden="1" x14ac:dyDescent="0.25">
      <c r="A284" t="s">
        <v>33</v>
      </c>
      <c r="B284" t="s">
        <v>1195</v>
      </c>
      <c r="C284" t="s">
        <v>21</v>
      </c>
      <c r="D284" t="s">
        <v>1195</v>
      </c>
      <c r="E284" t="s">
        <v>159</v>
      </c>
      <c r="F284" t="s">
        <v>1196</v>
      </c>
      <c r="G284" t="s">
        <v>24</v>
      </c>
      <c r="H284" t="s">
        <v>1197</v>
      </c>
      <c r="I284" t="s">
        <v>46</v>
      </c>
      <c r="L284" t="s">
        <v>85</v>
      </c>
      <c r="Q284" t="s">
        <v>48</v>
      </c>
    </row>
    <row r="285" spans="1:17" hidden="1" x14ac:dyDescent="0.25">
      <c r="A285" t="s">
        <v>33</v>
      </c>
      <c r="B285" t="s">
        <v>1198</v>
      </c>
      <c r="C285" t="s">
        <v>29</v>
      </c>
      <c r="D285" t="s">
        <v>1199</v>
      </c>
      <c r="E285" t="s">
        <v>204</v>
      </c>
      <c r="F285" t="s">
        <v>1200</v>
      </c>
      <c r="G285" t="s">
        <v>24</v>
      </c>
      <c r="H285" t="s">
        <v>1201</v>
      </c>
      <c r="I285" t="s">
        <v>46</v>
      </c>
      <c r="L285" t="s">
        <v>861</v>
      </c>
      <c r="Q285" t="s">
        <v>48</v>
      </c>
    </row>
    <row r="286" spans="1:17" hidden="1" x14ac:dyDescent="0.25">
      <c r="A286" t="s">
        <v>19</v>
      </c>
      <c r="B286" t="s">
        <v>1202</v>
      </c>
      <c r="C286" t="s">
        <v>903</v>
      </c>
      <c r="D286" t="s">
        <v>1202</v>
      </c>
      <c r="E286" t="s">
        <v>1203</v>
      </c>
      <c r="F286" t="s">
        <v>1204</v>
      </c>
      <c r="G286" t="s">
        <v>904</v>
      </c>
      <c r="H286" t="s">
        <v>1205</v>
      </c>
      <c r="I286" t="s">
        <v>46</v>
      </c>
      <c r="L286" t="s">
        <v>901</v>
      </c>
      <c r="Q286" t="s">
        <v>48</v>
      </c>
    </row>
    <row r="287" spans="1:17" hidden="1" x14ac:dyDescent="0.25">
      <c r="A287" t="s">
        <v>33</v>
      </c>
      <c r="B287" t="s">
        <v>1206</v>
      </c>
      <c r="C287" t="s">
        <v>21</v>
      </c>
      <c r="D287" t="s">
        <v>1207</v>
      </c>
      <c r="E287" t="s">
        <v>1208</v>
      </c>
      <c r="F287" t="s">
        <v>1209</v>
      </c>
      <c r="G287" t="s">
        <v>24</v>
      </c>
      <c r="H287" t="s">
        <v>1210</v>
      </c>
      <c r="I287" t="s">
        <v>46</v>
      </c>
      <c r="L287" t="s">
        <v>747</v>
      </c>
      <c r="Q287" t="s">
        <v>48</v>
      </c>
    </row>
    <row r="288" spans="1:17" hidden="1" x14ac:dyDescent="0.25">
      <c r="A288" t="s">
        <v>33</v>
      </c>
      <c r="B288" t="s">
        <v>1211</v>
      </c>
      <c r="C288" t="s">
        <v>21</v>
      </c>
      <c r="D288" t="s">
        <v>1211</v>
      </c>
      <c r="E288" t="s">
        <v>894</v>
      </c>
      <c r="F288" t="s">
        <v>1212</v>
      </c>
      <c r="G288" t="s">
        <v>24</v>
      </c>
      <c r="H288" t="s">
        <v>1213</v>
      </c>
      <c r="I288" t="s">
        <v>46</v>
      </c>
      <c r="L288" t="s">
        <v>309</v>
      </c>
      <c r="Q288" t="s">
        <v>48</v>
      </c>
    </row>
    <row r="289" spans="1:17" hidden="1" x14ac:dyDescent="0.25">
      <c r="A289" t="s">
        <v>33</v>
      </c>
      <c r="B289" t="s">
        <v>1214</v>
      </c>
      <c r="C289" t="s">
        <v>21</v>
      </c>
      <c r="D289" t="s">
        <v>1214</v>
      </c>
      <c r="E289" t="s">
        <v>1215</v>
      </c>
      <c r="F289" t="s">
        <v>1216</v>
      </c>
      <c r="G289" t="s">
        <v>24</v>
      </c>
      <c r="H289" t="s">
        <v>1217</v>
      </c>
      <c r="L289" t="s">
        <v>914</v>
      </c>
    </row>
    <row r="290" spans="1:17" hidden="1" x14ac:dyDescent="0.25">
      <c r="A290" t="s">
        <v>33</v>
      </c>
      <c r="B290" t="s">
        <v>1218</v>
      </c>
      <c r="C290" t="s">
        <v>21</v>
      </c>
      <c r="D290" t="s">
        <v>1218</v>
      </c>
      <c r="E290" t="s">
        <v>1219</v>
      </c>
      <c r="F290" t="s">
        <v>1220</v>
      </c>
      <c r="G290" t="s">
        <v>24</v>
      </c>
      <c r="H290" t="s">
        <v>1221</v>
      </c>
      <c r="I290" t="s">
        <v>46</v>
      </c>
      <c r="L290" t="s">
        <v>317</v>
      </c>
      <c r="Q290" t="s">
        <v>48</v>
      </c>
    </row>
    <row r="291" spans="1:17" hidden="1" x14ac:dyDescent="0.25">
      <c r="A291" t="s">
        <v>33</v>
      </c>
      <c r="B291" t="s">
        <v>1222</v>
      </c>
      <c r="C291" t="s">
        <v>21</v>
      </c>
      <c r="D291" t="s">
        <v>1222</v>
      </c>
      <c r="E291" t="s">
        <v>1223</v>
      </c>
      <c r="F291" t="s">
        <v>1224</v>
      </c>
      <c r="G291" t="s">
        <v>24</v>
      </c>
      <c r="H291" t="s">
        <v>1225</v>
      </c>
      <c r="I291" t="s">
        <v>46</v>
      </c>
      <c r="L291" t="s">
        <v>108</v>
      </c>
      <c r="Q291" t="s">
        <v>48</v>
      </c>
    </row>
    <row r="292" spans="1:17" hidden="1" x14ac:dyDescent="0.25">
      <c r="A292" t="s">
        <v>33</v>
      </c>
      <c r="B292" t="s">
        <v>1226</v>
      </c>
      <c r="C292" t="s">
        <v>21</v>
      </c>
      <c r="D292" t="s">
        <v>1226</v>
      </c>
      <c r="E292" t="s">
        <v>1227</v>
      </c>
      <c r="F292" t="s">
        <v>1228</v>
      </c>
      <c r="G292" t="s">
        <v>24</v>
      </c>
      <c r="H292" t="s">
        <v>1229</v>
      </c>
      <c r="I292" t="s">
        <v>46</v>
      </c>
      <c r="L292" t="s">
        <v>1230</v>
      </c>
      <c r="Q292" t="s">
        <v>48</v>
      </c>
    </row>
    <row r="293" spans="1:17" x14ac:dyDescent="0.25">
      <c r="A293" t="s">
        <v>33</v>
      </c>
      <c r="B293" t="s">
        <v>1231</v>
      </c>
      <c r="C293" t="s">
        <v>21</v>
      </c>
      <c r="D293" t="s">
        <v>1231</v>
      </c>
      <c r="E293" t="s">
        <v>294</v>
      </c>
      <c r="F293" t="s">
        <v>1232</v>
      </c>
      <c r="G293" t="s">
        <v>24</v>
      </c>
      <c r="H293" t="s">
        <v>1233</v>
      </c>
      <c r="I293" t="s">
        <v>1234</v>
      </c>
      <c r="L293" t="s">
        <v>148</v>
      </c>
      <c r="Q293" t="s">
        <v>1235</v>
      </c>
    </row>
    <row r="294" spans="1:17" hidden="1" x14ac:dyDescent="0.25">
      <c r="A294" t="s">
        <v>33</v>
      </c>
      <c r="B294" t="s">
        <v>1236</v>
      </c>
      <c r="C294" t="s">
        <v>21</v>
      </c>
      <c r="D294" t="s">
        <v>1236</v>
      </c>
      <c r="E294" t="s">
        <v>1237</v>
      </c>
      <c r="F294" t="s">
        <v>1238</v>
      </c>
      <c r="G294" t="s">
        <v>24</v>
      </c>
      <c r="H294" t="s">
        <v>1239</v>
      </c>
      <c r="I294" t="s">
        <v>46</v>
      </c>
      <c r="L294" t="s">
        <v>484</v>
      </c>
      <c r="Q294" t="s">
        <v>48</v>
      </c>
    </row>
    <row r="295" spans="1:17" hidden="1" x14ac:dyDescent="0.25">
      <c r="A295" t="s">
        <v>33</v>
      </c>
      <c r="B295" t="s">
        <v>1240</v>
      </c>
      <c r="C295" t="s">
        <v>21</v>
      </c>
      <c r="D295" t="s">
        <v>1241</v>
      </c>
      <c r="E295" t="s">
        <v>1242</v>
      </c>
      <c r="F295" t="s">
        <v>1243</v>
      </c>
      <c r="G295" t="s">
        <v>24</v>
      </c>
      <c r="H295" t="s">
        <v>1244</v>
      </c>
      <c r="I295" t="s">
        <v>46</v>
      </c>
      <c r="L295" t="s">
        <v>181</v>
      </c>
      <c r="Q295" t="s">
        <v>48</v>
      </c>
    </row>
    <row r="296" spans="1:17" hidden="1" x14ac:dyDescent="0.25">
      <c r="A296" t="s">
        <v>33</v>
      </c>
      <c r="B296" t="s">
        <v>1245</v>
      </c>
      <c r="C296" t="s">
        <v>21</v>
      </c>
      <c r="D296" t="s">
        <v>1245</v>
      </c>
      <c r="E296" t="s">
        <v>1246</v>
      </c>
      <c r="F296" t="s">
        <v>1247</v>
      </c>
      <c r="G296" t="s">
        <v>24</v>
      </c>
      <c r="H296" t="s">
        <v>1248</v>
      </c>
      <c r="I296" t="s">
        <v>46</v>
      </c>
      <c r="L296" t="s">
        <v>994</v>
      </c>
      <c r="Q296" t="s">
        <v>48</v>
      </c>
    </row>
    <row r="297" spans="1:17" hidden="1" x14ac:dyDescent="0.25">
      <c r="A297" t="s">
        <v>33</v>
      </c>
      <c r="B297" t="s">
        <v>1249</v>
      </c>
      <c r="C297" t="s">
        <v>21</v>
      </c>
      <c r="D297" t="s">
        <v>1249</v>
      </c>
      <c r="E297" t="s">
        <v>864</v>
      </c>
      <c r="F297" t="s">
        <v>1250</v>
      </c>
      <c r="G297" t="s">
        <v>24</v>
      </c>
      <c r="H297" t="s">
        <v>1251</v>
      </c>
      <c r="I297" t="s">
        <v>46</v>
      </c>
      <c r="L297" t="s">
        <v>1252</v>
      </c>
      <c r="Q297" t="s">
        <v>48</v>
      </c>
    </row>
    <row r="298" spans="1:17" hidden="1" x14ac:dyDescent="0.25">
      <c r="A298" t="s">
        <v>33</v>
      </c>
      <c r="B298" t="s">
        <v>1253</v>
      </c>
      <c r="C298" t="s">
        <v>21</v>
      </c>
      <c r="D298" t="s">
        <v>1253</v>
      </c>
      <c r="E298" t="s">
        <v>1254</v>
      </c>
      <c r="F298" t="s">
        <v>1255</v>
      </c>
      <c r="G298" t="s">
        <v>24</v>
      </c>
      <c r="H298" t="s">
        <v>1256</v>
      </c>
      <c r="I298" t="s">
        <v>46</v>
      </c>
      <c r="L298" t="s">
        <v>207</v>
      </c>
      <c r="Q298" t="s">
        <v>48</v>
      </c>
    </row>
    <row r="299" spans="1:17" hidden="1" x14ac:dyDescent="0.25">
      <c r="A299" t="s">
        <v>33</v>
      </c>
      <c r="B299" t="s">
        <v>1257</v>
      </c>
      <c r="C299" t="s">
        <v>21</v>
      </c>
      <c r="D299" t="s">
        <v>1257</v>
      </c>
      <c r="E299" t="s">
        <v>159</v>
      </c>
      <c r="F299" t="s">
        <v>1258</v>
      </c>
      <c r="G299" t="s">
        <v>24</v>
      </c>
      <c r="H299" t="s">
        <v>1259</v>
      </c>
      <c r="I299" t="s">
        <v>46</v>
      </c>
      <c r="L299" t="s">
        <v>47</v>
      </c>
      <c r="Q299" t="s">
        <v>48</v>
      </c>
    </row>
    <row r="300" spans="1:17" hidden="1" x14ac:dyDescent="0.25">
      <c r="A300" t="s">
        <v>33</v>
      </c>
      <c r="B300" t="s">
        <v>1260</v>
      </c>
      <c r="C300" t="s">
        <v>21</v>
      </c>
      <c r="D300" t="s">
        <v>1260</v>
      </c>
      <c r="E300" t="s">
        <v>342</v>
      </c>
      <c r="F300" t="s">
        <v>1261</v>
      </c>
      <c r="G300" t="s">
        <v>24</v>
      </c>
      <c r="H300" t="s">
        <v>1262</v>
      </c>
      <c r="I300" t="s">
        <v>46</v>
      </c>
      <c r="L300" t="s">
        <v>74</v>
      </c>
      <c r="Q300" t="s">
        <v>48</v>
      </c>
    </row>
    <row r="301" spans="1:17" hidden="1" x14ac:dyDescent="0.25">
      <c r="A301" t="s">
        <v>33</v>
      </c>
      <c r="B301" t="s">
        <v>1263</v>
      </c>
      <c r="C301" t="s">
        <v>21</v>
      </c>
      <c r="D301" t="s">
        <v>1263</v>
      </c>
      <c r="E301" t="s">
        <v>22</v>
      </c>
      <c r="F301" t="s">
        <v>1264</v>
      </c>
      <c r="G301" t="s">
        <v>24</v>
      </c>
      <c r="H301" t="s">
        <v>1265</v>
      </c>
      <c r="I301" t="s">
        <v>73</v>
      </c>
      <c r="L301" t="s">
        <v>1266</v>
      </c>
      <c r="Q301" t="s">
        <v>75</v>
      </c>
    </row>
    <row r="302" spans="1:17" hidden="1" x14ac:dyDescent="0.25">
      <c r="A302" t="s">
        <v>33</v>
      </c>
      <c r="B302" t="s">
        <v>1267</v>
      </c>
      <c r="C302" t="s">
        <v>21</v>
      </c>
      <c r="D302" t="s">
        <v>1268</v>
      </c>
      <c r="E302" t="s">
        <v>1015</v>
      </c>
      <c r="F302" t="s">
        <v>1269</v>
      </c>
      <c r="G302" t="s">
        <v>24</v>
      </c>
      <c r="H302" t="s">
        <v>1270</v>
      </c>
      <c r="L302" t="s">
        <v>986</v>
      </c>
    </row>
    <row r="303" spans="1:17" hidden="1" x14ac:dyDescent="0.25">
      <c r="A303" t="s">
        <v>33</v>
      </c>
      <c r="B303" t="s">
        <v>1271</v>
      </c>
      <c r="C303" t="s">
        <v>21</v>
      </c>
      <c r="D303" t="s">
        <v>1271</v>
      </c>
      <c r="E303" t="s">
        <v>324</v>
      </c>
      <c r="F303" t="s">
        <v>1272</v>
      </c>
      <c r="G303" t="s">
        <v>24</v>
      </c>
      <c r="H303" t="s">
        <v>1273</v>
      </c>
      <c r="I303" t="s">
        <v>46</v>
      </c>
      <c r="L303" t="s">
        <v>53</v>
      </c>
      <c r="Q303" t="s">
        <v>48</v>
      </c>
    </row>
    <row r="304" spans="1:17" hidden="1" x14ac:dyDescent="0.25">
      <c r="A304" t="s">
        <v>33</v>
      </c>
      <c r="B304" t="s">
        <v>1274</v>
      </c>
      <c r="C304" t="s">
        <v>21</v>
      </c>
      <c r="D304" t="s">
        <v>1274</v>
      </c>
      <c r="E304" t="s">
        <v>1275</v>
      </c>
      <c r="F304" t="s">
        <v>1276</v>
      </c>
      <c r="G304" t="s">
        <v>24</v>
      </c>
      <c r="H304" t="s">
        <v>1277</v>
      </c>
      <c r="L304" t="s">
        <v>479</v>
      </c>
    </row>
    <row r="305" spans="1:17" hidden="1" x14ac:dyDescent="0.25">
      <c r="A305" t="s">
        <v>33</v>
      </c>
      <c r="B305" t="s">
        <v>1278</v>
      </c>
      <c r="C305" t="s">
        <v>21</v>
      </c>
      <c r="D305" t="s">
        <v>1278</v>
      </c>
      <c r="E305" t="s">
        <v>1279</v>
      </c>
      <c r="F305" t="s">
        <v>1280</v>
      </c>
      <c r="G305" t="s">
        <v>24</v>
      </c>
      <c r="H305" t="s">
        <v>1281</v>
      </c>
      <c r="L305" t="s">
        <v>80</v>
      </c>
    </row>
    <row r="306" spans="1:17" hidden="1" x14ac:dyDescent="0.25">
      <c r="A306" t="s">
        <v>33</v>
      </c>
      <c r="B306" t="s">
        <v>1282</v>
      </c>
      <c r="C306" t="s">
        <v>21</v>
      </c>
      <c r="D306" t="s">
        <v>1282</v>
      </c>
      <c r="E306" t="s">
        <v>1283</v>
      </c>
      <c r="F306" t="s">
        <v>1284</v>
      </c>
      <c r="G306" t="s">
        <v>24</v>
      </c>
      <c r="H306" t="s">
        <v>1285</v>
      </c>
      <c r="I306" t="s">
        <v>46</v>
      </c>
      <c r="L306" t="s">
        <v>53</v>
      </c>
      <c r="Q306" t="s">
        <v>48</v>
      </c>
    </row>
    <row r="307" spans="1:17" hidden="1" x14ac:dyDescent="0.25">
      <c r="A307" t="s">
        <v>33</v>
      </c>
      <c r="B307" t="s">
        <v>1286</v>
      </c>
      <c r="C307" t="s">
        <v>21</v>
      </c>
      <c r="D307" t="s">
        <v>1286</v>
      </c>
      <c r="E307" t="s">
        <v>796</v>
      </c>
      <c r="F307" t="s">
        <v>1287</v>
      </c>
      <c r="G307" t="s">
        <v>24</v>
      </c>
      <c r="H307" t="s">
        <v>1288</v>
      </c>
      <c r="I307" t="s">
        <v>73</v>
      </c>
      <c r="L307" t="s">
        <v>1135</v>
      </c>
      <c r="Q307" t="s">
        <v>75</v>
      </c>
    </row>
    <row r="308" spans="1:17" hidden="1" x14ac:dyDescent="0.25">
      <c r="A308" t="s">
        <v>33</v>
      </c>
      <c r="B308" t="s">
        <v>1289</v>
      </c>
      <c r="C308" t="s">
        <v>21</v>
      </c>
      <c r="D308" t="s">
        <v>1289</v>
      </c>
      <c r="E308" t="s">
        <v>1290</v>
      </c>
      <c r="F308" t="s">
        <v>1291</v>
      </c>
      <c r="G308" t="s">
        <v>24</v>
      </c>
      <c r="H308" s="1" t="s">
        <v>1292</v>
      </c>
      <c r="I308" t="s">
        <v>46</v>
      </c>
      <c r="L308" t="s">
        <v>1293</v>
      </c>
      <c r="Q308" t="s">
        <v>48</v>
      </c>
    </row>
    <row r="309" spans="1:17" hidden="1" x14ac:dyDescent="0.25">
      <c r="A309" t="s">
        <v>33</v>
      </c>
      <c r="B309" t="s">
        <v>1294</v>
      </c>
      <c r="C309" t="s">
        <v>21</v>
      </c>
      <c r="D309" t="s">
        <v>1294</v>
      </c>
      <c r="E309" t="s">
        <v>1295</v>
      </c>
      <c r="F309" t="s">
        <v>1296</v>
      </c>
      <c r="G309" t="s">
        <v>24</v>
      </c>
      <c r="H309" s="1" t="s">
        <v>1297</v>
      </c>
      <c r="I309" t="s">
        <v>46</v>
      </c>
      <c r="L309" t="s">
        <v>1298</v>
      </c>
      <c r="Q309" t="s">
        <v>48</v>
      </c>
    </row>
    <row r="310" spans="1:17" hidden="1" x14ac:dyDescent="0.25">
      <c r="A310" t="s">
        <v>33</v>
      </c>
      <c r="B310" t="s">
        <v>1299</v>
      </c>
      <c r="C310" t="s">
        <v>21</v>
      </c>
      <c r="D310" t="s">
        <v>1299</v>
      </c>
      <c r="E310" t="s">
        <v>1300</v>
      </c>
      <c r="F310" t="s">
        <v>1301</v>
      </c>
      <c r="G310" t="s">
        <v>24</v>
      </c>
      <c r="H310" t="s">
        <v>1302</v>
      </c>
      <c r="L310" t="s">
        <v>327</v>
      </c>
    </row>
    <row r="311" spans="1:17" hidden="1" x14ac:dyDescent="0.25">
      <c r="A311" t="s">
        <v>33</v>
      </c>
      <c r="B311" t="s">
        <v>1303</v>
      </c>
      <c r="C311" t="s">
        <v>21</v>
      </c>
      <c r="D311" t="s">
        <v>1303</v>
      </c>
      <c r="E311" t="s">
        <v>135</v>
      </c>
      <c r="F311" t="s">
        <v>1304</v>
      </c>
      <c r="G311" t="s">
        <v>24</v>
      </c>
      <c r="H311" t="s">
        <v>1305</v>
      </c>
      <c r="L311" t="s">
        <v>181</v>
      </c>
    </row>
    <row r="312" spans="1:17" hidden="1" x14ac:dyDescent="0.25">
      <c r="A312" t="s">
        <v>33</v>
      </c>
      <c r="B312" t="s">
        <v>1306</v>
      </c>
      <c r="C312" t="s">
        <v>21</v>
      </c>
      <c r="D312" t="s">
        <v>1306</v>
      </c>
      <c r="E312" t="s">
        <v>1307</v>
      </c>
      <c r="F312" t="s">
        <v>1308</v>
      </c>
      <c r="G312" t="s">
        <v>24</v>
      </c>
      <c r="H312" t="s">
        <v>1309</v>
      </c>
      <c r="L312" t="s">
        <v>38</v>
      </c>
    </row>
    <row r="313" spans="1:17" hidden="1" x14ac:dyDescent="0.25">
      <c r="A313" t="s">
        <v>33</v>
      </c>
      <c r="B313" t="s">
        <v>1310</v>
      </c>
      <c r="C313" t="s">
        <v>21</v>
      </c>
      <c r="D313" t="s">
        <v>1310</v>
      </c>
      <c r="E313" t="s">
        <v>1311</v>
      </c>
      <c r="F313" t="s">
        <v>1312</v>
      </c>
      <c r="G313" t="s">
        <v>24</v>
      </c>
      <c r="H313" t="s">
        <v>1313</v>
      </c>
      <c r="I313" t="s">
        <v>46</v>
      </c>
      <c r="L313" t="s">
        <v>964</v>
      </c>
      <c r="Q313" t="s">
        <v>48</v>
      </c>
    </row>
    <row r="314" spans="1:17" hidden="1" x14ac:dyDescent="0.25">
      <c r="A314" t="s">
        <v>33</v>
      </c>
      <c r="B314" t="s">
        <v>1314</v>
      </c>
      <c r="C314" t="s">
        <v>29</v>
      </c>
      <c r="D314" t="s">
        <v>1314</v>
      </c>
      <c r="E314" t="s">
        <v>1315</v>
      </c>
      <c r="F314" t="s">
        <v>1316</v>
      </c>
      <c r="G314" t="s">
        <v>24</v>
      </c>
      <c r="H314" t="s">
        <v>1317</v>
      </c>
      <c r="I314" t="s">
        <v>46</v>
      </c>
      <c r="L314" t="s">
        <v>397</v>
      </c>
      <c r="Q314" t="s">
        <v>48</v>
      </c>
    </row>
    <row r="315" spans="1:17" hidden="1" x14ac:dyDescent="0.25">
      <c r="A315" t="s">
        <v>33</v>
      </c>
      <c r="B315" t="s">
        <v>1318</v>
      </c>
      <c r="C315" t="s">
        <v>21</v>
      </c>
      <c r="D315" t="s">
        <v>1318</v>
      </c>
      <c r="E315" t="s">
        <v>1319</v>
      </c>
      <c r="F315" t="s">
        <v>78</v>
      </c>
      <c r="G315" t="s">
        <v>24</v>
      </c>
      <c r="H315" s="1" t="s">
        <v>1320</v>
      </c>
      <c r="I315" t="s">
        <v>46</v>
      </c>
      <c r="L315" t="s">
        <v>1061</v>
      </c>
      <c r="Q315" t="s">
        <v>48</v>
      </c>
    </row>
    <row r="316" spans="1:17" hidden="1" x14ac:dyDescent="0.25">
      <c r="A316" t="s">
        <v>33</v>
      </c>
      <c r="B316" t="s">
        <v>1321</v>
      </c>
      <c r="C316" t="s">
        <v>21</v>
      </c>
      <c r="D316" t="s">
        <v>1321</v>
      </c>
      <c r="E316" t="s">
        <v>1068</v>
      </c>
      <c r="F316" t="s">
        <v>1322</v>
      </c>
      <c r="G316" t="s">
        <v>24</v>
      </c>
      <c r="H316" t="s">
        <v>1323</v>
      </c>
      <c r="I316" t="s">
        <v>73</v>
      </c>
      <c r="L316" t="s">
        <v>47</v>
      </c>
      <c r="Q316" t="s">
        <v>75</v>
      </c>
    </row>
    <row r="317" spans="1:17" hidden="1" x14ac:dyDescent="0.25">
      <c r="A317" t="s">
        <v>33</v>
      </c>
      <c r="B317" t="s">
        <v>1324</v>
      </c>
      <c r="C317" t="s">
        <v>29</v>
      </c>
      <c r="D317" t="s">
        <v>1324</v>
      </c>
      <c r="E317" t="s">
        <v>1325</v>
      </c>
      <c r="F317" t="s">
        <v>1326</v>
      </c>
      <c r="G317" t="s">
        <v>24</v>
      </c>
      <c r="H317" s="1" t="s">
        <v>1327</v>
      </c>
      <c r="I317" t="s">
        <v>46</v>
      </c>
      <c r="L317" t="s">
        <v>601</v>
      </c>
      <c r="Q317" t="s">
        <v>48</v>
      </c>
    </row>
    <row r="318" spans="1:17" hidden="1" x14ac:dyDescent="0.25">
      <c r="A318" t="s">
        <v>33</v>
      </c>
      <c r="B318" t="s">
        <v>1328</v>
      </c>
      <c r="C318" t="s">
        <v>29</v>
      </c>
      <c r="D318" t="s">
        <v>1328</v>
      </c>
      <c r="E318" t="s">
        <v>979</v>
      </c>
      <c r="F318" t="s">
        <v>1329</v>
      </c>
      <c r="G318" t="s">
        <v>24</v>
      </c>
      <c r="H318" t="s">
        <v>1330</v>
      </c>
      <c r="I318" t="s">
        <v>46</v>
      </c>
      <c r="L318" t="s">
        <v>1331</v>
      </c>
      <c r="Q318" t="s">
        <v>48</v>
      </c>
    </row>
    <row r="319" spans="1:17" hidden="1" x14ac:dyDescent="0.25">
      <c r="A319" t="s">
        <v>33</v>
      </c>
      <c r="B319" t="s">
        <v>1332</v>
      </c>
      <c r="C319" t="s">
        <v>29</v>
      </c>
      <c r="D319" t="s">
        <v>1332</v>
      </c>
      <c r="E319" t="s">
        <v>363</v>
      </c>
      <c r="F319" t="s">
        <v>237</v>
      </c>
      <c r="G319" t="s">
        <v>24</v>
      </c>
      <c r="H319" t="s">
        <v>1333</v>
      </c>
      <c r="L319" t="s">
        <v>511</v>
      </c>
    </row>
    <row r="320" spans="1:17" hidden="1" x14ac:dyDescent="0.25">
      <c r="A320" t="s">
        <v>33</v>
      </c>
      <c r="B320" t="s">
        <v>1334</v>
      </c>
      <c r="C320" t="s">
        <v>21</v>
      </c>
      <c r="D320" t="s">
        <v>1334</v>
      </c>
      <c r="E320" t="s">
        <v>126</v>
      </c>
      <c r="F320" t="s">
        <v>1335</v>
      </c>
      <c r="G320" t="s">
        <v>24</v>
      </c>
      <c r="H320" t="s">
        <v>1336</v>
      </c>
      <c r="I320" t="s">
        <v>46</v>
      </c>
      <c r="L320" t="s">
        <v>185</v>
      </c>
      <c r="Q320" t="s">
        <v>48</v>
      </c>
    </row>
    <row r="321" spans="1:17" hidden="1" x14ac:dyDescent="0.25">
      <c r="A321" t="s">
        <v>33</v>
      </c>
      <c r="B321" t="s">
        <v>1337</v>
      </c>
      <c r="C321" t="s">
        <v>21</v>
      </c>
      <c r="D321" t="s">
        <v>1337</v>
      </c>
      <c r="E321" t="s">
        <v>187</v>
      </c>
      <c r="F321" t="s">
        <v>1338</v>
      </c>
      <c r="G321" t="s">
        <v>24</v>
      </c>
      <c r="H321" t="s">
        <v>1339</v>
      </c>
      <c r="I321" t="s">
        <v>46</v>
      </c>
      <c r="L321" t="s">
        <v>38</v>
      </c>
      <c r="Q321" t="s">
        <v>48</v>
      </c>
    </row>
    <row r="322" spans="1:17" hidden="1" x14ac:dyDescent="0.25">
      <c r="A322" t="s">
        <v>33</v>
      </c>
      <c r="B322" t="s">
        <v>1340</v>
      </c>
      <c r="C322" t="s">
        <v>21</v>
      </c>
      <c r="D322" t="s">
        <v>1341</v>
      </c>
      <c r="E322" t="s">
        <v>22</v>
      </c>
      <c r="F322" t="s">
        <v>1342</v>
      </c>
      <c r="G322" t="s">
        <v>24</v>
      </c>
      <c r="H322" t="s">
        <v>1343</v>
      </c>
      <c r="L322" t="s">
        <v>914</v>
      </c>
    </row>
    <row r="323" spans="1:17" hidden="1" x14ac:dyDescent="0.25">
      <c r="A323" t="s">
        <v>33</v>
      </c>
      <c r="B323" t="s">
        <v>1344</v>
      </c>
      <c r="C323" t="s">
        <v>21</v>
      </c>
      <c r="D323" t="s">
        <v>1344</v>
      </c>
      <c r="E323" t="s">
        <v>1345</v>
      </c>
      <c r="F323" t="s">
        <v>1346</v>
      </c>
      <c r="G323" t="s">
        <v>24</v>
      </c>
      <c r="H323" t="s">
        <v>1347</v>
      </c>
      <c r="L323" t="s">
        <v>90</v>
      </c>
    </row>
    <row r="324" spans="1:17" hidden="1" x14ac:dyDescent="0.25">
      <c r="A324" t="s">
        <v>33</v>
      </c>
      <c r="B324" t="s">
        <v>1348</v>
      </c>
      <c r="C324" t="s">
        <v>21</v>
      </c>
      <c r="D324" t="s">
        <v>1349</v>
      </c>
      <c r="E324" t="s">
        <v>400</v>
      </c>
      <c r="F324" t="s">
        <v>1350</v>
      </c>
      <c r="G324" t="s">
        <v>24</v>
      </c>
      <c r="H324" t="s">
        <v>1351</v>
      </c>
      <c r="I324" t="s">
        <v>46</v>
      </c>
      <c r="L324" t="s">
        <v>181</v>
      </c>
      <c r="Q324" t="s">
        <v>48</v>
      </c>
    </row>
    <row r="325" spans="1:17" hidden="1" x14ac:dyDescent="0.25">
      <c r="A325" t="s">
        <v>33</v>
      </c>
      <c r="B325" t="s">
        <v>1352</v>
      </c>
      <c r="C325" t="s">
        <v>21</v>
      </c>
      <c r="D325" t="s">
        <v>1352</v>
      </c>
      <c r="E325" t="s">
        <v>1353</v>
      </c>
      <c r="F325" t="s">
        <v>1354</v>
      </c>
      <c r="G325" t="s">
        <v>24</v>
      </c>
      <c r="H325" t="s">
        <v>1355</v>
      </c>
      <c r="I325" t="s">
        <v>46</v>
      </c>
      <c r="L325" t="s">
        <v>138</v>
      </c>
      <c r="Q325" t="s">
        <v>48</v>
      </c>
    </row>
    <row r="326" spans="1:17" hidden="1" x14ac:dyDescent="0.25">
      <c r="A326" t="s">
        <v>33</v>
      </c>
      <c r="B326" t="s">
        <v>1356</v>
      </c>
      <c r="C326" t="s">
        <v>21</v>
      </c>
      <c r="D326" t="s">
        <v>1356</v>
      </c>
      <c r="E326" t="s">
        <v>1357</v>
      </c>
      <c r="F326" t="s">
        <v>1358</v>
      </c>
      <c r="G326" t="s">
        <v>24</v>
      </c>
      <c r="H326" t="s">
        <v>1359</v>
      </c>
      <c r="I326" t="s">
        <v>46</v>
      </c>
      <c r="L326" t="s">
        <v>138</v>
      </c>
      <c r="Q326" t="s">
        <v>48</v>
      </c>
    </row>
    <row r="327" spans="1:17" hidden="1" x14ac:dyDescent="0.25">
      <c r="A327" t="s">
        <v>33</v>
      </c>
      <c r="B327" t="s">
        <v>1360</v>
      </c>
      <c r="C327" t="s">
        <v>21</v>
      </c>
      <c r="D327" t="s">
        <v>1361</v>
      </c>
      <c r="E327" t="s">
        <v>1362</v>
      </c>
      <c r="F327" t="s">
        <v>1363</v>
      </c>
      <c r="G327" t="s">
        <v>24</v>
      </c>
      <c r="H327" t="s">
        <v>1364</v>
      </c>
      <c r="I327" t="s">
        <v>46</v>
      </c>
      <c r="L327" t="s">
        <v>181</v>
      </c>
      <c r="Q327" t="s">
        <v>48</v>
      </c>
    </row>
    <row r="328" spans="1:17" hidden="1" x14ac:dyDescent="0.25">
      <c r="A328" t="s">
        <v>33</v>
      </c>
      <c r="B328" t="s">
        <v>1365</v>
      </c>
      <c r="C328" t="s">
        <v>21</v>
      </c>
      <c r="D328" t="s">
        <v>1366</v>
      </c>
      <c r="E328" t="s">
        <v>894</v>
      </c>
      <c r="F328" t="s">
        <v>1367</v>
      </c>
      <c r="G328" t="s">
        <v>24</v>
      </c>
      <c r="H328" t="s">
        <v>1368</v>
      </c>
      <c r="I328" t="s">
        <v>46</v>
      </c>
      <c r="L328" t="s">
        <v>181</v>
      </c>
      <c r="Q328" t="s">
        <v>48</v>
      </c>
    </row>
    <row r="329" spans="1:17" hidden="1" x14ac:dyDescent="0.25">
      <c r="A329" t="s">
        <v>33</v>
      </c>
      <c r="B329" t="s">
        <v>1369</v>
      </c>
      <c r="C329" t="s">
        <v>21</v>
      </c>
      <c r="D329" t="s">
        <v>1370</v>
      </c>
      <c r="E329" t="s">
        <v>1048</v>
      </c>
      <c r="F329" t="s">
        <v>1371</v>
      </c>
      <c r="G329" t="s">
        <v>24</v>
      </c>
      <c r="H329" s="1" t="s">
        <v>1372</v>
      </c>
      <c r="L329" t="s">
        <v>181</v>
      </c>
    </row>
    <row r="330" spans="1:17" hidden="1" x14ac:dyDescent="0.25">
      <c r="A330" t="s">
        <v>33</v>
      </c>
      <c r="B330" t="s">
        <v>1373</v>
      </c>
      <c r="C330" t="s">
        <v>21</v>
      </c>
      <c r="D330" t="s">
        <v>1374</v>
      </c>
      <c r="E330" t="s">
        <v>1375</v>
      </c>
      <c r="F330" t="s">
        <v>1376</v>
      </c>
      <c r="G330" t="s">
        <v>24</v>
      </c>
      <c r="H330" t="s">
        <v>1377</v>
      </c>
      <c r="I330" t="s">
        <v>46</v>
      </c>
      <c r="L330" t="s">
        <v>181</v>
      </c>
      <c r="Q330" t="s">
        <v>48</v>
      </c>
    </row>
    <row r="331" spans="1:17" hidden="1" x14ac:dyDescent="0.25">
      <c r="A331" t="s">
        <v>33</v>
      </c>
      <c r="B331" t="s">
        <v>1378</v>
      </c>
      <c r="C331" t="s">
        <v>21</v>
      </c>
      <c r="D331" t="s">
        <v>1378</v>
      </c>
      <c r="E331" t="s">
        <v>519</v>
      </c>
      <c r="F331" t="s">
        <v>1379</v>
      </c>
      <c r="G331" t="s">
        <v>24</v>
      </c>
      <c r="H331" t="s">
        <v>1380</v>
      </c>
      <c r="I331" t="s">
        <v>96</v>
      </c>
      <c r="L331" t="s">
        <v>1381</v>
      </c>
      <c r="Q331" t="s">
        <v>98</v>
      </c>
    </row>
    <row r="332" spans="1:17" hidden="1" x14ac:dyDescent="0.25">
      <c r="A332" t="s">
        <v>33</v>
      </c>
      <c r="B332" t="s">
        <v>1382</v>
      </c>
      <c r="C332" t="s">
        <v>21</v>
      </c>
      <c r="D332" t="s">
        <v>1382</v>
      </c>
      <c r="E332" t="s">
        <v>1383</v>
      </c>
      <c r="F332" t="s">
        <v>1384</v>
      </c>
      <c r="G332" t="s">
        <v>24</v>
      </c>
      <c r="H332" t="s">
        <v>1385</v>
      </c>
      <c r="I332" t="s">
        <v>46</v>
      </c>
      <c r="L332" t="s">
        <v>601</v>
      </c>
      <c r="Q332" t="s">
        <v>48</v>
      </c>
    </row>
    <row r="333" spans="1:17" hidden="1" x14ac:dyDescent="0.25">
      <c r="A333" t="s">
        <v>33</v>
      </c>
      <c r="B333" t="s">
        <v>1386</v>
      </c>
      <c r="C333" t="s">
        <v>29</v>
      </c>
      <c r="D333" t="s">
        <v>1386</v>
      </c>
      <c r="E333" t="s">
        <v>35</v>
      </c>
      <c r="F333" t="s">
        <v>1387</v>
      </c>
      <c r="G333" t="s">
        <v>24</v>
      </c>
      <c r="H333" s="1" t="s">
        <v>1388</v>
      </c>
      <c r="I333" t="s">
        <v>46</v>
      </c>
      <c r="L333" t="s">
        <v>1389</v>
      </c>
      <c r="Q333" t="s">
        <v>48</v>
      </c>
    </row>
    <row r="334" spans="1:17" hidden="1" x14ac:dyDescent="0.25">
      <c r="A334" t="s">
        <v>33</v>
      </c>
      <c r="B334" t="s">
        <v>1390</v>
      </c>
      <c r="C334" t="s">
        <v>21</v>
      </c>
      <c r="D334" t="s">
        <v>1390</v>
      </c>
      <c r="E334" t="s">
        <v>606</v>
      </c>
      <c r="F334" t="s">
        <v>417</v>
      </c>
      <c r="G334" t="s">
        <v>24</v>
      </c>
      <c r="H334" t="s">
        <v>1391</v>
      </c>
      <c r="I334" t="s">
        <v>46</v>
      </c>
      <c r="L334" t="s">
        <v>181</v>
      </c>
      <c r="Q334" t="s">
        <v>48</v>
      </c>
    </row>
    <row r="335" spans="1:17" hidden="1" x14ac:dyDescent="0.25">
      <c r="A335" t="s">
        <v>33</v>
      </c>
      <c r="B335" t="s">
        <v>1392</v>
      </c>
      <c r="C335" t="s">
        <v>21</v>
      </c>
      <c r="D335" t="s">
        <v>1392</v>
      </c>
      <c r="E335" t="s">
        <v>1393</v>
      </c>
      <c r="F335" t="s">
        <v>899</v>
      </c>
      <c r="G335" t="s">
        <v>24</v>
      </c>
      <c r="H335" s="1" t="s">
        <v>1394</v>
      </c>
      <c r="I335" t="s">
        <v>46</v>
      </c>
      <c r="L335" t="s">
        <v>803</v>
      </c>
      <c r="Q335" t="s">
        <v>48</v>
      </c>
    </row>
    <row r="336" spans="1:17" hidden="1" x14ac:dyDescent="0.25">
      <c r="A336" t="s">
        <v>33</v>
      </c>
      <c r="B336" t="s">
        <v>1395</v>
      </c>
      <c r="C336" t="s">
        <v>21</v>
      </c>
      <c r="D336" t="s">
        <v>1396</v>
      </c>
      <c r="E336" t="s">
        <v>464</v>
      </c>
      <c r="F336" t="s">
        <v>1397</v>
      </c>
      <c r="G336" t="s">
        <v>24</v>
      </c>
      <c r="H336" t="s">
        <v>1398</v>
      </c>
      <c r="I336" t="s">
        <v>73</v>
      </c>
      <c r="L336" t="s">
        <v>914</v>
      </c>
      <c r="Q336" t="s">
        <v>75</v>
      </c>
    </row>
    <row r="337" spans="1:17" hidden="1" x14ac:dyDescent="0.25">
      <c r="A337" t="s">
        <v>33</v>
      </c>
      <c r="B337" t="s">
        <v>1399</v>
      </c>
      <c r="C337" t="s">
        <v>21</v>
      </c>
      <c r="D337" t="s">
        <v>1399</v>
      </c>
      <c r="E337" t="s">
        <v>178</v>
      </c>
      <c r="F337" t="s">
        <v>1400</v>
      </c>
      <c r="G337" t="s">
        <v>24</v>
      </c>
      <c r="H337" t="s">
        <v>1401</v>
      </c>
      <c r="L337" t="s">
        <v>1402</v>
      </c>
    </row>
    <row r="338" spans="1:17" hidden="1" x14ac:dyDescent="0.25">
      <c r="A338" t="s">
        <v>33</v>
      </c>
      <c r="B338" t="s">
        <v>1403</v>
      </c>
      <c r="C338" t="s">
        <v>21</v>
      </c>
      <c r="D338" t="s">
        <v>1403</v>
      </c>
      <c r="E338" t="s">
        <v>1404</v>
      </c>
      <c r="F338" t="s">
        <v>1405</v>
      </c>
      <c r="G338" t="s">
        <v>24</v>
      </c>
      <c r="H338" t="s">
        <v>1406</v>
      </c>
      <c r="L338" t="s">
        <v>670</v>
      </c>
    </row>
    <row r="339" spans="1:17" hidden="1" x14ac:dyDescent="0.25">
      <c r="A339" t="s">
        <v>33</v>
      </c>
      <c r="B339" t="s">
        <v>1407</v>
      </c>
      <c r="C339" t="s">
        <v>21</v>
      </c>
      <c r="D339" t="s">
        <v>1407</v>
      </c>
      <c r="E339" t="s">
        <v>1408</v>
      </c>
      <c r="F339" t="s">
        <v>1409</v>
      </c>
      <c r="G339" t="s">
        <v>24</v>
      </c>
      <c r="H339" t="s">
        <v>1410</v>
      </c>
      <c r="I339" t="s">
        <v>46</v>
      </c>
      <c r="L339" t="s">
        <v>1152</v>
      </c>
      <c r="Q339" t="s">
        <v>48</v>
      </c>
    </row>
    <row r="340" spans="1:17" hidden="1" x14ac:dyDescent="0.25">
      <c r="A340" t="s">
        <v>33</v>
      </c>
      <c r="B340" t="s">
        <v>1411</v>
      </c>
      <c r="C340" t="s">
        <v>21</v>
      </c>
      <c r="D340" t="s">
        <v>1411</v>
      </c>
      <c r="E340" t="s">
        <v>1412</v>
      </c>
      <c r="F340" t="s">
        <v>1413</v>
      </c>
      <c r="G340" t="s">
        <v>24</v>
      </c>
      <c r="H340" t="s">
        <v>1414</v>
      </c>
      <c r="L340" t="s">
        <v>1415</v>
      </c>
    </row>
    <row r="341" spans="1:17" hidden="1" x14ac:dyDescent="0.25">
      <c r="A341" t="s">
        <v>33</v>
      </c>
      <c r="B341" t="s">
        <v>1416</v>
      </c>
      <c r="C341" t="s">
        <v>21</v>
      </c>
      <c r="D341" t="s">
        <v>1416</v>
      </c>
      <c r="E341" t="s">
        <v>1417</v>
      </c>
      <c r="F341" t="s">
        <v>1418</v>
      </c>
      <c r="G341" t="s">
        <v>24</v>
      </c>
      <c r="H341" t="s">
        <v>1419</v>
      </c>
      <c r="I341" t="s">
        <v>46</v>
      </c>
      <c r="L341" t="s">
        <v>697</v>
      </c>
      <c r="Q341" t="s">
        <v>48</v>
      </c>
    </row>
    <row r="342" spans="1:17" hidden="1" x14ac:dyDescent="0.25">
      <c r="A342" t="s">
        <v>33</v>
      </c>
      <c r="B342" t="s">
        <v>1420</v>
      </c>
      <c r="C342" t="s">
        <v>21</v>
      </c>
      <c r="D342" t="s">
        <v>1420</v>
      </c>
      <c r="E342" t="s">
        <v>723</v>
      </c>
      <c r="F342" t="s">
        <v>1421</v>
      </c>
      <c r="G342" t="s">
        <v>24</v>
      </c>
      <c r="H342" t="s">
        <v>1422</v>
      </c>
      <c r="I342" t="s">
        <v>46</v>
      </c>
      <c r="L342" t="s">
        <v>63</v>
      </c>
      <c r="Q342" t="s">
        <v>48</v>
      </c>
    </row>
    <row r="343" spans="1:17" hidden="1" x14ac:dyDescent="0.25">
      <c r="A343" t="s">
        <v>33</v>
      </c>
      <c r="B343" t="s">
        <v>1423</v>
      </c>
      <c r="C343" t="s">
        <v>21</v>
      </c>
      <c r="D343" t="s">
        <v>1423</v>
      </c>
      <c r="E343" t="s">
        <v>1424</v>
      </c>
      <c r="F343" t="s">
        <v>1069</v>
      </c>
      <c r="G343" t="s">
        <v>24</v>
      </c>
      <c r="H343" t="s">
        <v>1425</v>
      </c>
      <c r="I343" t="s">
        <v>46</v>
      </c>
      <c r="L343" t="s">
        <v>38</v>
      </c>
      <c r="Q343" t="s">
        <v>48</v>
      </c>
    </row>
    <row r="344" spans="1:17" hidden="1" x14ac:dyDescent="0.25">
      <c r="A344" t="s">
        <v>33</v>
      </c>
      <c r="B344" t="s">
        <v>1426</v>
      </c>
      <c r="C344" t="s">
        <v>29</v>
      </c>
      <c r="D344" t="s">
        <v>1426</v>
      </c>
      <c r="E344" t="s">
        <v>796</v>
      </c>
      <c r="F344" t="s">
        <v>1427</v>
      </c>
      <c r="G344" t="s">
        <v>24</v>
      </c>
      <c r="H344" t="s">
        <v>1428</v>
      </c>
      <c r="I344" t="s">
        <v>46</v>
      </c>
      <c r="L344" t="s">
        <v>246</v>
      </c>
      <c r="Q344" t="s">
        <v>48</v>
      </c>
    </row>
    <row r="345" spans="1:17" hidden="1" x14ac:dyDescent="0.25">
      <c r="A345" t="s">
        <v>33</v>
      </c>
      <c r="B345" t="s">
        <v>1429</v>
      </c>
      <c r="C345" t="s">
        <v>21</v>
      </c>
      <c r="D345" t="s">
        <v>1429</v>
      </c>
      <c r="E345" t="s">
        <v>1430</v>
      </c>
      <c r="F345" t="s">
        <v>1431</v>
      </c>
      <c r="G345" t="s">
        <v>24</v>
      </c>
      <c r="H345" t="s">
        <v>1432</v>
      </c>
      <c r="L345" t="s">
        <v>1433</v>
      </c>
    </row>
    <row r="346" spans="1:17" hidden="1" x14ac:dyDescent="0.25">
      <c r="A346" t="s">
        <v>33</v>
      </c>
      <c r="B346" t="s">
        <v>1434</v>
      </c>
      <c r="C346" t="s">
        <v>21</v>
      </c>
      <c r="D346" t="s">
        <v>1434</v>
      </c>
      <c r="E346" t="s">
        <v>334</v>
      </c>
      <c r="F346" t="s">
        <v>1435</v>
      </c>
      <c r="G346" t="s">
        <v>24</v>
      </c>
      <c r="H346" t="s">
        <v>1436</v>
      </c>
      <c r="I346" t="s">
        <v>73</v>
      </c>
      <c r="L346" t="s">
        <v>415</v>
      </c>
      <c r="Q346" t="s">
        <v>75</v>
      </c>
    </row>
    <row r="347" spans="1:17" hidden="1" x14ac:dyDescent="0.25">
      <c r="A347" t="s">
        <v>33</v>
      </c>
      <c r="B347" t="s">
        <v>1437</v>
      </c>
      <c r="C347" t="s">
        <v>21</v>
      </c>
      <c r="D347" t="s">
        <v>1437</v>
      </c>
      <c r="E347" t="s">
        <v>1438</v>
      </c>
      <c r="F347" t="s">
        <v>1439</v>
      </c>
      <c r="G347" t="s">
        <v>24</v>
      </c>
      <c r="H347" t="s">
        <v>1440</v>
      </c>
      <c r="I347" t="s">
        <v>73</v>
      </c>
      <c r="L347" t="s">
        <v>1441</v>
      </c>
      <c r="Q347" t="s">
        <v>75</v>
      </c>
    </row>
    <row r="348" spans="1:17" hidden="1" x14ac:dyDescent="0.25">
      <c r="A348" t="s">
        <v>33</v>
      </c>
      <c r="B348" t="s">
        <v>1442</v>
      </c>
      <c r="C348" t="s">
        <v>21</v>
      </c>
      <c r="D348" t="s">
        <v>1442</v>
      </c>
      <c r="E348" t="s">
        <v>1443</v>
      </c>
      <c r="F348" t="s">
        <v>110</v>
      </c>
      <c r="G348" t="s">
        <v>24</v>
      </c>
      <c r="H348" t="s">
        <v>1444</v>
      </c>
      <c r="L348" t="s">
        <v>224</v>
      </c>
    </row>
    <row r="349" spans="1:17" hidden="1" x14ac:dyDescent="0.25">
      <c r="A349" t="s">
        <v>33</v>
      </c>
      <c r="B349" t="s">
        <v>1445</v>
      </c>
      <c r="C349" t="s">
        <v>21</v>
      </c>
      <c r="D349" t="s">
        <v>1445</v>
      </c>
      <c r="E349" t="s">
        <v>796</v>
      </c>
      <c r="F349" t="s">
        <v>1446</v>
      </c>
      <c r="G349" t="s">
        <v>24</v>
      </c>
      <c r="H349" t="s">
        <v>1447</v>
      </c>
      <c r="I349" t="s">
        <v>73</v>
      </c>
      <c r="L349" t="s">
        <v>856</v>
      </c>
      <c r="Q349" t="s">
        <v>75</v>
      </c>
    </row>
    <row r="350" spans="1:17" hidden="1" x14ac:dyDescent="0.25">
      <c r="A350" t="s">
        <v>33</v>
      </c>
      <c r="B350" t="s">
        <v>1448</v>
      </c>
      <c r="C350" t="s">
        <v>21</v>
      </c>
      <c r="D350" t="s">
        <v>1448</v>
      </c>
      <c r="E350" t="s">
        <v>1449</v>
      </c>
      <c r="F350" t="s">
        <v>1450</v>
      </c>
      <c r="G350" t="s">
        <v>24</v>
      </c>
      <c r="H350" t="s">
        <v>1451</v>
      </c>
      <c r="I350" t="s">
        <v>73</v>
      </c>
      <c r="L350" t="s">
        <v>415</v>
      </c>
      <c r="Q350" t="s">
        <v>75</v>
      </c>
    </row>
    <row r="351" spans="1:17" hidden="1" x14ac:dyDescent="0.25">
      <c r="A351" t="s">
        <v>33</v>
      </c>
      <c r="B351" t="s">
        <v>1452</v>
      </c>
      <c r="C351" t="s">
        <v>21</v>
      </c>
      <c r="D351" t="s">
        <v>1452</v>
      </c>
      <c r="E351" t="s">
        <v>1453</v>
      </c>
      <c r="F351" t="s">
        <v>1454</v>
      </c>
      <c r="G351" t="s">
        <v>24</v>
      </c>
      <c r="H351" t="s">
        <v>1455</v>
      </c>
      <c r="I351" t="s">
        <v>46</v>
      </c>
      <c r="L351" t="s">
        <v>185</v>
      </c>
      <c r="Q351" t="s">
        <v>48</v>
      </c>
    </row>
    <row r="352" spans="1:17" hidden="1" x14ac:dyDescent="0.25">
      <c r="A352" t="s">
        <v>33</v>
      </c>
      <c r="B352" t="s">
        <v>1456</v>
      </c>
      <c r="C352" t="s">
        <v>21</v>
      </c>
      <c r="D352" t="s">
        <v>1456</v>
      </c>
      <c r="E352" t="s">
        <v>1457</v>
      </c>
      <c r="F352" t="s">
        <v>1458</v>
      </c>
      <c r="G352" t="s">
        <v>24</v>
      </c>
      <c r="H352" t="s">
        <v>1459</v>
      </c>
      <c r="L352" t="s">
        <v>914</v>
      </c>
    </row>
    <row r="353" spans="1:17" hidden="1" x14ac:dyDescent="0.25">
      <c r="A353" t="s">
        <v>33</v>
      </c>
      <c r="B353" t="s">
        <v>1460</v>
      </c>
      <c r="C353" t="s">
        <v>21</v>
      </c>
      <c r="D353" t="s">
        <v>1460</v>
      </c>
      <c r="E353" t="s">
        <v>699</v>
      </c>
      <c r="F353" t="s">
        <v>432</v>
      </c>
      <c r="G353" t="s">
        <v>24</v>
      </c>
      <c r="H353" t="s">
        <v>1461</v>
      </c>
      <c r="I353" t="s">
        <v>46</v>
      </c>
      <c r="L353" t="s">
        <v>692</v>
      </c>
      <c r="Q353" t="s">
        <v>48</v>
      </c>
    </row>
    <row r="354" spans="1:17" hidden="1" x14ac:dyDescent="0.25">
      <c r="A354" t="s">
        <v>33</v>
      </c>
      <c r="B354" t="s">
        <v>1462</v>
      </c>
      <c r="C354" t="s">
        <v>21</v>
      </c>
      <c r="D354" t="s">
        <v>1462</v>
      </c>
      <c r="E354" t="s">
        <v>22</v>
      </c>
      <c r="F354" t="s">
        <v>1463</v>
      </c>
      <c r="G354" t="s">
        <v>24</v>
      </c>
      <c r="H354" t="s">
        <v>1464</v>
      </c>
      <c r="I354" t="s">
        <v>46</v>
      </c>
      <c r="L354" t="s">
        <v>1013</v>
      </c>
      <c r="Q354" t="s">
        <v>48</v>
      </c>
    </row>
    <row r="355" spans="1:17" hidden="1" x14ac:dyDescent="0.25">
      <c r="A355" t="s">
        <v>33</v>
      </c>
      <c r="B355" t="s">
        <v>1465</v>
      </c>
      <c r="C355" t="s">
        <v>21</v>
      </c>
      <c r="D355" t="s">
        <v>1465</v>
      </c>
      <c r="E355" t="s">
        <v>1466</v>
      </c>
      <c r="F355" t="s">
        <v>1467</v>
      </c>
      <c r="G355" t="s">
        <v>24</v>
      </c>
      <c r="H355" t="s">
        <v>1468</v>
      </c>
      <c r="L355" t="s">
        <v>224</v>
      </c>
    </row>
    <row r="356" spans="1:17" hidden="1" x14ac:dyDescent="0.25">
      <c r="A356" t="s">
        <v>33</v>
      </c>
      <c r="B356" t="s">
        <v>1469</v>
      </c>
      <c r="C356" t="s">
        <v>21</v>
      </c>
      <c r="D356" t="s">
        <v>1469</v>
      </c>
      <c r="E356" t="s">
        <v>400</v>
      </c>
      <c r="F356" t="s">
        <v>1470</v>
      </c>
      <c r="G356" t="s">
        <v>24</v>
      </c>
      <c r="H356" t="s">
        <v>1471</v>
      </c>
      <c r="L356" t="s">
        <v>620</v>
      </c>
    </row>
    <row r="357" spans="1:17" hidden="1" x14ac:dyDescent="0.25">
      <c r="A357" t="s">
        <v>33</v>
      </c>
      <c r="B357" t="s">
        <v>1472</v>
      </c>
      <c r="C357" t="s">
        <v>21</v>
      </c>
      <c r="D357" t="s">
        <v>1472</v>
      </c>
      <c r="E357" t="s">
        <v>1473</v>
      </c>
      <c r="F357" t="s">
        <v>1474</v>
      </c>
      <c r="G357" t="s">
        <v>24</v>
      </c>
      <c r="H357" t="s">
        <v>1475</v>
      </c>
      <c r="L357" t="s">
        <v>317</v>
      </c>
    </row>
    <row r="358" spans="1:17" hidden="1" x14ac:dyDescent="0.25">
      <c r="A358" t="s">
        <v>33</v>
      </c>
      <c r="B358" t="s">
        <v>1476</v>
      </c>
      <c r="C358" t="s">
        <v>21</v>
      </c>
      <c r="D358" t="s">
        <v>1476</v>
      </c>
      <c r="E358" t="s">
        <v>1477</v>
      </c>
      <c r="F358" t="s">
        <v>797</v>
      </c>
      <c r="G358" t="s">
        <v>24</v>
      </c>
      <c r="H358" t="s">
        <v>1478</v>
      </c>
      <c r="I358" t="s">
        <v>46</v>
      </c>
      <c r="L358" t="s">
        <v>856</v>
      </c>
      <c r="Q358" t="s">
        <v>48</v>
      </c>
    </row>
    <row r="359" spans="1:17" hidden="1" x14ac:dyDescent="0.25">
      <c r="A359" t="s">
        <v>33</v>
      </c>
      <c r="B359" t="s">
        <v>1479</v>
      </c>
      <c r="C359" t="s">
        <v>21</v>
      </c>
      <c r="D359" t="s">
        <v>1479</v>
      </c>
      <c r="E359" t="s">
        <v>1480</v>
      </c>
      <c r="F359" t="s">
        <v>1481</v>
      </c>
      <c r="G359" t="s">
        <v>24</v>
      </c>
      <c r="H359" t="s">
        <v>1482</v>
      </c>
      <c r="I359" t="s">
        <v>46</v>
      </c>
      <c r="L359" t="s">
        <v>273</v>
      </c>
      <c r="Q359" t="s">
        <v>48</v>
      </c>
    </row>
    <row r="360" spans="1:17" hidden="1" x14ac:dyDescent="0.25">
      <c r="A360" t="s">
        <v>33</v>
      </c>
      <c r="B360" t="s">
        <v>1483</v>
      </c>
      <c r="C360" t="s">
        <v>21</v>
      </c>
      <c r="D360" t="s">
        <v>1483</v>
      </c>
      <c r="E360" t="s">
        <v>1484</v>
      </c>
      <c r="F360" t="s">
        <v>1485</v>
      </c>
      <c r="G360" t="s">
        <v>24</v>
      </c>
      <c r="H360" t="s">
        <v>1486</v>
      </c>
      <c r="L360" t="s">
        <v>1402</v>
      </c>
    </row>
    <row r="361" spans="1:17" hidden="1" x14ac:dyDescent="0.25">
      <c r="A361" t="s">
        <v>33</v>
      </c>
      <c r="B361" t="s">
        <v>1487</v>
      </c>
      <c r="C361" t="s">
        <v>21</v>
      </c>
      <c r="D361" t="s">
        <v>1487</v>
      </c>
      <c r="E361" t="s">
        <v>1488</v>
      </c>
      <c r="F361" t="s">
        <v>1173</v>
      </c>
      <c r="G361" t="s">
        <v>24</v>
      </c>
      <c r="H361" t="s">
        <v>1489</v>
      </c>
      <c r="I361" t="s">
        <v>46</v>
      </c>
      <c r="L361" t="s">
        <v>38</v>
      </c>
      <c r="Q361" t="s">
        <v>48</v>
      </c>
    </row>
    <row r="362" spans="1:17" hidden="1" x14ac:dyDescent="0.25">
      <c r="A362" t="s">
        <v>33</v>
      </c>
      <c r="B362" t="s">
        <v>1490</v>
      </c>
      <c r="C362" t="s">
        <v>21</v>
      </c>
      <c r="D362" t="s">
        <v>1490</v>
      </c>
      <c r="E362" t="s">
        <v>545</v>
      </c>
      <c r="F362" t="s">
        <v>899</v>
      </c>
      <c r="G362" t="s">
        <v>24</v>
      </c>
      <c r="H362" t="s">
        <v>1491</v>
      </c>
      <c r="L362" t="s">
        <v>507</v>
      </c>
    </row>
    <row r="363" spans="1:17" hidden="1" x14ac:dyDescent="0.25">
      <c r="A363" t="s">
        <v>33</v>
      </c>
      <c r="B363" t="s">
        <v>1492</v>
      </c>
      <c r="C363" t="s">
        <v>21</v>
      </c>
      <c r="D363" t="s">
        <v>1492</v>
      </c>
      <c r="E363" t="s">
        <v>178</v>
      </c>
      <c r="F363" t="s">
        <v>1493</v>
      </c>
      <c r="G363" t="s">
        <v>24</v>
      </c>
      <c r="H363" t="s">
        <v>1494</v>
      </c>
      <c r="I363" t="s">
        <v>46</v>
      </c>
      <c r="L363" t="s">
        <v>1495</v>
      </c>
      <c r="Q363" t="s">
        <v>48</v>
      </c>
    </row>
    <row r="364" spans="1:17" hidden="1" x14ac:dyDescent="0.25">
      <c r="A364" t="s">
        <v>33</v>
      </c>
      <c r="B364" t="s">
        <v>1496</v>
      </c>
      <c r="C364" t="s">
        <v>21</v>
      </c>
      <c r="D364" t="s">
        <v>1496</v>
      </c>
      <c r="E364" t="s">
        <v>159</v>
      </c>
      <c r="F364" t="s">
        <v>482</v>
      </c>
      <c r="G364" t="s">
        <v>24</v>
      </c>
      <c r="H364" t="s">
        <v>1497</v>
      </c>
      <c r="L364" t="s">
        <v>479</v>
      </c>
    </row>
    <row r="365" spans="1:17" hidden="1" x14ac:dyDescent="0.25">
      <c r="A365" t="s">
        <v>33</v>
      </c>
      <c r="B365" t="s">
        <v>1498</v>
      </c>
      <c r="C365" t="s">
        <v>21</v>
      </c>
      <c r="D365" t="s">
        <v>1498</v>
      </c>
      <c r="E365" t="s">
        <v>342</v>
      </c>
      <c r="F365" t="s">
        <v>1499</v>
      </c>
      <c r="G365" t="s">
        <v>24</v>
      </c>
      <c r="H365" t="s">
        <v>1500</v>
      </c>
      <c r="I365" t="s">
        <v>46</v>
      </c>
      <c r="L365" t="s">
        <v>794</v>
      </c>
      <c r="Q365" t="s">
        <v>48</v>
      </c>
    </row>
    <row r="366" spans="1:17" hidden="1" x14ac:dyDescent="0.25">
      <c r="A366" t="s">
        <v>33</v>
      </c>
      <c r="B366" t="s">
        <v>1501</v>
      </c>
      <c r="C366" t="s">
        <v>29</v>
      </c>
      <c r="D366" t="s">
        <v>1501</v>
      </c>
      <c r="E366" t="s">
        <v>135</v>
      </c>
      <c r="F366" t="s">
        <v>1502</v>
      </c>
      <c r="G366" t="s">
        <v>24</v>
      </c>
      <c r="H366" t="s">
        <v>1503</v>
      </c>
      <c r="I366" t="s">
        <v>46</v>
      </c>
      <c r="L366" t="s">
        <v>511</v>
      </c>
      <c r="Q366" t="s">
        <v>48</v>
      </c>
    </row>
    <row r="367" spans="1:17" hidden="1" x14ac:dyDescent="0.25">
      <c r="A367" t="s">
        <v>33</v>
      </c>
      <c r="B367" t="s">
        <v>1504</v>
      </c>
      <c r="C367" t="s">
        <v>21</v>
      </c>
      <c r="D367" t="s">
        <v>1504</v>
      </c>
      <c r="E367" t="s">
        <v>135</v>
      </c>
      <c r="F367" t="s">
        <v>1505</v>
      </c>
      <c r="G367" t="s">
        <v>24</v>
      </c>
      <c r="H367" t="s">
        <v>1506</v>
      </c>
      <c r="I367" t="s">
        <v>46</v>
      </c>
      <c r="L367" t="s">
        <v>1184</v>
      </c>
      <c r="Q367" t="s">
        <v>48</v>
      </c>
    </row>
    <row r="368" spans="1:17" hidden="1" x14ac:dyDescent="0.25">
      <c r="A368" t="s">
        <v>33</v>
      </c>
      <c r="B368" t="s">
        <v>1507</v>
      </c>
      <c r="C368" t="s">
        <v>21</v>
      </c>
      <c r="D368" t="s">
        <v>1507</v>
      </c>
      <c r="E368" t="s">
        <v>1508</v>
      </c>
      <c r="F368" t="s">
        <v>1509</v>
      </c>
      <c r="G368" t="s">
        <v>24</v>
      </c>
      <c r="H368" t="s">
        <v>1510</v>
      </c>
      <c r="L368" t="s">
        <v>90</v>
      </c>
    </row>
    <row r="369" spans="1:17" hidden="1" x14ac:dyDescent="0.25">
      <c r="A369" t="s">
        <v>33</v>
      </c>
      <c r="B369" t="s">
        <v>1511</v>
      </c>
      <c r="C369" t="s">
        <v>21</v>
      </c>
      <c r="D369" t="s">
        <v>1511</v>
      </c>
      <c r="E369" t="s">
        <v>1512</v>
      </c>
      <c r="F369" t="s">
        <v>1513</v>
      </c>
      <c r="G369" t="s">
        <v>24</v>
      </c>
      <c r="H369" t="s">
        <v>1514</v>
      </c>
      <c r="L369" t="s">
        <v>479</v>
      </c>
    </row>
    <row r="370" spans="1:17" hidden="1" x14ac:dyDescent="0.25">
      <c r="A370" t="s">
        <v>33</v>
      </c>
      <c r="B370" t="s">
        <v>1515</v>
      </c>
      <c r="C370" t="s">
        <v>21</v>
      </c>
      <c r="D370" t="s">
        <v>1515</v>
      </c>
      <c r="E370" t="s">
        <v>1516</v>
      </c>
      <c r="F370" t="s">
        <v>1517</v>
      </c>
      <c r="G370" t="s">
        <v>24</v>
      </c>
      <c r="H370" t="s">
        <v>1518</v>
      </c>
      <c r="I370" t="s">
        <v>46</v>
      </c>
      <c r="L370" t="s">
        <v>692</v>
      </c>
      <c r="Q370" t="s">
        <v>48</v>
      </c>
    </row>
    <row r="371" spans="1:17" hidden="1" x14ac:dyDescent="0.25">
      <c r="A371" t="s">
        <v>33</v>
      </c>
      <c r="B371" t="s">
        <v>1519</v>
      </c>
      <c r="C371" t="s">
        <v>21</v>
      </c>
      <c r="D371" t="s">
        <v>1519</v>
      </c>
      <c r="E371" t="s">
        <v>1520</v>
      </c>
      <c r="F371" t="s">
        <v>792</v>
      </c>
      <c r="G371" t="s">
        <v>24</v>
      </c>
      <c r="H371" t="s">
        <v>1521</v>
      </c>
      <c r="L371" t="s">
        <v>1061</v>
      </c>
    </row>
    <row r="372" spans="1:17" hidden="1" x14ac:dyDescent="0.25">
      <c r="A372" t="s">
        <v>33</v>
      </c>
      <c r="B372" t="s">
        <v>1522</v>
      </c>
      <c r="C372" t="s">
        <v>21</v>
      </c>
      <c r="D372" t="s">
        <v>1522</v>
      </c>
      <c r="E372" t="s">
        <v>635</v>
      </c>
      <c r="F372" t="s">
        <v>1523</v>
      </c>
      <c r="G372" t="s">
        <v>24</v>
      </c>
      <c r="H372" t="s">
        <v>1524</v>
      </c>
      <c r="I372" t="s">
        <v>46</v>
      </c>
      <c r="L372" t="s">
        <v>47</v>
      </c>
      <c r="Q372" t="s">
        <v>48</v>
      </c>
    </row>
    <row r="373" spans="1:17" hidden="1" x14ac:dyDescent="0.25">
      <c r="A373" t="s">
        <v>33</v>
      </c>
      <c r="B373" t="s">
        <v>1525</v>
      </c>
      <c r="C373" t="s">
        <v>21</v>
      </c>
      <c r="D373" t="s">
        <v>1525</v>
      </c>
      <c r="E373" t="s">
        <v>1526</v>
      </c>
      <c r="F373" t="s">
        <v>1527</v>
      </c>
      <c r="G373" t="s">
        <v>24</v>
      </c>
      <c r="H373" t="s">
        <v>1528</v>
      </c>
      <c r="I373" t="s">
        <v>46</v>
      </c>
      <c r="L373" t="s">
        <v>1061</v>
      </c>
      <c r="Q373" t="s">
        <v>48</v>
      </c>
    </row>
    <row r="374" spans="1:17" hidden="1" x14ac:dyDescent="0.25">
      <c r="A374" t="s">
        <v>33</v>
      </c>
      <c r="B374" t="s">
        <v>1529</v>
      </c>
      <c r="C374" t="s">
        <v>21</v>
      </c>
      <c r="D374" t="s">
        <v>1529</v>
      </c>
      <c r="E374" t="s">
        <v>1530</v>
      </c>
      <c r="F374" t="s">
        <v>1094</v>
      </c>
      <c r="G374" t="s">
        <v>24</v>
      </c>
      <c r="H374" t="s">
        <v>1531</v>
      </c>
      <c r="I374" t="s">
        <v>46</v>
      </c>
      <c r="L374" t="s">
        <v>856</v>
      </c>
      <c r="Q374" t="s">
        <v>48</v>
      </c>
    </row>
    <row r="375" spans="1:17" hidden="1" x14ac:dyDescent="0.25">
      <c r="A375" t="s">
        <v>33</v>
      </c>
      <c r="B375" t="s">
        <v>1532</v>
      </c>
      <c r="C375" t="s">
        <v>21</v>
      </c>
      <c r="D375" t="s">
        <v>1533</v>
      </c>
      <c r="E375" t="s">
        <v>606</v>
      </c>
      <c r="F375" t="s">
        <v>1534</v>
      </c>
      <c r="G375" t="s">
        <v>24</v>
      </c>
      <c r="H375" t="s">
        <v>1535</v>
      </c>
      <c r="I375" t="s">
        <v>73</v>
      </c>
      <c r="L375" t="s">
        <v>914</v>
      </c>
      <c r="Q375" t="s">
        <v>75</v>
      </c>
    </row>
    <row r="376" spans="1:17" hidden="1" x14ac:dyDescent="0.25">
      <c r="A376" t="s">
        <v>33</v>
      </c>
      <c r="B376" t="s">
        <v>1536</v>
      </c>
      <c r="C376" t="s">
        <v>92</v>
      </c>
      <c r="D376" t="s">
        <v>1536</v>
      </c>
      <c r="E376" t="s">
        <v>1537</v>
      </c>
      <c r="F376" t="s">
        <v>1538</v>
      </c>
      <c r="G376" t="s">
        <v>24</v>
      </c>
      <c r="H376" t="s">
        <v>1539</v>
      </c>
      <c r="I376" t="s">
        <v>46</v>
      </c>
      <c r="L376" t="s">
        <v>1540</v>
      </c>
      <c r="Q376" t="s">
        <v>48</v>
      </c>
    </row>
    <row r="377" spans="1:17" hidden="1" x14ac:dyDescent="0.25">
      <c r="A377" t="s">
        <v>33</v>
      </c>
      <c r="B377" t="s">
        <v>1541</v>
      </c>
      <c r="C377" t="s">
        <v>21</v>
      </c>
      <c r="D377" t="s">
        <v>1541</v>
      </c>
      <c r="E377" t="s">
        <v>1542</v>
      </c>
      <c r="F377" t="s">
        <v>71</v>
      </c>
      <c r="G377" t="s">
        <v>24</v>
      </c>
      <c r="H377" t="s">
        <v>1543</v>
      </c>
      <c r="I377" t="s">
        <v>46</v>
      </c>
      <c r="L377" t="s">
        <v>38</v>
      </c>
      <c r="Q377" t="s">
        <v>48</v>
      </c>
    </row>
    <row r="378" spans="1:17" hidden="1" x14ac:dyDescent="0.25">
      <c r="A378" t="s">
        <v>33</v>
      </c>
      <c r="B378" t="s">
        <v>1544</v>
      </c>
      <c r="C378" t="s">
        <v>21</v>
      </c>
      <c r="D378" t="s">
        <v>1544</v>
      </c>
      <c r="E378" t="s">
        <v>1545</v>
      </c>
      <c r="F378" t="s">
        <v>1546</v>
      </c>
      <c r="G378" t="s">
        <v>24</v>
      </c>
      <c r="H378" t="s">
        <v>1547</v>
      </c>
      <c r="I378" t="s">
        <v>46</v>
      </c>
      <c r="L378" t="s">
        <v>74</v>
      </c>
      <c r="Q378" t="s">
        <v>48</v>
      </c>
    </row>
    <row r="379" spans="1:17" hidden="1" x14ac:dyDescent="0.25">
      <c r="A379" t="s">
        <v>33</v>
      </c>
      <c r="B379" t="s">
        <v>1548</v>
      </c>
      <c r="C379" t="s">
        <v>21</v>
      </c>
      <c r="D379" t="s">
        <v>1548</v>
      </c>
      <c r="E379" t="s">
        <v>1549</v>
      </c>
      <c r="F379" t="s">
        <v>1550</v>
      </c>
      <c r="G379" t="s">
        <v>24</v>
      </c>
      <c r="H379" t="s">
        <v>1551</v>
      </c>
      <c r="I379" t="s">
        <v>46</v>
      </c>
      <c r="L379" t="s">
        <v>1552</v>
      </c>
      <c r="Q379" t="s">
        <v>48</v>
      </c>
    </row>
    <row r="380" spans="1:17" hidden="1" x14ac:dyDescent="0.25">
      <c r="A380" t="s">
        <v>33</v>
      </c>
      <c r="B380" t="s">
        <v>1553</v>
      </c>
      <c r="C380" t="s">
        <v>21</v>
      </c>
      <c r="D380" t="s">
        <v>1553</v>
      </c>
      <c r="E380" t="s">
        <v>1554</v>
      </c>
      <c r="F380" t="s">
        <v>432</v>
      </c>
      <c r="G380" t="s">
        <v>24</v>
      </c>
      <c r="H380" t="s">
        <v>1555</v>
      </c>
      <c r="I380" t="s">
        <v>46</v>
      </c>
      <c r="L380" t="s">
        <v>181</v>
      </c>
      <c r="Q380" t="s">
        <v>48</v>
      </c>
    </row>
    <row r="381" spans="1:17" hidden="1" x14ac:dyDescent="0.25">
      <c r="A381" t="s">
        <v>33</v>
      </c>
      <c r="B381" t="s">
        <v>1556</v>
      </c>
      <c r="C381" t="s">
        <v>21</v>
      </c>
      <c r="D381" t="s">
        <v>1556</v>
      </c>
      <c r="E381" t="s">
        <v>1557</v>
      </c>
      <c r="F381" t="s">
        <v>1558</v>
      </c>
      <c r="G381" t="s">
        <v>24</v>
      </c>
      <c r="H381" t="s">
        <v>1559</v>
      </c>
      <c r="I381" t="s">
        <v>46</v>
      </c>
      <c r="L381" t="s">
        <v>38</v>
      </c>
      <c r="Q381" t="s">
        <v>48</v>
      </c>
    </row>
    <row r="382" spans="1:17" hidden="1" x14ac:dyDescent="0.25">
      <c r="A382" t="s">
        <v>33</v>
      </c>
      <c r="B382" t="s">
        <v>1560</v>
      </c>
      <c r="C382" t="s">
        <v>21</v>
      </c>
      <c r="D382" t="s">
        <v>1560</v>
      </c>
      <c r="E382" t="s">
        <v>1561</v>
      </c>
      <c r="F382" t="s">
        <v>1562</v>
      </c>
      <c r="G382" t="s">
        <v>24</v>
      </c>
      <c r="H382" t="s">
        <v>1563</v>
      </c>
      <c r="J382" t="s">
        <v>26</v>
      </c>
      <c r="L382" t="s">
        <v>27</v>
      </c>
    </row>
    <row r="383" spans="1:17" hidden="1" x14ac:dyDescent="0.25">
      <c r="A383" t="s">
        <v>33</v>
      </c>
      <c r="B383" t="s">
        <v>1564</v>
      </c>
      <c r="C383" t="s">
        <v>21</v>
      </c>
      <c r="D383" t="s">
        <v>1564</v>
      </c>
      <c r="E383" t="s">
        <v>100</v>
      </c>
      <c r="F383" t="s">
        <v>1565</v>
      </c>
      <c r="G383" t="s">
        <v>24</v>
      </c>
      <c r="H383" t="s">
        <v>1566</v>
      </c>
      <c r="I383" t="s">
        <v>46</v>
      </c>
      <c r="L383" t="s">
        <v>53</v>
      </c>
      <c r="Q383" t="s">
        <v>48</v>
      </c>
    </row>
    <row r="384" spans="1:17" hidden="1" x14ac:dyDescent="0.25">
      <c r="A384" t="s">
        <v>33</v>
      </c>
      <c r="B384" t="s">
        <v>1567</v>
      </c>
      <c r="C384" t="s">
        <v>21</v>
      </c>
      <c r="D384" t="s">
        <v>1567</v>
      </c>
      <c r="E384" t="s">
        <v>1568</v>
      </c>
      <c r="F384" t="s">
        <v>1569</v>
      </c>
      <c r="G384" t="s">
        <v>24</v>
      </c>
      <c r="H384" t="s">
        <v>1570</v>
      </c>
      <c r="I384" t="s">
        <v>73</v>
      </c>
      <c r="L384" t="s">
        <v>883</v>
      </c>
      <c r="Q384" t="s">
        <v>75</v>
      </c>
    </row>
    <row r="385" spans="1:17" hidden="1" x14ac:dyDescent="0.25">
      <c r="A385" t="s">
        <v>33</v>
      </c>
      <c r="B385" t="s">
        <v>1571</v>
      </c>
      <c r="C385" t="s">
        <v>21</v>
      </c>
      <c r="D385" t="s">
        <v>1571</v>
      </c>
      <c r="E385" t="s">
        <v>723</v>
      </c>
      <c r="F385" t="s">
        <v>1572</v>
      </c>
      <c r="G385" t="s">
        <v>24</v>
      </c>
      <c r="H385" t="s">
        <v>1573</v>
      </c>
      <c r="I385" t="s">
        <v>46</v>
      </c>
      <c r="L385" t="s">
        <v>171</v>
      </c>
      <c r="Q385" t="s">
        <v>48</v>
      </c>
    </row>
    <row r="386" spans="1:17" hidden="1" x14ac:dyDescent="0.25">
      <c r="A386" t="s">
        <v>33</v>
      </c>
      <c r="B386" t="s">
        <v>1574</v>
      </c>
      <c r="C386" t="s">
        <v>92</v>
      </c>
      <c r="D386" t="s">
        <v>1574</v>
      </c>
      <c r="E386" t="s">
        <v>1488</v>
      </c>
      <c r="F386" t="s">
        <v>1575</v>
      </c>
      <c r="G386" t="s">
        <v>24</v>
      </c>
      <c r="H386" t="s">
        <v>1576</v>
      </c>
      <c r="I386" t="s">
        <v>46</v>
      </c>
      <c r="L386" t="s">
        <v>1577</v>
      </c>
      <c r="Q386" t="s">
        <v>48</v>
      </c>
    </row>
    <row r="387" spans="1:17" hidden="1" x14ac:dyDescent="0.25">
      <c r="A387" t="s">
        <v>33</v>
      </c>
      <c r="B387" t="s">
        <v>1578</v>
      </c>
      <c r="C387" t="s">
        <v>21</v>
      </c>
      <c r="D387" t="s">
        <v>1578</v>
      </c>
      <c r="E387" t="s">
        <v>1579</v>
      </c>
      <c r="F387" t="s">
        <v>1580</v>
      </c>
      <c r="G387" t="s">
        <v>24</v>
      </c>
      <c r="H387" t="s">
        <v>1581</v>
      </c>
      <c r="I387" t="s">
        <v>96</v>
      </c>
      <c r="L387" t="s">
        <v>53</v>
      </c>
      <c r="Q387" t="s">
        <v>98</v>
      </c>
    </row>
    <row r="388" spans="1:17" hidden="1" x14ac:dyDescent="0.25">
      <c r="A388" t="s">
        <v>33</v>
      </c>
      <c r="B388" t="s">
        <v>1582</v>
      </c>
      <c r="C388" t="s">
        <v>29</v>
      </c>
      <c r="D388" t="s">
        <v>1582</v>
      </c>
      <c r="E388" t="s">
        <v>1583</v>
      </c>
      <c r="F388" t="s">
        <v>1584</v>
      </c>
      <c r="G388" t="s">
        <v>24</v>
      </c>
      <c r="H388" t="s">
        <v>1585</v>
      </c>
      <c r="I388" t="s">
        <v>46</v>
      </c>
      <c r="L388" t="s">
        <v>1586</v>
      </c>
      <c r="Q388" t="s">
        <v>48</v>
      </c>
    </row>
    <row r="389" spans="1:17" hidden="1" x14ac:dyDescent="0.25">
      <c r="A389" t="s">
        <v>33</v>
      </c>
      <c r="B389" t="s">
        <v>1587</v>
      </c>
      <c r="C389" t="s">
        <v>21</v>
      </c>
      <c r="D389" t="s">
        <v>1587</v>
      </c>
      <c r="E389" t="s">
        <v>610</v>
      </c>
      <c r="F389" t="s">
        <v>1588</v>
      </c>
      <c r="G389" t="s">
        <v>24</v>
      </c>
      <c r="H389" t="s">
        <v>1589</v>
      </c>
      <c r="I389" t="s">
        <v>46</v>
      </c>
      <c r="L389" t="s">
        <v>349</v>
      </c>
      <c r="Q389" t="s">
        <v>48</v>
      </c>
    </row>
    <row r="390" spans="1:17" hidden="1" x14ac:dyDescent="0.25">
      <c r="A390" t="s">
        <v>33</v>
      </c>
      <c r="B390" t="s">
        <v>1590</v>
      </c>
      <c r="C390" t="s">
        <v>21</v>
      </c>
      <c r="D390" t="s">
        <v>1590</v>
      </c>
      <c r="E390" t="s">
        <v>1591</v>
      </c>
      <c r="F390" t="s">
        <v>1592</v>
      </c>
      <c r="G390" t="s">
        <v>24</v>
      </c>
      <c r="H390" t="s">
        <v>1593</v>
      </c>
      <c r="L390" t="s">
        <v>502</v>
      </c>
    </row>
    <row r="391" spans="1:17" hidden="1" x14ac:dyDescent="0.25">
      <c r="A391" t="s">
        <v>33</v>
      </c>
      <c r="B391" t="s">
        <v>1594</v>
      </c>
      <c r="C391" t="s">
        <v>21</v>
      </c>
      <c r="D391" t="s">
        <v>1594</v>
      </c>
      <c r="E391" t="s">
        <v>367</v>
      </c>
      <c r="F391" t="s">
        <v>1595</v>
      </c>
      <c r="G391" t="s">
        <v>24</v>
      </c>
      <c r="H391" t="s">
        <v>1596</v>
      </c>
      <c r="I391" t="s">
        <v>46</v>
      </c>
      <c r="L391" t="s">
        <v>185</v>
      </c>
      <c r="Q391" t="s">
        <v>48</v>
      </c>
    </row>
    <row r="392" spans="1:17" hidden="1" x14ac:dyDescent="0.25">
      <c r="A392" t="s">
        <v>33</v>
      </c>
      <c r="B392" t="s">
        <v>1597</v>
      </c>
      <c r="C392" t="s">
        <v>21</v>
      </c>
      <c r="D392" t="s">
        <v>1597</v>
      </c>
      <c r="E392" t="s">
        <v>1591</v>
      </c>
      <c r="F392" t="s">
        <v>1598</v>
      </c>
      <c r="G392" t="s">
        <v>24</v>
      </c>
      <c r="H392" t="s">
        <v>1599</v>
      </c>
      <c r="I392" t="s">
        <v>46</v>
      </c>
      <c r="L392" t="s">
        <v>647</v>
      </c>
      <c r="Q392" t="s">
        <v>48</v>
      </c>
    </row>
    <row r="393" spans="1:17" hidden="1" x14ac:dyDescent="0.25">
      <c r="A393" t="s">
        <v>33</v>
      </c>
      <c r="B393" t="s">
        <v>1600</v>
      </c>
      <c r="C393" t="s">
        <v>21</v>
      </c>
      <c r="D393" t="s">
        <v>1600</v>
      </c>
      <c r="E393" t="s">
        <v>412</v>
      </c>
      <c r="F393" t="s">
        <v>1601</v>
      </c>
      <c r="G393" t="s">
        <v>24</v>
      </c>
      <c r="H393" t="s">
        <v>1602</v>
      </c>
      <c r="I393" t="s">
        <v>46</v>
      </c>
      <c r="L393" t="s">
        <v>273</v>
      </c>
      <c r="Q393" t="s">
        <v>48</v>
      </c>
    </row>
    <row r="394" spans="1:17" hidden="1" x14ac:dyDescent="0.25">
      <c r="A394" t="s">
        <v>33</v>
      </c>
      <c r="B394" t="s">
        <v>1603</v>
      </c>
      <c r="C394" t="s">
        <v>21</v>
      </c>
      <c r="D394" t="s">
        <v>1603</v>
      </c>
      <c r="E394" t="s">
        <v>1604</v>
      </c>
      <c r="F394" t="s">
        <v>1605</v>
      </c>
      <c r="G394" t="s">
        <v>24</v>
      </c>
      <c r="H394" t="s">
        <v>1606</v>
      </c>
      <c r="I394" t="s">
        <v>46</v>
      </c>
      <c r="L394" t="s">
        <v>1061</v>
      </c>
      <c r="Q394" t="s">
        <v>48</v>
      </c>
    </row>
    <row r="395" spans="1:17" hidden="1" x14ac:dyDescent="0.25">
      <c r="A395" t="s">
        <v>33</v>
      </c>
      <c r="B395" t="s">
        <v>1607</v>
      </c>
      <c r="C395" t="s">
        <v>21</v>
      </c>
      <c r="D395" t="s">
        <v>1607</v>
      </c>
      <c r="E395" t="s">
        <v>367</v>
      </c>
      <c r="F395" t="s">
        <v>1608</v>
      </c>
      <c r="G395" t="s">
        <v>24</v>
      </c>
      <c r="H395" t="s">
        <v>1609</v>
      </c>
      <c r="I395" t="s">
        <v>46</v>
      </c>
      <c r="L395" t="s">
        <v>63</v>
      </c>
      <c r="Q395" t="s">
        <v>48</v>
      </c>
    </row>
    <row r="396" spans="1:17" hidden="1" x14ac:dyDescent="0.25">
      <c r="A396" t="s">
        <v>33</v>
      </c>
      <c r="B396" t="s">
        <v>1610</v>
      </c>
      <c r="C396" t="s">
        <v>92</v>
      </c>
      <c r="D396" t="s">
        <v>1610</v>
      </c>
      <c r="E396" t="s">
        <v>126</v>
      </c>
      <c r="F396" t="s">
        <v>1611</v>
      </c>
      <c r="G396" t="s">
        <v>24</v>
      </c>
      <c r="H396" t="s">
        <v>1612</v>
      </c>
      <c r="I396" t="s">
        <v>46</v>
      </c>
      <c r="L396" t="s">
        <v>1577</v>
      </c>
      <c r="Q396" t="s">
        <v>48</v>
      </c>
    </row>
    <row r="397" spans="1:17" hidden="1" x14ac:dyDescent="0.25">
      <c r="A397" t="s">
        <v>33</v>
      </c>
      <c r="B397" t="s">
        <v>1613</v>
      </c>
      <c r="C397" t="s">
        <v>21</v>
      </c>
      <c r="D397" t="s">
        <v>1613</v>
      </c>
      <c r="E397" t="s">
        <v>1614</v>
      </c>
      <c r="F397" t="s">
        <v>1615</v>
      </c>
      <c r="G397" t="s">
        <v>24</v>
      </c>
      <c r="H397" t="s">
        <v>1616</v>
      </c>
      <c r="I397" t="s">
        <v>46</v>
      </c>
      <c r="L397" t="s">
        <v>63</v>
      </c>
      <c r="Q397" t="s">
        <v>48</v>
      </c>
    </row>
    <row r="398" spans="1:17" hidden="1" x14ac:dyDescent="0.25">
      <c r="A398" t="s">
        <v>33</v>
      </c>
      <c r="B398" t="s">
        <v>1617</v>
      </c>
      <c r="C398" t="s">
        <v>21</v>
      </c>
      <c r="D398" t="s">
        <v>1617</v>
      </c>
      <c r="E398" t="s">
        <v>1618</v>
      </c>
      <c r="F398" t="s">
        <v>1619</v>
      </c>
      <c r="G398" t="s">
        <v>24</v>
      </c>
      <c r="H398" t="s">
        <v>1620</v>
      </c>
      <c r="I398" t="s">
        <v>46</v>
      </c>
      <c r="L398" t="s">
        <v>1415</v>
      </c>
      <c r="Q398" t="s">
        <v>48</v>
      </c>
    </row>
    <row r="399" spans="1:17" hidden="1" x14ac:dyDescent="0.25">
      <c r="A399" t="s">
        <v>33</v>
      </c>
      <c r="B399" t="s">
        <v>1621</v>
      </c>
      <c r="C399" t="s">
        <v>21</v>
      </c>
      <c r="D399" t="s">
        <v>1621</v>
      </c>
      <c r="E399" t="s">
        <v>1457</v>
      </c>
      <c r="F399" t="s">
        <v>1622</v>
      </c>
      <c r="G399" t="s">
        <v>24</v>
      </c>
      <c r="H399" t="s">
        <v>1623</v>
      </c>
      <c r="I399" t="s">
        <v>46</v>
      </c>
      <c r="L399" t="s">
        <v>1624</v>
      </c>
      <c r="Q399" t="s">
        <v>48</v>
      </c>
    </row>
    <row r="400" spans="1:17" hidden="1" x14ac:dyDescent="0.25">
      <c r="A400" t="s">
        <v>33</v>
      </c>
      <c r="B400" t="s">
        <v>1625</v>
      </c>
      <c r="C400" t="s">
        <v>21</v>
      </c>
      <c r="D400" t="s">
        <v>1625</v>
      </c>
      <c r="E400" t="s">
        <v>1626</v>
      </c>
      <c r="F400" t="s">
        <v>1627</v>
      </c>
      <c r="G400" t="s">
        <v>24</v>
      </c>
      <c r="H400" t="s">
        <v>1628</v>
      </c>
      <c r="I400" t="s">
        <v>46</v>
      </c>
      <c r="L400" t="s">
        <v>185</v>
      </c>
      <c r="Q400" t="s">
        <v>48</v>
      </c>
    </row>
    <row r="401" spans="1:17" hidden="1" x14ac:dyDescent="0.25">
      <c r="A401" t="s">
        <v>33</v>
      </c>
      <c r="B401" t="s">
        <v>1629</v>
      </c>
      <c r="C401" t="s">
        <v>21</v>
      </c>
      <c r="D401" t="s">
        <v>1629</v>
      </c>
      <c r="E401" t="s">
        <v>1146</v>
      </c>
      <c r="F401" t="s">
        <v>1630</v>
      </c>
      <c r="G401" t="s">
        <v>24</v>
      </c>
      <c r="H401" t="s">
        <v>1631</v>
      </c>
      <c r="L401" t="s">
        <v>1632</v>
      </c>
    </row>
    <row r="402" spans="1:17" hidden="1" x14ac:dyDescent="0.25">
      <c r="A402" t="s">
        <v>33</v>
      </c>
      <c r="B402" t="s">
        <v>1633</v>
      </c>
      <c r="C402" t="s">
        <v>21</v>
      </c>
      <c r="D402" t="s">
        <v>1633</v>
      </c>
      <c r="E402" t="s">
        <v>1634</v>
      </c>
      <c r="F402" t="s">
        <v>801</v>
      </c>
      <c r="G402" t="s">
        <v>24</v>
      </c>
      <c r="H402" t="s">
        <v>1635</v>
      </c>
      <c r="I402" t="s">
        <v>46</v>
      </c>
      <c r="L402" t="s">
        <v>185</v>
      </c>
      <c r="Q402" t="s">
        <v>48</v>
      </c>
    </row>
    <row r="403" spans="1:17" hidden="1" x14ac:dyDescent="0.25">
      <c r="A403" t="s">
        <v>33</v>
      </c>
      <c r="B403" t="s">
        <v>1636</v>
      </c>
      <c r="C403" t="s">
        <v>21</v>
      </c>
      <c r="D403" t="s">
        <v>1636</v>
      </c>
      <c r="E403" t="s">
        <v>1637</v>
      </c>
      <c r="F403" t="s">
        <v>265</v>
      </c>
      <c r="G403" t="s">
        <v>24</v>
      </c>
      <c r="H403" t="s">
        <v>1638</v>
      </c>
      <c r="I403" t="s">
        <v>46</v>
      </c>
      <c r="L403" t="s">
        <v>185</v>
      </c>
      <c r="Q403" t="s">
        <v>48</v>
      </c>
    </row>
    <row r="404" spans="1:17" hidden="1" x14ac:dyDescent="0.25">
      <c r="A404" t="s">
        <v>33</v>
      </c>
      <c r="B404" t="s">
        <v>1639</v>
      </c>
      <c r="C404" t="s">
        <v>21</v>
      </c>
      <c r="D404" t="s">
        <v>1639</v>
      </c>
      <c r="E404" t="s">
        <v>1640</v>
      </c>
      <c r="F404" t="s">
        <v>1641</v>
      </c>
      <c r="G404" t="s">
        <v>24</v>
      </c>
      <c r="H404" t="s">
        <v>1642</v>
      </c>
      <c r="I404" t="s">
        <v>46</v>
      </c>
      <c r="L404" t="s">
        <v>53</v>
      </c>
      <c r="Q404" t="s">
        <v>48</v>
      </c>
    </row>
    <row r="405" spans="1:17" hidden="1" x14ac:dyDescent="0.25">
      <c r="A405" t="s">
        <v>33</v>
      </c>
      <c r="B405" t="s">
        <v>1643</v>
      </c>
      <c r="C405" t="s">
        <v>29</v>
      </c>
      <c r="D405" t="s">
        <v>1643</v>
      </c>
      <c r="E405" t="s">
        <v>464</v>
      </c>
      <c r="F405" t="s">
        <v>792</v>
      </c>
      <c r="G405" t="s">
        <v>24</v>
      </c>
      <c r="H405" t="s">
        <v>1644</v>
      </c>
      <c r="I405" t="s">
        <v>46</v>
      </c>
      <c r="L405" t="s">
        <v>176</v>
      </c>
      <c r="Q405" t="s">
        <v>48</v>
      </c>
    </row>
    <row r="406" spans="1:17" hidden="1" x14ac:dyDescent="0.25">
      <c r="A406" t="s">
        <v>33</v>
      </c>
      <c r="B406" t="s">
        <v>1645</v>
      </c>
      <c r="C406" t="s">
        <v>29</v>
      </c>
      <c r="D406" t="s">
        <v>1645</v>
      </c>
      <c r="E406" t="s">
        <v>1646</v>
      </c>
      <c r="F406" t="s">
        <v>1647</v>
      </c>
      <c r="G406" t="s">
        <v>24</v>
      </c>
      <c r="H406" t="s">
        <v>1648</v>
      </c>
      <c r="I406" t="s">
        <v>46</v>
      </c>
      <c r="L406" t="s">
        <v>176</v>
      </c>
      <c r="Q406" t="s">
        <v>48</v>
      </c>
    </row>
    <row r="407" spans="1:17" hidden="1" x14ac:dyDescent="0.25">
      <c r="A407" t="s">
        <v>33</v>
      </c>
      <c r="B407" t="s">
        <v>1649</v>
      </c>
      <c r="C407" t="s">
        <v>21</v>
      </c>
      <c r="D407" t="s">
        <v>1649</v>
      </c>
      <c r="E407" t="s">
        <v>1650</v>
      </c>
      <c r="F407" t="s">
        <v>1651</v>
      </c>
      <c r="G407" t="s">
        <v>24</v>
      </c>
      <c r="H407" t="s">
        <v>1652</v>
      </c>
      <c r="L407" t="s">
        <v>1415</v>
      </c>
    </row>
    <row r="408" spans="1:17" hidden="1" x14ac:dyDescent="0.25">
      <c r="A408" t="s">
        <v>33</v>
      </c>
      <c r="B408" t="s">
        <v>1653</v>
      </c>
      <c r="C408" t="s">
        <v>21</v>
      </c>
      <c r="D408" t="s">
        <v>1653</v>
      </c>
      <c r="E408" t="s">
        <v>1654</v>
      </c>
      <c r="F408" t="s">
        <v>1655</v>
      </c>
      <c r="G408" t="s">
        <v>24</v>
      </c>
      <c r="H408" t="s">
        <v>1656</v>
      </c>
      <c r="I408" t="s">
        <v>46</v>
      </c>
      <c r="L408" t="s">
        <v>53</v>
      </c>
      <c r="Q408" t="s">
        <v>48</v>
      </c>
    </row>
    <row r="409" spans="1:17" hidden="1" x14ac:dyDescent="0.25">
      <c r="A409" t="s">
        <v>33</v>
      </c>
      <c r="B409" t="s">
        <v>1657</v>
      </c>
      <c r="C409" t="s">
        <v>21</v>
      </c>
      <c r="D409" t="s">
        <v>1657</v>
      </c>
      <c r="E409" t="s">
        <v>1658</v>
      </c>
      <c r="F409" t="s">
        <v>285</v>
      </c>
      <c r="G409" t="s">
        <v>24</v>
      </c>
      <c r="H409" t="s">
        <v>1659</v>
      </c>
      <c r="I409" t="s">
        <v>46</v>
      </c>
      <c r="L409" t="s">
        <v>185</v>
      </c>
      <c r="Q409" t="s">
        <v>48</v>
      </c>
    </row>
    <row r="410" spans="1:17" hidden="1" x14ac:dyDescent="0.25">
      <c r="A410" t="s">
        <v>33</v>
      </c>
      <c r="B410" t="s">
        <v>1660</v>
      </c>
      <c r="C410" t="s">
        <v>21</v>
      </c>
      <c r="D410" t="s">
        <v>1660</v>
      </c>
      <c r="E410" t="s">
        <v>159</v>
      </c>
      <c r="F410" t="s">
        <v>1661</v>
      </c>
      <c r="G410" t="s">
        <v>24</v>
      </c>
      <c r="H410" t="s">
        <v>1662</v>
      </c>
      <c r="I410" t="s">
        <v>46</v>
      </c>
      <c r="L410" t="s">
        <v>143</v>
      </c>
      <c r="Q410" t="s">
        <v>48</v>
      </c>
    </row>
    <row r="411" spans="1:17" hidden="1" x14ac:dyDescent="0.25">
      <c r="A411" t="s">
        <v>33</v>
      </c>
      <c r="B411" t="s">
        <v>1663</v>
      </c>
      <c r="C411" t="s">
        <v>21</v>
      </c>
      <c r="D411" t="s">
        <v>1663</v>
      </c>
      <c r="E411" t="s">
        <v>1664</v>
      </c>
      <c r="F411" t="s">
        <v>1665</v>
      </c>
      <c r="G411" t="s">
        <v>24</v>
      </c>
      <c r="H411" t="s">
        <v>1666</v>
      </c>
      <c r="I411" t="s">
        <v>46</v>
      </c>
      <c r="L411" t="s">
        <v>185</v>
      </c>
      <c r="Q411" t="s">
        <v>48</v>
      </c>
    </row>
    <row r="412" spans="1:17" hidden="1" x14ac:dyDescent="0.25">
      <c r="A412" t="s">
        <v>33</v>
      </c>
      <c r="B412" t="s">
        <v>1667</v>
      </c>
      <c r="C412" t="s">
        <v>21</v>
      </c>
      <c r="D412" t="s">
        <v>1667</v>
      </c>
      <c r="E412" t="s">
        <v>1668</v>
      </c>
      <c r="F412" t="s">
        <v>1669</v>
      </c>
      <c r="G412" t="s">
        <v>24</v>
      </c>
      <c r="H412" t="s">
        <v>1670</v>
      </c>
      <c r="I412" t="s">
        <v>46</v>
      </c>
      <c r="L412" t="s">
        <v>1152</v>
      </c>
      <c r="Q412" t="s">
        <v>48</v>
      </c>
    </row>
    <row r="413" spans="1:17" hidden="1" x14ac:dyDescent="0.25">
      <c r="A413" t="s">
        <v>33</v>
      </c>
      <c r="B413" t="s">
        <v>1671</v>
      </c>
      <c r="C413" t="s">
        <v>21</v>
      </c>
      <c r="D413" t="s">
        <v>1671</v>
      </c>
      <c r="E413" t="s">
        <v>334</v>
      </c>
      <c r="F413" t="s">
        <v>505</v>
      </c>
      <c r="G413" t="s">
        <v>24</v>
      </c>
      <c r="H413" t="s">
        <v>1672</v>
      </c>
      <c r="I413" t="s">
        <v>46</v>
      </c>
      <c r="L413" t="s">
        <v>287</v>
      </c>
      <c r="Q413" t="s">
        <v>48</v>
      </c>
    </row>
    <row r="414" spans="1:17" hidden="1" x14ac:dyDescent="0.25">
      <c r="A414" t="s">
        <v>33</v>
      </c>
      <c r="B414" t="s">
        <v>1673</v>
      </c>
      <c r="C414" t="s">
        <v>29</v>
      </c>
      <c r="D414" t="s">
        <v>1673</v>
      </c>
      <c r="E414" t="s">
        <v>667</v>
      </c>
      <c r="F414" t="s">
        <v>1674</v>
      </c>
      <c r="G414" t="s">
        <v>24</v>
      </c>
      <c r="H414" t="s">
        <v>1675</v>
      </c>
      <c r="I414" t="s">
        <v>46</v>
      </c>
      <c r="L414" t="s">
        <v>246</v>
      </c>
      <c r="Q414" t="s">
        <v>48</v>
      </c>
    </row>
    <row r="415" spans="1:17" hidden="1" x14ac:dyDescent="0.25">
      <c r="A415" t="s">
        <v>33</v>
      </c>
      <c r="B415" t="s">
        <v>1676</v>
      </c>
      <c r="C415" t="s">
        <v>21</v>
      </c>
      <c r="D415" t="s">
        <v>1676</v>
      </c>
      <c r="E415" t="s">
        <v>424</v>
      </c>
      <c r="F415" t="s">
        <v>1677</v>
      </c>
      <c r="G415" t="s">
        <v>24</v>
      </c>
      <c r="H415" t="s">
        <v>1678</v>
      </c>
      <c r="I415" t="s">
        <v>46</v>
      </c>
      <c r="L415" t="s">
        <v>53</v>
      </c>
      <c r="Q415" t="s">
        <v>48</v>
      </c>
    </row>
    <row r="416" spans="1:17" hidden="1" x14ac:dyDescent="0.25">
      <c r="A416" t="s">
        <v>33</v>
      </c>
      <c r="B416" t="s">
        <v>1679</v>
      </c>
      <c r="C416" t="s">
        <v>21</v>
      </c>
      <c r="D416" t="s">
        <v>1679</v>
      </c>
      <c r="E416" t="s">
        <v>1680</v>
      </c>
      <c r="F416" t="s">
        <v>1681</v>
      </c>
      <c r="G416" t="s">
        <v>24</v>
      </c>
      <c r="H416" t="s">
        <v>1682</v>
      </c>
      <c r="L416" t="s">
        <v>185</v>
      </c>
    </row>
    <row r="417" spans="1:17" hidden="1" x14ac:dyDescent="0.25">
      <c r="A417" t="s">
        <v>33</v>
      </c>
      <c r="B417" t="s">
        <v>1683</v>
      </c>
      <c r="C417" t="s">
        <v>21</v>
      </c>
      <c r="D417" t="s">
        <v>1683</v>
      </c>
      <c r="E417" t="s">
        <v>1684</v>
      </c>
      <c r="F417" t="s">
        <v>1685</v>
      </c>
      <c r="G417" t="s">
        <v>24</v>
      </c>
      <c r="H417" t="s">
        <v>1686</v>
      </c>
      <c r="I417" t="s">
        <v>46</v>
      </c>
      <c r="L417" t="s">
        <v>647</v>
      </c>
      <c r="Q417" t="s">
        <v>48</v>
      </c>
    </row>
    <row r="418" spans="1:17" hidden="1" x14ac:dyDescent="0.25">
      <c r="A418" t="s">
        <v>33</v>
      </c>
      <c r="B418" t="s">
        <v>1687</v>
      </c>
      <c r="C418" t="s">
        <v>21</v>
      </c>
      <c r="D418" t="s">
        <v>1687</v>
      </c>
      <c r="E418" t="s">
        <v>816</v>
      </c>
      <c r="F418" t="s">
        <v>1688</v>
      </c>
      <c r="G418" t="s">
        <v>24</v>
      </c>
      <c r="H418" t="s">
        <v>1689</v>
      </c>
      <c r="I418" t="s">
        <v>46</v>
      </c>
      <c r="L418" t="s">
        <v>63</v>
      </c>
      <c r="Q418" t="s">
        <v>48</v>
      </c>
    </row>
    <row r="419" spans="1:17" hidden="1" x14ac:dyDescent="0.25">
      <c r="A419" t="s">
        <v>33</v>
      </c>
      <c r="B419" t="s">
        <v>1690</v>
      </c>
      <c r="C419" t="s">
        <v>21</v>
      </c>
      <c r="D419" t="s">
        <v>1690</v>
      </c>
      <c r="E419" t="s">
        <v>22</v>
      </c>
      <c r="F419" t="s">
        <v>1691</v>
      </c>
      <c r="G419" t="s">
        <v>24</v>
      </c>
      <c r="H419" t="s">
        <v>1692</v>
      </c>
      <c r="I419" t="s">
        <v>46</v>
      </c>
      <c r="L419" t="s">
        <v>185</v>
      </c>
      <c r="Q419" t="s">
        <v>48</v>
      </c>
    </row>
    <row r="420" spans="1:17" hidden="1" x14ac:dyDescent="0.25">
      <c r="A420" t="s">
        <v>33</v>
      </c>
      <c r="B420" t="s">
        <v>1693</v>
      </c>
      <c r="C420" t="s">
        <v>21</v>
      </c>
      <c r="D420" t="s">
        <v>1693</v>
      </c>
      <c r="E420" t="s">
        <v>1694</v>
      </c>
      <c r="F420" t="s">
        <v>1695</v>
      </c>
      <c r="G420" t="s">
        <v>24</v>
      </c>
      <c r="H420" t="s">
        <v>1696</v>
      </c>
      <c r="L420" t="s">
        <v>1697</v>
      </c>
    </row>
    <row r="421" spans="1:17" hidden="1" x14ac:dyDescent="0.25">
      <c r="A421" t="s">
        <v>33</v>
      </c>
      <c r="B421" t="s">
        <v>1698</v>
      </c>
      <c r="C421" t="s">
        <v>21</v>
      </c>
      <c r="D421" t="s">
        <v>1698</v>
      </c>
      <c r="E421" t="s">
        <v>1699</v>
      </c>
      <c r="F421" t="s">
        <v>1512</v>
      </c>
      <c r="G421" t="s">
        <v>24</v>
      </c>
      <c r="H421" s="1" t="s">
        <v>1700</v>
      </c>
      <c r="I421" t="s">
        <v>46</v>
      </c>
      <c r="L421" t="s">
        <v>1624</v>
      </c>
      <c r="Q421" t="s">
        <v>48</v>
      </c>
    </row>
    <row r="422" spans="1:17" hidden="1" x14ac:dyDescent="0.25">
      <c r="A422" t="s">
        <v>33</v>
      </c>
      <c r="B422" t="s">
        <v>1701</v>
      </c>
      <c r="C422" t="s">
        <v>21</v>
      </c>
      <c r="D422" t="s">
        <v>1701</v>
      </c>
      <c r="E422" t="s">
        <v>1283</v>
      </c>
      <c r="F422" t="s">
        <v>1702</v>
      </c>
      <c r="G422" t="s">
        <v>24</v>
      </c>
      <c r="H422" t="s">
        <v>1703</v>
      </c>
      <c r="I422" t="s">
        <v>46</v>
      </c>
      <c r="L422" t="s">
        <v>1624</v>
      </c>
      <c r="Q422" t="s">
        <v>48</v>
      </c>
    </row>
    <row r="423" spans="1:17" hidden="1" x14ac:dyDescent="0.25">
      <c r="A423" t="s">
        <v>33</v>
      </c>
      <c r="B423" t="s">
        <v>1704</v>
      </c>
      <c r="C423" t="s">
        <v>21</v>
      </c>
      <c r="D423" t="s">
        <v>1704</v>
      </c>
      <c r="E423" t="s">
        <v>1705</v>
      </c>
      <c r="F423" t="s">
        <v>1706</v>
      </c>
      <c r="G423" t="s">
        <v>24</v>
      </c>
      <c r="H423" s="1" t="s">
        <v>1707</v>
      </c>
      <c r="L423" t="s">
        <v>138</v>
      </c>
    </row>
    <row r="424" spans="1:17" hidden="1" x14ac:dyDescent="0.25">
      <c r="A424" t="s">
        <v>33</v>
      </c>
      <c r="B424" t="s">
        <v>1708</v>
      </c>
      <c r="C424" t="s">
        <v>21</v>
      </c>
      <c r="D424" t="s">
        <v>1708</v>
      </c>
      <c r="E424" t="s">
        <v>1063</v>
      </c>
      <c r="F424" t="s">
        <v>1709</v>
      </c>
      <c r="G424" t="s">
        <v>24</v>
      </c>
      <c r="H424" t="s">
        <v>1710</v>
      </c>
      <c r="L424" t="s">
        <v>138</v>
      </c>
    </row>
    <row r="425" spans="1:17" hidden="1" x14ac:dyDescent="0.25">
      <c r="A425" t="s">
        <v>33</v>
      </c>
      <c r="B425" t="s">
        <v>1711</v>
      </c>
      <c r="C425" t="s">
        <v>21</v>
      </c>
      <c r="D425" t="s">
        <v>1711</v>
      </c>
      <c r="E425" t="s">
        <v>346</v>
      </c>
      <c r="F425" t="s">
        <v>1712</v>
      </c>
      <c r="G425" t="s">
        <v>24</v>
      </c>
      <c r="H425" t="s">
        <v>1713</v>
      </c>
      <c r="I425" t="s">
        <v>46</v>
      </c>
      <c r="L425" t="s">
        <v>185</v>
      </c>
      <c r="Q425" t="s">
        <v>48</v>
      </c>
    </row>
    <row r="426" spans="1:17" hidden="1" x14ac:dyDescent="0.25">
      <c r="A426" t="s">
        <v>33</v>
      </c>
      <c r="B426" t="s">
        <v>1714</v>
      </c>
      <c r="C426" t="s">
        <v>21</v>
      </c>
      <c r="D426" t="s">
        <v>1714</v>
      </c>
      <c r="E426" t="s">
        <v>22</v>
      </c>
      <c r="F426" t="s">
        <v>1715</v>
      </c>
      <c r="G426" t="s">
        <v>24</v>
      </c>
      <c r="H426" t="s">
        <v>1716</v>
      </c>
      <c r="I426" t="s">
        <v>46</v>
      </c>
      <c r="L426" t="s">
        <v>185</v>
      </c>
      <c r="Q426" t="s">
        <v>48</v>
      </c>
    </row>
    <row r="427" spans="1:17" hidden="1" x14ac:dyDescent="0.25">
      <c r="A427" t="s">
        <v>33</v>
      </c>
      <c r="B427" t="s">
        <v>1717</v>
      </c>
      <c r="C427" t="s">
        <v>21</v>
      </c>
      <c r="D427" t="s">
        <v>1717</v>
      </c>
      <c r="E427" t="s">
        <v>1430</v>
      </c>
      <c r="F427" t="s">
        <v>699</v>
      </c>
      <c r="G427" t="s">
        <v>24</v>
      </c>
      <c r="H427" t="s">
        <v>1718</v>
      </c>
      <c r="I427" t="s">
        <v>46</v>
      </c>
      <c r="L427" t="s">
        <v>185</v>
      </c>
      <c r="Q427" t="s">
        <v>48</v>
      </c>
    </row>
    <row r="428" spans="1:17" hidden="1" x14ac:dyDescent="0.25">
      <c r="A428" t="s">
        <v>33</v>
      </c>
      <c r="B428" t="s">
        <v>1719</v>
      </c>
      <c r="C428" t="s">
        <v>21</v>
      </c>
      <c r="D428" t="s">
        <v>1719</v>
      </c>
      <c r="E428" t="s">
        <v>1720</v>
      </c>
      <c r="F428" t="s">
        <v>1721</v>
      </c>
      <c r="G428" t="s">
        <v>24</v>
      </c>
      <c r="H428" t="s">
        <v>1722</v>
      </c>
      <c r="L428" t="s">
        <v>185</v>
      </c>
    </row>
    <row r="429" spans="1:17" hidden="1" x14ac:dyDescent="0.25">
      <c r="A429" t="s">
        <v>33</v>
      </c>
      <c r="B429" t="s">
        <v>1723</v>
      </c>
      <c r="C429" t="s">
        <v>21</v>
      </c>
      <c r="D429" t="s">
        <v>1723</v>
      </c>
      <c r="E429" t="s">
        <v>1724</v>
      </c>
      <c r="F429" t="s">
        <v>1725</v>
      </c>
      <c r="G429" t="s">
        <v>24</v>
      </c>
      <c r="H429" t="s">
        <v>1726</v>
      </c>
      <c r="L429" t="s">
        <v>53</v>
      </c>
    </row>
    <row r="430" spans="1:17" hidden="1" x14ac:dyDescent="0.25">
      <c r="A430" t="s">
        <v>33</v>
      </c>
      <c r="B430" t="s">
        <v>1727</v>
      </c>
      <c r="C430" t="s">
        <v>21</v>
      </c>
      <c r="D430" t="s">
        <v>1727</v>
      </c>
      <c r="E430" t="s">
        <v>1063</v>
      </c>
      <c r="F430" t="s">
        <v>1728</v>
      </c>
      <c r="G430" t="s">
        <v>24</v>
      </c>
      <c r="H430" t="s">
        <v>1729</v>
      </c>
      <c r="I430" t="s">
        <v>46</v>
      </c>
      <c r="L430" t="s">
        <v>185</v>
      </c>
      <c r="Q430" t="s">
        <v>48</v>
      </c>
    </row>
    <row r="431" spans="1:17" hidden="1" x14ac:dyDescent="0.25">
      <c r="A431" t="s">
        <v>33</v>
      </c>
      <c r="B431" t="s">
        <v>1730</v>
      </c>
      <c r="C431" t="s">
        <v>21</v>
      </c>
      <c r="D431" t="s">
        <v>1730</v>
      </c>
      <c r="E431" t="s">
        <v>1731</v>
      </c>
      <c r="F431" t="s">
        <v>1732</v>
      </c>
      <c r="G431" t="s">
        <v>24</v>
      </c>
      <c r="H431" t="s">
        <v>1733</v>
      </c>
      <c r="I431" t="s">
        <v>46</v>
      </c>
      <c r="L431" t="s">
        <v>53</v>
      </c>
      <c r="Q431" t="s">
        <v>48</v>
      </c>
    </row>
    <row r="432" spans="1:17" hidden="1" x14ac:dyDescent="0.25">
      <c r="A432" t="s">
        <v>33</v>
      </c>
      <c r="B432" t="s">
        <v>1734</v>
      </c>
      <c r="C432" t="s">
        <v>21</v>
      </c>
      <c r="D432" t="s">
        <v>1734</v>
      </c>
      <c r="E432" t="s">
        <v>464</v>
      </c>
      <c r="F432" t="s">
        <v>1735</v>
      </c>
      <c r="G432" t="s">
        <v>24</v>
      </c>
      <c r="H432" t="s">
        <v>1736</v>
      </c>
      <c r="I432" t="s">
        <v>46</v>
      </c>
      <c r="L432" t="s">
        <v>185</v>
      </c>
      <c r="Q432" t="s">
        <v>48</v>
      </c>
    </row>
    <row r="433" spans="1:17" hidden="1" x14ac:dyDescent="0.25">
      <c r="A433" t="s">
        <v>33</v>
      </c>
      <c r="B433" t="s">
        <v>1737</v>
      </c>
      <c r="C433" t="s">
        <v>21</v>
      </c>
      <c r="D433" t="s">
        <v>1737</v>
      </c>
      <c r="E433" t="s">
        <v>1738</v>
      </c>
      <c r="F433" t="s">
        <v>1739</v>
      </c>
      <c r="G433" t="s">
        <v>24</v>
      </c>
      <c r="H433" t="s">
        <v>1740</v>
      </c>
      <c r="I433" t="s">
        <v>46</v>
      </c>
      <c r="L433" t="s">
        <v>185</v>
      </c>
      <c r="Q433" t="s">
        <v>48</v>
      </c>
    </row>
    <row r="434" spans="1:17" hidden="1" x14ac:dyDescent="0.25">
      <c r="A434" t="s">
        <v>33</v>
      </c>
      <c r="B434" t="s">
        <v>1741</v>
      </c>
      <c r="C434" t="s">
        <v>21</v>
      </c>
      <c r="D434" t="s">
        <v>1741</v>
      </c>
      <c r="E434" t="s">
        <v>685</v>
      </c>
      <c r="F434" t="s">
        <v>1742</v>
      </c>
      <c r="G434" t="s">
        <v>24</v>
      </c>
      <c r="H434" t="s">
        <v>1743</v>
      </c>
      <c r="I434" t="s">
        <v>46</v>
      </c>
      <c r="L434" t="s">
        <v>185</v>
      </c>
      <c r="Q434" t="s">
        <v>48</v>
      </c>
    </row>
    <row r="435" spans="1:17" hidden="1" x14ac:dyDescent="0.25">
      <c r="A435" t="s">
        <v>33</v>
      </c>
      <c r="B435" t="s">
        <v>1744</v>
      </c>
      <c r="C435" t="s">
        <v>21</v>
      </c>
      <c r="D435" t="s">
        <v>1744</v>
      </c>
      <c r="E435" t="s">
        <v>1745</v>
      </c>
      <c r="F435" t="s">
        <v>1746</v>
      </c>
      <c r="G435" t="s">
        <v>24</v>
      </c>
      <c r="H435" t="s">
        <v>1747</v>
      </c>
      <c r="I435" t="s">
        <v>46</v>
      </c>
      <c r="L435" t="s">
        <v>185</v>
      </c>
      <c r="Q435" t="s">
        <v>48</v>
      </c>
    </row>
    <row r="436" spans="1:17" hidden="1" x14ac:dyDescent="0.25">
      <c r="A436" t="s">
        <v>33</v>
      </c>
      <c r="B436" t="s">
        <v>1748</v>
      </c>
      <c r="C436" t="s">
        <v>21</v>
      </c>
      <c r="D436" t="s">
        <v>1748</v>
      </c>
      <c r="E436" t="s">
        <v>1749</v>
      </c>
      <c r="F436" t="s">
        <v>1750</v>
      </c>
      <c r="G436" t="s">
        <v>24</v>
      </c>
      <c r="H436" t="s">
        <v>1751</v>
      </c>
      <c r="I436" t="s">
        <v>46</v>
      </c>
      <c r="L436" t="s">
        <v>185</v>
      </c>
      <c r="Q436" t="s">
        <v>48</v>
      </c>
    </row>
    <row r="437" spans="1:17" hidden="1" x14ac:dyDescent="0.25">
      <c r="A437" t="s">
        <v>33</v>
      </c>
      <c r="B437" t="s">
        <v>1752</v>
      </c>
      <c r="C437" t="s">
        <v>21</v>
      </c>
      <c r="D437" t="s">
        <v>1752</v>
      </c>
      <c r="E437" t="s">
        <v>835</v>
      </c>
      <c r="F437" t="s">
        <v>1753</v>
      </c>
      <c r="G437" t="s">
        <v>24</v>
      </c>
      <c r="H437" t="s">
        <v>1754</v>
      </c>
      <c r="I437" t="s">
        <v>46</v>
      </c>
      <c r="L437" t="s">
        <v>185</v>
      </c>
      <c r="Q437" t="s">
        <v>48</v>
      </c>
    </row>
    <row r="438" spans="1:17" hidden="1" x14ac:dyDescent="0.25">
      <c r="A438" t="s">
        <v>33</v>
      </c>
      <c r="B438" t="s">
        <v>1755</v>
      </c>
      <c r="C438" t="s">
        <v>21</v>
      </c>
      <c r="D438" t="s">
        <v>1755</v>
      </c>
      <c r="E438" t="s">
        <v>610</v>
      </c>
      <c r="F438" t="s">
        <v>101</v>
      </c>
      <c r="G438" t="s">
        <v>24</v>
      </c>
      <c r="H438" t="s">
        <v>1756</v>
      </c>
      <c r="L438" t="s">
        <v>1632</v>
      </c>
    </row>
    <row r="439" spans="1:17" hidden="1" x14ac:dyDescent="0.25">
      <c r="A439" t="s">
        <v>33</v>
      </c>
      <c r="B439" t="s">
        <v>1757</v>
      </c>
      <c r="C439" t="s">
        <v>21</v>
      </c>
      <c r="D439" t="s">
        <v>1757</v>
      </c>
      <c r="E439" t="s">
        <v>1758</v>
      </c>
      <c r="F439" t="s">
        <v>1759</v>
      </c>
      <c r="G439" t="s">
        <v>24</v>
      </c>
      <c r="H439" t="s">
        <v>1760</v>
      </c>
      <c r="L439" t="s">
        <v>53</v>
      </c>
    </row>
    <row r="440" spans="1:17" hidden="1" x14ac:dyDescent="0.25">
      <c r="A440" t="s">
        <v>33</v>
      </c>
      <c r="B440" t="s">
        <v>1761</v>
      </c>
      <c r="C440" t="s">
        <v>21</v>
      </c>
      <c r="D440" t="s">
        <v>1761</v>
      </c>
      <c r="E440" t="s">
        <v>1762</v>
      </c>
      <c r="F440" t="s">
        <v>1763</v>
      </c>
      <c r="G440" t="s">
        <v>24</v>
      </c>
      <c r="H440" t="s">
        <v>1764</v>
      </c>
      <c r="I440" t="s">
        <v>46</v>
      </c>
      <c r="L440" t="s">
        <v>185</v>
      </c>
      <c r="Q440" t="s">
        <v>48</v>
      </c>
    </row>
    <row r="441" spans="1:17" hidden="1" x14ac:dyDescent="0.25">
      <c r="A441" t="s">
        <v>33</v>
      </c>
      <c r="B441" t="s">
        <v>1765</v>
      </c>
      <c r="C441" t="s">
        <v>21</v>
      </c>
      <c r="D441" t="s">
        <v>1765</v>
      </c>
      <c r="E441" t="s">
        <v>1766</v>
      </c>
      <c r="F441" t="s">
        <v>1767</v>
      </c>
      <c r="G441" t="s">
        <v>24</v>
      </c>
      <c r="H441" t="s">
        <v>1768</v>
      </c>
      <c r="I441" t="s">
        <v>46</v>
      </c>
      <c r="L441" t="s">
        <v>914</v>
      </c>
      <c r="Q441" t="s">
        <v>48</v>
      </c>
    </row>
    <row r="442" spans="1:17" hidden="1" x14ac:dyDescent="0.25">
      <c r="A442" t="s">
        <v>33</v>
      </c>
      <c r="B442" t="s">
        <v>1769</v>
      </c>
      <c r="C442" t="s">
        <v>21</v>
      </c>
      <c r="D442" t="s">
        <v>1769</v>
      </c>
      <c r="E442" t="s">
        <v>1770</v>
      </c>
      <c r="F442" t="s">
        <v>1771</v>
      </c>
      <c r="G442" t="s">
        <v>24</v>
      </c>
      <c r="H442" t="s">
        <v>1772</v>
      </c>
      <c r="I442" t="s">
        <v>46</v>
      </c>
      <c r="L442" t="s">
        <v>53</v>
      </c>
      <c r="Q442" t="s">
        <v>48</v>
      </c>
    </row>
    <row r="443" spans="1:17" hidden="1" x14ac:dyDescent="0.25">
      <c r="A443" t="s">
        <v>33</v>
      </c>
      <c r="B443" t="s">
        <v>1773</v>
      </c>
      <c r="C443" t="s">
        <v>21</v>
      </c>
      <c r="D443" t="s">
        <v>1773</v>
      </c>
      <c r="E443" t="s">
        <v>420</v>
      </c>
      <c r="F443" t="s">
        <v>1774</v>
      </c>
      <c r="G443" t="s">
        <v>24</v>
      </c>
      <c r="H443" t="s">
        <v>1775</v>
      </c>
      <c r="L443" t="s">
        <v>185</v>
      </c>
    </row>
    <row r="444" spans="1:17" hidden="1" x14ac:dyDescent="0.25">
      <c r="A444" t="s">
        <v>33</v>
      </c>
      <c r="B444" t="s">
        <v>1776</v>
      </c>
      <c r="C444" t="s">
        <v>21</v>
      </c>
      <c r="D444" t="s">
        <v>1776</v>
      </c>
      <c r="E444" t="s">
        <v>1242</v>
      </c>
      <c r="F444" t="s">
        <v>1777</v>
      </c>
      <c r="G444" t="s">
        <v>24</v>
      </c>
      <c r="H444" t="s">
        <v>1778</v>
      </c>
      <c r="I444" t="s">
        <v>46</v>
      </c>
      <c r="L444" t="s">
        <v>185</v>
      </c>
      <c r="Q444" t="s">
        <v>48</v>
      </c>
    </row>
    <row r="445" spans="1:17" hidden="1" x14ac:dyDescent="0.25">
      <c r="A445" t="s">
        <v>33</v>
      </c>
      <c r="B445" t="s">
        <v>1779</v>
      </c>
      <c r="C445" t="s">
        <v>21</v>
      </c>
      <c r="D445" t="s">
        <v>1779</v>
      </c>
      <c r="E445" t="s">
        <v>1780</v>
      </c>
      <c r="F445" t="s">
        <v>1781</v>
      </c>
      <c r="G445" t="s">
        <v>24</v>
      </c>
      <c r="H445" t="s">
        <v>1782</v>
      </c>
      <c r="I445" t="s">
        <v>46</v>
      </c>
      <c r="L445" t="s">
        <v>53</v>
      </c>
      <c r="Q445" t="s">
        <v>48</v>
      </c>
    </row>
    <row r="446" spans="1:17" hidden="1" x14ac:dyDescent="0.25">
      <c r="A446" t="s">
        <v>33</v>
      </c>
      <c r="B446" t="s">
        <v>1783</v>
      </c>
      <c r="C446" t="s">
        <v>21</v>
      </c>
      <c r="D446" t="s">
        <v>1783</v>
      </c>
      <c r="E446" t="s">
        <v>1283</v>
      </c>
      <c r="F446" t="s">
        <v>1784</v>
      </c>
      <c r="G446" t="s">
        <v>24</v>
      </c>
      <c r="H446" t="s">
        <v>1785</v>
      </c>
      <c r="I446" t="s">
        <v>46</v>
      </c>
      <c r="L446" t="s">
        <v>185</v>
      </c>
      <c r="Q446" t="s">
        <v>48</v>
      </c>
    </row>
    <row r="447" spans="1:17" hidden="1" x14ac:dyDescent="0.25">
      <c r="A447" t="s">
        <v>33</v>
      </c>
      <c r="B447" t="s">
        <v>1786</v>
      </c>
      <c r="C447" t="s">
        <v>21</v>
      </c>
      <c r="D447" t="s">
        <v>1786</v>
      </c>
      <c r="E447" t="s">
        <v>1787</v>
      </c>
      <c r="F447" t="s">
        <v>1788</v>
      </c>
      <c r="G447" t="s">
        <v>24</v>
      </c>
      <c r="H447" t="s">
        <v>1789</v>
      </c>
      <c r="I447" t="s">
        <v>46</v>
      </c>
      <c r="L447" t="s">
        <v>185</v>
      </c>
      <c r="Q447" t="s">
        <v>48</v>
      </c>
    </row>
    <row r="448" spans="1:17" hidden="1" x14ac:dyDescent="0.25">
      <c r="A448" t="s">
        <v>33</v>
      </c>
      <c r="B448" t="s">
        <v>1790</v>
      </c>
      <c r="C448" t="s">
        <v>21</v>
      </c>
      <c r="D448" t="s">
        <v>1790</v>
      </c>
      <c r="E448" t="s">
        <v>1791</v>
      </c>
      <c r="F448" t="s">
        <v>1792</v>
      </c>
      <c r="G448" t="s">
        <v>24</v>
      </c>
      <c r="H448" t="s">
        <v>1793</v>
      </c>
      <c r="I448" t="s">
        <v>46</v>
      </c>
      <c r="L448" t="s">
        <v>185</v>
      </c>
      <c r="Q448" t="s">
        <v>48</v>
      </c>
    </row>
    <row r="449" spans="1:17" hidden="1" x14ac:dyDescent="0.25">
      <c r="A449" t="s">
        <v>33</v>
      </c>
      <c r="B449" t="s">
        <v>1794</v>
      </c>
      <c r="C449" t="s">
        <v>21</v>
      </c>
      <c r="D449" t="s">
        <v>1794</v>
      </c>
      <c r="E449" t="s">
        <v>1795</v>
      </c>
      <c r="F449" t="s">
        <v>1796</v>
      </c>
      <c r="G449" t="s">
        <v>24</v>
      </c>
      <c r="H449" t="s">
        <v>1797</v>
      </c>
      <c r="I449" t="s">
        <v>46</v>
      </c>
      <c r="L449" t="s">
        <v>185</v>
      </c>
      <c r="Q449" t="s">
        <v>48</v>
      </c>
    </row>
    <row r="450" spans="1:17" hidden="1" x14ac:dyDescent="0.25">
      <c r="A450" t="s">
        <v>33</v>
      </c>
      <c r="B450" t="s">
        <v>1798</v>
      </c>
      <c r="C450" t="s">
        <v>21</v>
      </c>
      <c r="D450" t="s">
        <v>1798</v>
      </c>
      <c r="E450" t="s">
        <v>1799</v>
      </c>
      <c r="F450" t="s">
        <v>1800</v>
      </c>
      <c r="G450" t="s">
        <v>24</v>
      </c>
      <c r="H450" t="s">
        <v>1801</v>
      </c>
      <c r="I450" t="s">
        <v>46</v>
      </c>
      <c r="L450" t="s">
        <v>119</v>
      </c>
      <c r="Q450" t="s">
        <v>48</v>
      </c>
    </row>
    <row r="451" spans="1:17" hidden="1" x14ac:dyDescent="0.25">
      <c r="A451" t="s">
        <v>33</v>
      </c>
      <c r="B451" t="s">
        <v>1802</v>
      </c>
      <c r="C451" t="s">
        <v>21</v>
      </c>
      <c r="D451" t="s">
        <v>1802</v>
      </c>
      <c r="E451" t="s">
        <v>204</v>
      </c>
      <c r="F451" t="s">
        <v>1803</v>
      </c>
      <c r="G451" t="s">
        <v>24</v>
      </c>
      <c r="H451" t="s">
        <v>1804</v>
      </c>
      <c r="I451" t="s">
        <v>46</v>
      </c>
      <c r="L451" t="s">
        <v>185</v>
      </c>
      <c r="Q451" t="s">
        <v>48</v>
      </c>
    </row>
    <row r="452" spans="1:17" hidden="1" x14ac:dyDescent="0.25">
      <c r="A452" t="s">
        <v>33</v>
      </c>
      <c r="B452" t="s">
        <v>1805</v>
      </c>
      <c r="C452" t="s">
        <v>21</v>
      </c>
      <c r="D452" t="s">
        <v>1805</v>
      </c>
      <c r="E452" t="s">
        <v>1806</v>
      </c>
      <c r="F452" t="s">
        <v>1807</v>
      </c>
      <c r="G452" t="s">
        <v>24</v>
      </c>
      <c r="H452" t="s">
        <v>1808</v>
      </c>
      <c r="I452" t="s">
        <v>46</v>
      </c>
      <c r="L452" t="s">
        <v>185</v>
      </c>
      <c r="Q452" t="s">
        <v>48</v>
      </c>
    </row>
    <row r="453" spans="1:17" hidden="1" x14ac:dyDescent="0.25">
      <c r="A453" t="s">
        <v>33</v>
      </c>
      <c r="B453" t="s">
        <v>1809</v>
      </c>
      <c r="C453" t="s">
        <v>21</v>
      </c>
      <c r="D453" t="s">
        <v>1809</v>
      </c>
      <c r="E453" t="s">
        <v>1810</v>
      </c>
      <c r="F453" t="s">
        <v>1655</v>
      </c>
      <c r="G453" t="s">
        <v>24</v>
      </c>
      <c r="H453" t="s">
        <v>1811</v>
      </c>
      <c r="I453" t="s">
        <v>46</v>
      </c>
      <c r="L453" t="s">
        <v>138</v>
      </c>
      <c r="Q453" t="s">
        <v>48</v>
      </c>
    </row>
    <row r="454" spans="1:17" hidden="1" x14ac:dyDescent="0.25">
      <c r="A454" t="s">
        <v>33</v>
      </c>
      <c r="B454" t="s">
        <v>1812</v>
      </c>
      <c r="C454" t="s">
        <v>21</v>
      </c>
      <c r="D454" t="s">
        <v>1812</v>
      </c>
      <c r="E454" t="s">
        <v>1813</v>
      </c>
      <c r="F454" t="s">
        <v>1315</v>
      </c>
      <c r="G454" t="s">
        <v>24</v>
      </c>
      <c r="H454" t="s">
        <v>1814</v>
      </c>
      <c r="L454" t="s">
        <v>185</v>
      </c>
    </row>
    <row r="455" spans="1:17" hidden="1" x14ac:dyDescent="0.25">
      <c r="A455" t="s">
        <v>33</v>
      </c>
      <c r="B455" t="s">
        <v>1815</v>
      </c>
      <c r="C455" t="s">
        <v>21</v>
      </c>
      <c r="D455" t="s">
        <v>1815</v>
      </c>
      <c r="E455" t="s">
        <v>1816</v>
      </c>
      <c r="F455" t="s">
        <v>951</v>
      </c>
      <c r="G455" t="s">
        <v>24</v>
      </c>
      <c r="H455" t="s">
        <v>1817</v>
      </c>
      <c r="L455" t="s">
        <v>185</v>
      </c>
    </row>
    <row r="456" spans="1:17" hidden="1" x14ac:dyDescent="0.25">
      <c r="A456" t="s">
        <v>33</v>
      </c>
      <c r="B456" t="s">
        <v>1818</v>
      </c>
      <c r="C456" t="s">
        <v>21</v>
      </c>
      <c r="D456" t="s">
        <v>1818</v>
      </c>
      <c r="E456" t="s">
        <v>70</v>
      </c>
      <c r="F456" t="s">
        <v>1819</v>
      </c>
      <c r="G456" t="s">
        <v>24</v>
      </c>
      <c r="H456" t="s">
        <v>1820</v>
      </c>
      <c r="I456" t="s">
        <v>46</v>
      </c>
      <c r="L456" t="s">
        <v>185</v>
      </c>
      <c r="Q456" t="s">
        <v>48</v>
      </c>
    </row>
    <row r="457" spans="1:17" hidden="1" x14ac:dyDescent="0.25">
      <c r="A457" t="s">
        <v>33</v>
      </c>
      <c r="B457" t="s">
        <v>1821</v>
      </c>
      <c r="C457" t="s">
        <v>21</v>
      </c>
      <c r="D457" t="s">
        <v>1821</v>
      </c>
      <c r="E457" t="s">
        <v>178</v>
      </c>
      <c r="F457" t="s">
        <v>1822</v>
      </c>
      <c r="G457" t="s">
        <v>24</v>
      </c>
      <c r="H457" t="s">
        <v>1823</v>
      </c>
      <c r="I457" t="s">
        <v>46</v>
      </c>
      <c r="L457" t="s">
        <v>914</v>
      </c>
      <c r="Q457" t="s">
        <v>48</v>
      </c>
    </row>
    <row r="458" spans="1:17" hidden="1" x14ac:dyDescent="0.25">
      <c r="A458" t="s">
        <v>33</v>
      </c>
      <c r="B458" t="s">
        <v>1824</v>
      </c>
      <c r="C458" t="s">
        <v>21</v>
      </c>
      <c r="D458" t="s">
        <v>1824</v>
      </c>
      <c r="E458" t="s">
        <v>606</v>
      </c>
      <c r="F458" t="s">
        <v>1825</v>
      </c>
      <c r="G458" t="s">
        <v>24</v>
      </c>
      <c r="H458" t="s">
        <v>1826</v>
      </c>
      <c r="L458" t="s">
        <v>185</v>
      </c>
    </row>
    <row r="459" spans="1:17" hidden="1" x14ac:dyDescent="0.25">
      <c r="A459" t="s">
        <v>33</v>
      </c>
      <c r="B459" t="s">
        <v>1827</v>
      </c>
      <c r="C459" t="s">
        <v>21</v>
      </c>
      <c r="D459" t="s">
        <v>1827</v>
      </c>
      <c r="E459" t="s">
        <v>1828</v>
      </c>
      <c r="F459" t="s">
        <v>1829</v>
      </c>
      <c r="G459" t="s">
        <v>24</v>
      </c>
      <c r="H459" t="s">
        <v>1830</v>
      </c>
      <c r="I459" t="s">
        <v>46</v>
      </c>
      <c r="L459" t="s">
        <v>53</v>
      </c>
      <c r="Q459" t="s">
        <v>48</v>
      </c>
    </row>
    <row r="460" spans="1:17" hidden="1" x14ac:dyDescent="0.25">
      <c r="A460" t="s">
        <v>33</v>
      </c>
      <c r="B460" t="s">
        <v>1831</v>
      </c>
      <c r="C460" t="s">
        <v>21</v>
      </c>
      <c r="D460" t="s">
        <v>1831</v>
      </c>
      <c r="E460" t="s">
        <v>1832</v>
      </c>
      <c r="F460" t="s">
        <v>1833</v>
      </c>
      <c r="G460" t="s">
        <v>24</v>
      </c>
      <c r="H460" t="s">
        <v>1834</v>
      </c>
      <c r="I460" t="s">
        <v>46</v>
      </c>
      <c r="L460" t="s">
        <v>185</v>
      </c>
      <c r="Q460" t="s">
        <v>48</v>
      </c>
    </row>
    <row r="461" spans="1:17" hidden="1" x14ac:dyDescent="0.25">
      <c r="A461" t="s">
        <v>33</v>
      </c>
      <c r="B461" t="s">
        <v>1835</v>
      </c>
      <c r="C461" t="s">
        <v>21</v>
      </c>
      <c r="D461" t="s">
        <v>1835</v>
      </c>
      <c r="E461" t="s">
        <v>1836</v>
      </c>
      <c r="F461" t="s">
        <v>1837</v>
      </c>
      <c r="G461" t="s">
        <v>24</v>
      </c>
      <c r="H461" t="s">
        <v>1838</v>
      </c>
      <c r="L461" t="s">
        <v>185</v>
      </c>
    </row>
    <row r="462" spans="1:17" hidden="1" x14ac:dyDescent="0.25">
      <c r="A462" t="s">
        <v>33</v>
      </c>
      <c r="B462" t="s">
        <v>1839</v>
      </c>
      <c r="C462" t="s">
        <v>21</v>
      </c>
      <c r="D462" t="s">
        <v>1839</v>
      </c>
      <c r="E462" t="s">
        <v>1345</v>
      </c>
      <c r="F462" t="s">
        <v>1840</v>
      </c>
      <c r="G462" t="s">
        <v>24</v>
      </c>
      <c r="H462" t="s">
        <v>1841</v>
      </c>
      <c r="I462" t="s">
        <v>46</v>
      </c>
      <c r="L462" t="s">
        <v>914</v>
      </c>
      <c r="Q462" t="s">
        <v>48</v>
      </c>
    </row>
    <row r="463" spans="1:17" hidden="1" x14ac:dyDescent="0.25">
      <c r="A463" t="s">
        <v>33</v>
      </c>
      <c r="B463" t="s">
        <v>1842</v>
      </c>
      <c r="C463" t="s">
        <v>21</v>
      </c>
      <c r="D463" t="s">
        <v>1842</v>
      </c>
      <c r="E463" t="s">
        <v>1843</v>
      </c>
      <c r="F463" t="s">
        <v>1844</v>
      </c>
      <c r="G463" t="s">
        <v>24</v>
      </c>
      <c r="H463" t="s">
        <v>1845</v>
      </c>
      <c r="I463" t="s">
        <v>46</v>
      </c>
      <c r="L463" t="s">
        <v>185</v>
      </c>
      <c r="Q463" t="s">
        <v>48</v>
      </c>
    </row>
    <row r="464" spans="1:17" hidden="1" x14ac:dyDescent="0.25">
      <c r="A464" t="s">
        <v>33</v>
      </c>
      <c r="B464" t="s">
        <v>1846</v>
      </c>
      <c r="C464" t="s">
        <v>21</v>
      </c>
      <c r="D464" t="s">
        <v>1846</v>
      </c>
      <c r="E464" t="s">
        <v>519</v>
      </c>
      <c r="F464" t="s">
        <v>1847</v>
      </c>
      <c r="G464" t="s">
        <v>24</v>
      </c>
      <c r="H464" t="s">
        <v>1848</v>
      </c>
      <c r="L464" t="s">
        <v>185</v>
      </c>
    </row>
    <row r="465" spans="1:17" hidden="1" x14ac:dyDescent="0.25">
      <c r="A465" t="s">
        <v>33</v>
      </c>
      <c r="B465" t="s">
        <v>1849</v>
      </c>
      <c r="C465" t="s">
        <v>21</v>
      </c>
      <c r="D465" t="s">
        <v>1849</v>
      </c>
      <c r="E465" t="s">
        <v>1015</v>
      </c>
      <c r="F465" t="s">
        <v>1850</v>
      </c>
      <c r="G465" t="s">
        <v>24</v>
      </c>
      <c r="H465" t="s">
        <v>1851</v>
      </c>
      <c r="I465" t="s">
        <v>46</v>
      </c>
      <c r="L465" t="s">
        <v>185</v>
      </c>
      <c r="Q465" t="s">
        <v>48</v>
      </c>
    </row>
    <row r="466" spans="1:17" hidden="1" x14ac:dyDescent="0.25">
      <c r="A466" t="s">
        <v>33</v>
      </c>
      <c r="B466" t="s">
        <v>1852</v>
      </c>
      <c r="C466" t="s">
        <v>21</v>
      </c>
      <c r="D466" t="s">
        <v>1852</v>
      </c>
      <c r="E466" t="s">
        <v>1430</v>
      </c>
      <c r="F466" t="s">
        <v>1853</v>
      </c>
      <c r="G466" t="s">
        <v>24</v>
      </c>
      <c r="H466" t="s">
        <v>1854</v>
      </c>
      <c r="L466" t="s">
        <v>185</v>
      </c>
    </row>
    <row r="467" spans="1:17" hidden="1" x14ac:dyDescent="0.25">
      <c r="A467" t="s">
        <v>33</v>
      </c>
      <c r="B467" t="s">
        <v>1855</v>
      </c>
      <c r="C467" t="s">
        <v>21</v>
      </c>
      <c r="D467" t="s">
        <v>1855</v>
      </c>
      <c r="E467" t="s">
        <v>168</v>
      </c>
      <c r="F467" t="s">
        <v>822</v>
      </c>
      <c r="G467" t="s">
        <v>24</v>
      </c>
      <c r="H467" t="s">
        <v>1856</v>
      </c>
      <c r="I467" t="s">
        <v>46</v>
      </c>
      <c r="L467" t="s">
        <v>138</v>
      </c>
      <c r="Q467" t="s">
        <v>48</v>
      </c>
    </row>
    <row r="468" spans="1:17" hidden="1" x14ac:dyDescent="0.25">
      <c r="A468" t="s">
        <v>33</v>
      </c>
      <c r="B468" t="s">
        <v>1857</v>
      </c>
      <c r="C468" t="s">
        <v>21</v>
      </c>
      <c r="D468" t="s">
        <v>1857</v>
      </c>
      <c r="E468" t="s">
        <v>1858</v>
      </c>
      <c r="F468" t="s">
        <v>1859</v>
      </c>
      <c r="G468" t="s">
        <v>24</v>
      </c>
      <c r="H468" t="s">
        <v>1860</v>
      </c>
      <c r="I468" t="s">
        <v>46</v>
      </c>
      <c r="L468" t="s">
        <v>1013</v>
      </c>
      <c r="Q468" t="s">
        <v>48</v>
      </c>
    </row>
    <row r="469" spans="1:17" hidden="1" x14ac:dyDescent="0.25">
      <c r="A469" t="s">
        <v>33</v>
      </c>
      <c r="B469" t="s">
        <v>1861</v>
      </c>
      <c r="C469" t="s">
        <v>21</v>
      </c>
      <c r="D469" t="s">
        <v>1861</v>
      </c>
      <c r="E469" t="s">
        <v>1862</v>
      </c>
      <c r="F469" t="s">
        <v>1863</v>
      </c>
      <c r="G469" t="s">
        <v>24</v>
      </c>
      <c r="H469" t="s">
        <v>1864</v>
      </c>
      <c r="L469" t="s">
        <v>185</v>
      </c>
    </row>
    <row r="470" spans="1:17" hidden="1" x14ac:dyDescent="0.25">
      <c r="A470" t="s">
        <v>33</v>
      </c>
      <c r="B470" t="s">
        <v>1865</v>
      </c>
      <c r="C470" t="s">
        <v>21</v>
      </c>
      <c r="D470" t="s">
        <v>1865</v>
      </c>
      <c r="E470" t="s">
        <v>939</v>
      </c>
      <c r="F470" t="s">
        <v>1866</v>
      </c>
      <c r="G470" t="s">
        <v>24</v>
      </c>
      <c r="H470" t="s">
        <v>1867</v>
      </c>
      <c r="I470" t="s">
        <v>46</v>
      </c>
      <c r="L470" t="s">
        <v>415</v>
      </c>
      <c r="Q470" t="s">
        <v>48</v>
      </c>
    </row>
    <row r="471" spans="1:17" hidden="1" x14ac:dyDescent="0.25">
      <c r="A471" t="s">
        <v>33</v>
      </c>
      <c r="B471" t="s">
        <v>1868</v>
      </c>
      <c r="C471" t="s">
        <v>21</v>
      </c>
      <c r="D471" t="s">
        <v>1868</v>
      </c>
      <c r="E471" t="s">
        <v>660</v>
      </c>
      <c r="F471" t="s">
        <v>1869</v>
      </c>
      <c r="G471" t="s">
        <v>24</v>
      </c>
      <c r="H471" t="s">
        <v>1870</v>
      </c>
      <c r="L471" t="s">
        <v>370</v>
      </c>
    </row>
    <row r="472" spans="1:17" hidden="1" x14ac:dyDescent="0.25">
      <c r="A472" t="s">
        <v>33</v>
      </c>
      <c r="B472" t="s">
        <v>1871</v>
      </c>
      <c r="C472" t="s">
        <v>21</v>
      </c>
      <c r="D472" t="s">
        <v>1871</v>
      </c>
      <c r="E472" t="s">
        <v>1872</v>
      </c>
      <c r="F472" t="s">
        <v>1873</v>
      </c>
      <c r="G472" t="s">
        <v>24</v>
      </c>
      <c r="H472" t="s">
        <v>1874</v>
      </c>
      <c r="I472" t="s">
        <v>46</v>
      </c>
      <c r="L472" t="s">
        <v>530</v>
      </c>
      <c r="Q472" t="s">
        <v>48</v>
      </c>
    </row>
    <row r="473" spans="1:17" hidden="1" x14ac:dyDescent="0.25">
      <c r="A473" t="s">
        <v>33</v>
      </c>
      <c r="B473" t="s">
        <v>1875</v>
      </c>
      <c r="C473" t="s">
        <v>21</v>
      </c>
      <c r="D473" t="s">
        <v>1875</v>
      </c>
      <c r="E473" t="s">
        <v>1876</v>
      </c>
      <c r="F473" t="s">
        <v>1877</v>
      </c>
      <c r="G473" t="s">
        <v>24</v>
      </c>
      <c r="H473" t="s">
        <v>1878</v>
      </c>
      <c r="I473" t="s">
        <v>46</v>
      </c>
      <c r="L473" t="s">
        <v>415</v>
      </c>
      <c r="Q473" t="s">
        <v>48</v>
      </c>
    </row>
    <row r="474" spans="1:17" hidden="1" x14ac:dyDescent="0.25">
      <c r="A474" t="s">
        <v>33</v>
      </c>
      <c r="B474" t="s">
        <v>1879</v>
      </c>
      <c r="C474" t="s">
        <v>21</v>
      </c>
      <c r="D474" t="s">
        <v>1879</v>
      </c>
      <c r="E474" t="s">
        <v>606</v>
      </c>
      <c r="F474" t="s">
        <v>1880</v>
      </c>
      <c r="G474" t="s">
        <v>24</v>
      </c>
      <c r="H474" t="s">
        <v>1881</v>
      </c>
      <c r="L474" t="s">
        <v>53</v>
      </c>
    </row>
    <row r="475" spans="1:17" hidden="1" x14ac:dyDescent="0.25">
      <c r="A475" t="s">
        <v>33</v>
      </c>
      <c r="B475" t="s">
        <v>1882</v>
      </c>
      <c r="C475" t="s">
        <v>21</v>
      </c>
      <c r="D475" t="s">
        <v>1882</v>
      </c>
      <c r="E475" t="s">
        <v>1883</v>
      </c>
      <c r="F475" t="s">
        <v>1884</v>
      </c>
      <c r="G475" t="s">
        <v>24</v>
      </c>
      <c r="H475" t="s">
        <v>1885</v>
      </c>
      <c r="L475" t="s">
        <v>38</v>
      </c>
    </row>
    <row r="476" spans="1:17" hidden="1" x14ac:dyDescent="0.25">
      <c r="A476" t="s">
        <v>33</v>
      </c>
      <c r="B476" t="s">
        <v>1886</v>
      </c>
      <c r="C476" t="s">
        <v>21</v>
      </c>
      <c r="D476" t="s">
        <v>1886</v>
      </c>
      <c r="E476" t="s">
        <v>606</v>
      </c>
      <c r="F476" t="s">
        <v>384</v>
      </c>
      <c r="G476" t="s">
        <v>24</v>
      </c>
      <c r="H476" s="1" t="s">
        <v>1887</v>
      </c>
      <c r="I476" t="s">
        <v>46</v>
      </c>
      <c r="L476" t="s">
        <v>479</v>
      </c>
      <c r="Q476" t="s">
        <v>48</v>
      </c>
    </row>
    <row r="477" spans="1:17" hidden="1" x14ac:dyDescent="0.25">
      <c r="A477" t="s">
        <v>33</v>
      </c>
      <c r="B477" t="s">
        <v>1888</v>
      </c>
      <c r="C477" t="s">
        <v>21</v>
      </c>
      <c r="D477" t="s">
        <v>1888</v>
      </c>
      <c r="E477" t="s">
        <v>1889</v>
      </c>
      <c r="F477" t="s">
        <v>1890</v>
      </c>
      <c r="G477" t="s">
        <v>24</v>
      </c>
      <c r="H477" t="s">
        <v>1891</v>
      </c>
      <c r="L477" t="s">
        <v>824</v>
      </c>
    </row>
    <row r="478" spans="1:17" hidden="1" x14ac:dyDescent="0.25">
      <c r="A478" t="s">
        <v>33</v>
      </c>
      <c r="B478" t="s">
        <v>1892</v>
      </c>
      <c r="C478" t="s">
        <v>21</v>
      </c>
      <c r="D478" t="s">
        <v>1892</v>
      </c>
      <c r="E478" t="s">
        <v>1893</v>
      </c>
      <c r="F478" t="s">
        <v>1866</v>
      </c>
      <c r="G478" t="s">
        <v>24</v>
      </c>
      <c r="H478" s="1" t="s">
        <v>1894</v>
      </c>
      <c r="I478" t="s">
        <v>46</v>
      </c>
      <c r="L478" t="s">
        <v>1895</v>
      </c>
      <c r="Q478" t="s">
        <v>48</v>
      </c>
    </row>
    <row r="479" spans="1:17" hidden="1" x14ac:dyDescent="0.25">
      <c r="A479" t="s">
        <v>33</v>
      </c>
      <c r="B479" t="s">
        <v>1896</v>
      </c>
      <c r="C479" t="s">
        <v>21</v>
      </c>
      <c r="D479" t="s">
        <v>1897</v>
      </c>
      <c r="E479" t="s">
        <v>1898</v>
      </c>
      <c r="F479" t="s">
        <v>1899</v>
      </c>
      <c r="G479" t="s">
        <v>24</v>
      </c>
      <c r="H479" t="s">
        <v>1900</v>
      </c>
      <c r="L479" t="s">
        <v>119</v>
      </c>
    </row>
    <row r="480" spans="1:17" hidden="1" x14ac:dyDescent="0.25">
      <c r="A480" t="s">
        <v>33</v>
      </c>
      <c r="B480" t="s">
        <v>1901</v>
      </c>
      <c r="C480" t="s">
        <v>21</v>
      </c>
      <c r="D480" t="s">
        <v>1901</v>
      </c>
      <c r="E480" t="s">
        <v>1902</v>
      </c>
      <c r="F480" t="s">
        <v>1903</v>
      </c>
      <c r="G480" t="s">
        <v>24</v>
      </c>
      <c r="H480" t="s">
        <v>1904</v>
      </c>
      <c r="I480" t="s">
        <v>46</v>
      </c>
      <c r="L480" t="s">
        <v>38</v>
      </c>
      <c r="Q480" t="s">
        <v>48</v>
      </c>
    </row>
    <row r="481" spans="1:17" hidden="1" x14ac:dyDescent="0.25">
      <c r="A481" t="s">
        <v>33</v>
      </c>
      <c r="B481" t="s">
        <v>1905</v>
      </c>
      <c r="C481" t="s">
        <v>21</v>
      </c>
      <c r="D481" t="s">
        <v>1905</v>
      </c>
      <c r="E481" t="s">
        <v>324</v>
      </c>
      <c r="F481" t="s">
        <v>1906</v>
      </c>
      <c r="G481" t="s">
        <v>24</v>
      </c>
      <c r="H481" s="1" t="s">
        <v>1907</v>
      </c>
      <c r="I481" t="s">
        <v>46</v>
      </c>
      <c r="L481" t="s">
        <v>273</v>
      </c>
      <c r="Q481" t="s">
        <v>48</v>
      </c>
    </row>
    <row r="482" spans="1:17" hidden="1" x14ac:dyDescent="0.25">
      <c r="A482" t="s">
        <v>33</v>
      </c>
      <c r="B482" t="s">
        <v>1908</v>
      </c>
      <c r="C482" t="s">
        <v>21</v>
      </c>
      <c r="D482" t="s">
        <v>1908</v>
      </c>
      <c r="E482" t="s">
        <v>988</v>
      </c>
      <c r="F482" t="s">
        <v>1909</v>
      </c>
      <c r="G482" t="s">
        <v>24</v>
      </c>
      <c r="H482" t="s">
        <v>1910</v>
      </c>
      <c r="I482" t="s">
        <v>46</v>
      </c>
      <c r="L482" t="s">
        <v>207</v>
      </c>
      <c r="Q482" t="s">
        <v>48</v>
      </c>
    </row>
    <row r="483" spans="1:17" hidden="1" x14ac:dyDescent="0.25">
      <c r="A483" t="s">
        <v>33</v>
      </c>
      <c r="B483" t="s">
        <v>1911</v>
      </c>
      <c r="C483" t="s">
        <v>21</v>
      </c>
      <c r="D483" t="s">
        <v>1911</v>
      </c>
      <c r="E483" t="s">
        <v>723</v>
      </c>
      <c r="F483" t="s">
        <v>1912</v>
      </c>
      <c r="G483" t="s">
        <v>24</v>
      </c>
      <c r="H483" t="s">
        <v>1913</v>
      </c>
      <c r="I483" t="s">
        <v>46</v>
      </c>
      <c r="L483" t="s">
        <v>507</v>
      </c>
      <c r="Q483" t="s">
        <v>48</v>
      </c>
    </row>
    <row r="484" spans="1:17" hidden="1" x14ac:dyDescent="0.25">
      <c r="A484" t="s">
        <v>33</v>
      </c>
      <c r="B484" t="s">
        <v>1914</v>
      </c>
      <c r="C484" t="s">
        <v>29</v>
      </c>
      <c r="D484" t="s">
        <v>1914</v>
      </c>
      <c r="E484" t="s">
        <v>145</v>
      </c>
      <c r="F484" t="s">
        <v>1915</v>
      </c>
      <c r="G484" t="s">
        <v>24</v>
      </c>
      <c r="H484" t="s">
        <v>1916</v>
      </c>
      <c r="I484" t="s">
        <v>46</v>
      </c>
      <c r="L484" t="s">
        <v>511</v>
      </c>
      <c r="Q484" t="s">
        <v>48</v>
      </c>
    </row>
    <row r="485" spans="1:17" hidden="1" x14ac:dyDescent="0.25">
      <c r="A485" t="s">
        <v>33</v>
      </c>
      <c r="B485" t="s">
        <v>1917</v>
      </c>
      <c r="C485" t="s">
        <v>21</v>
      </c>
      <c r="D485" t="s">
        <v>1917</v>
      </c>
      <c r="E485" t="s">
        <v>306</v>
      </c>
      <c r="F485" t="s">
        <v>432</v>
      </c>
      <c r="G485" t="s">
        <v>24</v>
      </c>
      <c r="H485" t="s">
        <v>1918</v>
      </c>
      <c r="I485" t="s">
        <v>46</v>
      </c>
      <c r="L485" t="s">
        <v>119</v>
      </c>
      <c r="Q485" t="s">
        <v>48</v>
      </c>
    </row>
    <row r="486" spans="1:17" hidden="1" x14ac:dyDescent="0.25">
      <c r="A486" t="s">
        <v>33</v>
      </c>
      <c r="B486" t="s">
        <v>1919</v>
      </c>
      <c r="C486" t="s">
        <v>21</v>
      </c>
      <c r="D486" t="s">
        <v>1919</v>
      </c>
      <c r="E486" t="s">
        <v>1920</v>
      </c>
      <c r="F486" t="s">
        <v>1921</v>
      </c>
      <c r="G486" t="s">
        <v>24</v>
      </c>
      <c r="H486" t="s">
        <v>1922</v>
      </c>
      <c r="L486" t="s">
        <v>1923</v>
      </c>
    </row>
    <row r="487" spans="1:17" hidden="1" x14ac:dyDescent="0.25">
      <c r="A487" t="s">
        <v>33</v>
      </c>
      <c r="B487" t="s">
        <v>1924</v>
      </c>
      <c r="C487" t="s">
        <v>21</v>
      </c>
      <c r="D487" t="s">
        <v>1924</v>
      </c>
      <c r="E487" t="s">
        <v>1925</v>
      </c>
      <c r="F487" t="s">
        <v>1926</v>
      </c>
      <c r="G487" t="s">
        <v>24</v>
      </c>
      <c r="H487" t="s">
        <v>1927</v>
      </c>
      <c r="I487" t="s">
        <v>46</v>
      </c>
      <c r="L487" t="s">
        <v>309</v>
      </c>
      <c r="Q487" t="s">
        <v>48</v>
      </c>
    </row>
    <row r="488" spans="1:17" hidden="1" x14ac:dyDescent="0.25">
      <c r="A488" t="s">
        <v>33</v>
      </c>
      <c r="B488" t="s">
        <v>1928</v>
      </c>
      <c r="C488" t="s">
        <v>21</v>
      </c>
      <c r="D488" t="s">
        <v>1928</v>
      </c>
      <c r="E488" t="s">
        <v>1929</v>
      </c>
      <c r="F488" t="s">
        <v>1930</v>
      </c>
      <c r="G488" t="s">
        <v>24</v>
      </c>
      <c r="H488" t="s">
        <v>1931</v>
      </c>
      <c r="I488" t="s">
        <v>46</v>
      </c>
      <c r="L488" t="s">
        <v>370</v>
      </c>
      <c r="Q488" t="s">
        <v>48</v>
      </c>
    </row>
    <row r="489" spans="1:17" hidden="1" x14ac:dyDescent="0.25">
      <c r="A489" t="s">
        <v>33</v>
      </c>
      <c r="B489" t="s">
        <v>1932</v>
      </c>
      <c r="C489" t="s">
        <v>21</v>
      </c>
      <c r="D489" t="s">
        <v>1932</v>
      </c>
      <c r="E489" t="s">
        <v>1933</v>
      </c>
      <c r="F489" t="s">
        <v>1934</v>
      </c>
      <c r="G489" t="s">
        <v>24</v>
      </c>
      <c r="H489" t="s">
        <v>1935</v>
      </c>
      <c r="I489" t="s">
        <v>46</v>
      </c>
      <c r="L489" t="s">
        <v>697</v>
      </c>
      <c r="Q489" t="s">
        <v>48</v>
      </c>
    </row>
    <row r="490" spans="1:17" hidden="1" x14ac:dyDescent="0.25">
      <c r="A490" t="s">
        <v>33</v>
      </c>
      <c r="B490" t="s">
        <v>1936</v>
      </c>
      <c r="C490" t="s">
        <v>21</v>
      </c>
      <c r="D490" t="s">
        <v>1936</v>
      </c>
      <c r="E490" t="s">
        <v>126</v>
      </c>
      <c r="F490" t="s">
        <v>1937</v>
      </c>
      <c r="G490" t="s">
        <v>24</v>
      </c>
      <c r="H490" s="1" t="s">
        <v>1938</v>
      </c>
      <c r="I490" t="s">
        <v>46</v>
      </c>
      <c r="L490" t="s">
        <v>63</v>
      </c>
      <c r="Q490" t="s">
        <v>48</v>
      </c>
    </row>
    <row r="491" spans="1:17" hidden="1" x14ac:dyDescent="0.25">
      <c r="A491" t="s">
        <v>33</v>
      </c>
      <c r="B491" t="s">
        <v>1939</v>
      </c>
      <c r="C491" t="s">
        <v>21</v>
      </c>
      <c r="D491" t="s">
        <v>1939</v>
      </c>
      <c r="E491" t="s">
        <v>635</v>
      </c>
      <c r="F491" t="s">
        <v>1940</v>
      </c>
      <c r="G491" t="s">
        <v>24</v>
      </c>
      <c r="H491" t="s">
        <v>1941</v>
      </c>
      <c r="I491" t="s">
        <v>73</v>
      </c>
      <c r="L491" t="s">
        <v>38</v>
      </c>
      <c r="Q491" t="s">
        <v>75</v>
      </c>
    </row>
    <row r="492" spans="1:17" hidden="1" x14ac:dyDescent="0.25">
      <c r="A492" t="s">
        <v>33</v>
      </c>
      <c r="B492" t="s">
        <v>1942</v>
      </c>
      <c r="C492" t="s">
        <v>21</v>
      </c>
      <c r="D492" t="s">
        <v>1942</v>
      </c>
      <c r="E492" t="s">
        <v>796</v>
      </c>
      <c r="F492" t="s">
        <v>1943</v>
      </c>
      <c r="G492" t="s">
        <v>24</v>
      </c>
      <c r="H492" t="s">
        <v>1944</v>
      </c>
      <c r="I492" t="s">
        <v>46</v>
      </c>
      <c r="L492" t="s">
        <v>697</v>
      </c>
      <c r="Q492" t="s">
        <v>48</v>
      </c>
    </row>
    <row r="493" spans="1:17" hidden="1" x14ac:dyDescent="0.25">
      <c r="A493" t="s">
        <v>33</v>
      </c>
      <c r="B493" t="s">
        <v>1945</v>
      </c>
      <c r="C493" t="s">
        <v>21</v>
      </c>
      <c r="D493" t="s">
        <v>1945</v>
      </c>
      <c r="E493" t="s">
        <v>1946</v>
      </c>
      <c r="F493" t="s">
        <v>1538</v>
      </c>
      <c r="G493" t="s">
        <v>24</v>
      </c>
      <c r="H493" t="s">
        <v>1947</v>
      </c>
      <c r="I493" t="s">
        <v>46</v>
      </c>
      <c r="L493" t="s">
        <v>349</v>
      </c>
      <c r="Q493" t="s">
        <v>48</v>
      </c>
    </row>
    <row r="494" spans="1:17" hidden="1" x14ac:dyDescent="0.25">
      <c r="A494" t="s">
        <v>33</v>
      </c>
      <c r="B494" t="s">
        <v>1948</v>
      </c>
      <c r="C494" t="s">
        <v>21</v>
      </c>
      <c r="D494" t="s">
        <v>1948</v>
      </c>
      <c r="E494" t="s">
        <v>359</v>
      </c>
      <c r="F494" t="s">
        <v>1949</v>
      </c>
      <c r="G494" t="s">
        <v>24</v>
      </c>
      <c r="H494" t="s">
        <v>1950</v>
      </c>
      <c r="I494" t="s">
        <v>46</v>
      </c>
      <c r="L494" t="s">
        <v>986</v>
      </c>
      <c r="Q494" t="s">
        <v>48</v>
      </c>
    </row>
    <row r="495" spans="1:17" hidden="1" x14ac:dyDescent="0.25">
      <c r="A495" t="s">
        <v>33</v>
      </c>
      <c r="B495" t="s">
        <v>1951</v>
      </c>
      <c r="C495" t="s">
        <v>21</v>
      </c>
      <c r="D495" t="s">
        <v>1951</v>
      </c>
      <c r="E495" t="s">
        <v>1952</v>
      </c>
      <c r="F495" t="s">
        <v>1953</v>
      </c>
      <c r="G495" t="s">
        <v>24</v>
      </c>
      <c r="H495" t="s">
        <v>1954</v>
      </c>
      <c r="J495" t="s">
        <v>26</v>
      </c>
      <c r="L495" t="s">
        <v>27</v>
      </c>
    </row>
    <row r="496" spans="1:17" hidden="1" x14ac:dyDescent="0.25">
      <c r="A496" t="s">
        <v>33</v>
      </c>
      <c r="B496" t="s">
        <v>1955</v>
      </c>
      <c r="C496" t="s">
        <v>21</v>
      </c>
      <c r="D496" t="s">
        <v>1956</v>
      </c>
      <c r="E496" t="s">
        <v>1957</v>
      </c>
      <c r="F496" t="s">
        <v>1958</v>
      </c>
      <c r="G496" t="s">
        <v>24</v>
      </c>
      <c r="H496" t="s">
        <v>1959</v>
      </c>
      <c r="J496" t="s">
        <v>26</v>
      </c>
      <c r="L496" t="s">
        <v>27</v>
      </c>
    </row>
    <row r="497" spans="1:17" hidden="1" x14ac:dyDescent="0.25">
      <c r="A497" t="s">
        <v>33</v>
      </c>
      <c r="B497" t="s">
        <v>1960</v>
      </c>
      <c r="C497" t="s">
        <v>21</v>
      </c>
      <c r="D497" t="s">
        <v>1960</v>
      </c>
      <c r="E497" t="s">
        <v>1961</v>
      </c>
      <c r="F497" t="s">
        <v>1962</v>
      </c>
      <c r="G497" t="s">
        <v>24</v>
      </c>
      <c r="H497" t="s">
        <v>1963</v>
      </c>
      <c r="I497" t="s">
        <v>46</v>
      </c>
      <c r="L497" t="s">
        <v>349</v>
      </c>
      <c r="Q497" t="s">
        <v>48</v>
      </c>
    </row>
    <row r="498" spans="1:17" hidden="1" x14ac:dyDescent="0.25">
      <c r="A498" t="s">
        <v>33</v>
      </c>
      <c r="B498" t="s">
        <v>1964</v>
      </c>
      <c r="C498" t="s">
        <v>21</v>
      </c>
      <c r="D498" t="s">
        <v>1964</v>
      </c>
      <c r="E498" t="s">
        <v>898</v>
      </c>
      <c r="F498" t="s">
        <v>1965</v>
      </c>
      <c r="G498" t="s">
        <v>24</v>
      </c>
      <c r="H498" t="s">
        <v>1966</v>
      </c>
      <c r="I498" t="s">
        <v>73</v>
      </c>
      <c r="L498" t="s">
        <v>273</v>
      </c>
      <c r="Q498" t="s">
        <v>75</v>
      </c>
    </row>
    <row r="499" spans="1:17" hidden="1" x14ac:dyDescent="0.25">
      <c r="A499" t="s">
        <v>33</v>
      </c>
      <c r="B499" t="s">
        <v>1967</v>
      </c>
      <c r="C499" t="s">
        <v>21</v>
      </c>
      <c r="D499" t="s">
        <v>1967</v>
      </c>
      <c r="E499" t="s">
        <v>1968</v>
      </c>
      <c r="F499" t="s">
        <v>1969</v>
      </c>
      <c r="G499" t="s">
        <v>24</v>
      </c>
      <c r="H499" t="s">
        <v>1970</v>
      </c>
      <c r="I499" t="s">
        <v>46</v>
      </c>
      <c r="L499" t="s">
        <v>1971</v>
      </c>
      <c r="Q499" t="s">
        <v>48</v>
      </c>
    </row>
    <row r="500" spans="1:17" hidden="1" x14ac:dyDescent="0.25">
      <c r="A500" t="s">
        <v>33</v>
      </c>
      <c r="B500" t="s">
        <v>1972</v>
      </c>
      <c r="C500" t="s">
        <v>21</v>
      </c>
      <c r="D500" t="s">
        <v>1972</v>
      </c>
      <c r="E500" t="s">
        <v>519</v>
      </c>
      <c r="F500" t="s">
        <v>603</v>
      </c>
      <c r="G500" t="s">
        <v>24</v>
      </c>
      <c r="H500" t="s">
        <v>1973</v>
      </c>
      <c r="I500" t="s">
        <v>46</v>
      </c>
      <c r="L500" t="s">
        <v>273</v>
      </c>
      <c r="Q500" t="s">
        <v>48</v>
      </c>
    </row>
    <row r="501" spans="1:17" hidden="1" x14ac:dyDescent="0.25">
      <c r="A501" t="s">
        <v>33</v>
      </c>
      <c r="B501" t="s">
        <v>1974</v>
      </c>
      <c r="C501" t="s">
        <v>21</v>
      </c>
      <c r="D501" t="s">
        <v>1974</v>
      </c>
      <c r="E501" t="s">
        <v>735</v>
      </c>
      <c r="F501" t="s">
        <v>1975</v>
      </c>
      <c r="G501" t="s">
        <v>24</v>
      </c>
      <c r="H501" t="s">
        <v>1976</v>
      </c>
      <c r="I501" t="s">
        <v>46</v>
      </c>
      <c r="L501" t="s">
        <v>484</v>
      </c>
      <c r="Q501" t="s">
        <v>48</v>
      </c>
    </row>
    <row r="502" spans="1:17" hidden="1" x14ac:dyDescent="0.25">
      <c r="A502" t="s">
        <v>33</v>
      </c>
      <c r="B502" t="s">
        <v>1977</v>
      </c>
      <c r="C502" t="s">
        <v>21</v>
      </c>
      <c r="D502" t="s">
        <v>1977</v>
      </c>
      <c r="E502" t="s">
        <v>1978</v>
      </c>
      <c r="F502" t="s">
        <v>1979</v>
      </c>
      <c r="G502" t="s">
        <v>24</v>
      </c>
      <c r="H502" t="s">
        <v>1980</v>
      </c>
      <c r="I502" t="s">
        <v>46</v>
      </c>
      <c r="L502" t="s">
        <v>1981</v>
      </c>
      <c r="Q502" t="s">
        <v>48</v>
      </c>
    </row>
    <row r="503" spans="1:17" hidden="1" x14ac:dyDescent="0.25">
      <c r="A503" t="s">
        <v>33</v>
      </c>
      <c r="B503" t="s">
        <v>1982</v>
      </c>
      <c r="C503" t="s">
        <v>21</v>
      </c>
      <c r="D503" t="s">
        <v>1982</v>
      </c>
      <c r="E503" t="s">
        <v>1983</v>
      </c>
      <c r="F503" t="s">
        <v>1984</v>
      </c>
      <c r="G503" t="s">
        <v>24</v>
      </c>
      <c r="H503" t="s">
        <v>1985</v>
      </c>
      <c r="I503" t="s">
        <v>46</v>
      </c>
      <c r="L503" t="s">
        <v>1986</v>
      </c>
      <c r="Q503" t="s">
        <v>48</v>
      </c>
    </row>
    <row r="504" spans="1:17" hidden="1" x14ac:dyDescent="0.25">
      <c r="A504" t="s">
        <v>33</v>
      </c>
      <c r="B504" t="s">
        <v>1987</v>
      </c>
      <c r="C504" t="s">
        <v>21</v>
      </c>
      <c r="D504" t="s">
        <v>1987</v>
      </c>
      <c r="E504" t="s">
        <v>992</v>
      </c>
      <c r="F504" t="s">
        <v>603</v>
      </c>
      <c r="G504" t="s">
        <v>24</v>
      </c>
      <c r="H504" t="s">
        <v>1988</v>
      </c>
      <c r="L504" t="s">
        <v>1252</v>
      </c>
    </row>
    <row r="505" spans="1:17" hidden="1" x14ac:dyDescent="0.25">
      <c r="A505" t="s">
        <v>33</v>
      </c>
      <c r="B505" t="s">
        <v>1989</v>
      </c>
      <c r="C505" t="s">
        <v>21</v>
      </c>
      <c r="D505" t="s">
        <v>1989</v>
      </c>
      <c r="E505" t="s">
        <v>1990</v>
      </c>
      <c r="F505" t="s">
        <v>1991</v>
      </c>
      <c r="G505" t="s">
        <v>24</v>
      </c>
      <c r="H505" t="s">
        <v>1992</v>
      </c>
      <c r="L505" t="s">
        <v>697</v>
      </c>
    </row>
    <row r="506" spans="1:17" hidden="1" x14ac:dyDescent="0.25">
      <c r="A506" t="s">
        <v>33</v>
      </c>
      <c r="B506" t="s">
        <v>1993</v>
      </c>
      <c r="C506" t="s">
        <v>21</v>
      </c>
      <c r="D506" t="s">
        <v>1993</v>
      </c>
      <c r="E506" t="s">
        <v>1994</v>
      </c>
      <c r="F506" t="s">
        <v>1995</v>
      </c>
      <c r="G506" t="s">
        <v>24</v>
      </c>
      <c r="H506" t="s">
        <v>1996</v>
      </c>
      <c r="L506" t="s">
        <v>819</v>
      </c>
    </row>
    <row r="507" spans="1:17" hidden="1" x14ac:dyDescent="0.25">
      <c r="A507" t="s">
        <v>33</v>
      </c>
      <c r="B507" t="s">
        <v>1997</v>
      </c>
      <c r="C507" t="s">
        <v>21</v>
      </c>
      <c r="D507" t="s">
        <v>1997</v>
      </c>
      <c r="E507" t="s">
        <v>178</v>
      </c>
      <c r="F507" t="s">
        <v>1998</v>
      </c>
      <c r="G507" t="s">
        <v>24</v>
      </c>
      <c r="H507" t="s">
        <v>1999</v>
      </c>
      <c r="I507" t="s">
        <v>46</v>
      </c>
      <c r="L507" t="s">
        <v>986</v>
      </c>
      <c r="Q507" t="s">
        <v>48</v>
      </c>
    </row>
    <row r="508" spans="1:17" hidden="1" x14ac:dyDescent="0.25">
      <c r="A508" t="s">
        <v>33</v>
      </c>
      <c r="B508" t="s">
        <v>2000</v>
      </c>
      <c r="C508" t="s">
        <v>29</v>
      </c>
      <c r="D508" t="s">
        <v>2000</v>
      </c>
      <c r="E508" t="s">
        <v>1654</v>
      </c>
      <c r="F508" t="s">
        <v>2001</v>
      </c>
      <c r="G508" t="s">
        <v>24</v>
      </c>
      <c r="H508" t="s">
        <v>2002</v>
      </c>
      <c r="I508" t="s">
        <v>46</v>
      </c>
      <c r="L508" t="s">
        <v>246</v>
      </c>
      <c r="Q508" t="s">
        <v>48</v>
      </c>
    </row>
    <row r="509" spans="1:17" hidden="1" x14ac:dyDescent="0.25">
      <c r="A509" t="s">
        <v>33</v>
      </c>
      <c r="B509" t="s">
        <v>2003</v>
      </c>
      <c r="C509" t="s">
        <v>29</v>
      </c>
      <c r="D509" t="s">
        <v>2003</v>
      </c>
      <c r="E509" t="s">
        <v>2004</v>
      </c>
      <c r="F509" t="s">
        <v>2005</v>
      </c>
      <c r="G509" t="s">
        <v>24</v>
      </c>
      <c r="H509" t="s">
        <v>2006</v>
      </c>
      <c r="L509" t="s">
        <v>601</v>
      </c>
    </row>
    <row r="510" spans="1:17" hidden="1" x14ac:dyDescent="0.25">
      <c r="A510" t="s">
        <v>33</v>
      </c>
      <c r="B510" t="s">
        <v>2007</v>
      </c>
      <c r="C510" t="s">
        <v>21</v>
      </c>
      <c r="D510" t="s">
        <v>2007</v>
      </c>
      <c r="E510" t="s">
        <v>2008</v>
      </c>
      <c r="F510" t="s">
        <v>1538</v>
      </c>
      <c r="G510" t="s">
        <v>24</v>
      </c>
      <c r="H510" t="s">
        <v>2009</v>
      </c>
      <c r="L510" t="s">
        <v>27</v>
      </c>
    </row>
    <row r="511" spans="1:17" hidden="1" x14ac:dyDescent="0.25">
      <c r="A511" t="s">
        <v>33</v>
      </c>
      <c r="B511" t="s">
        <v>2010</v>
      </c>
      <c r="C511" t="s">
        <v>21</v>
      </c>
      <c r="D511" t="s">
        <v>2010</v>
      </c>
      <c r="E511" t="s">
        <v>2011</v>
      </c>
      <c r="F511" t="s">
        <v>2012</v>
      </c>
      <c r="G511" t="s">
        <v>24</v>
      </c>
      <c r="H511" t="s">
        <v>2013</v>
      </c>
      <c r="L511" t="s">
        <v>2014</v>
      </c>
    </row>
    <row r="512" spans="1:17" hidden="1" x14ac:dyDescent="0.25">
      <c r="A512" t="s">
        <v>33</v>
      </c>
      <c r="B512" t="s">
        <v>2015</v>
      </c>
      <c r="C512" t="s">
        <v>21</v>
      </c>
      <c r="D512" t="s">
        <v>2016</v>
      </c>
      <c r="E512" t="s">
        <v>1890</v>
      </c>
      <c r="F512" t="s">
        <v>2017</v>
      </c>
      <c r="G512" t="s">
        <v>24</v>
      </c>
      <c r="H512" t="s">
        <v>2018</v>
      </c>
      <c r="L512" t="s">
        <v>484</v>
      </c>
    </row>
    <row r="513" spans="1:17" hidden="1" x14ac:dyDescent="0.25">
      <c r="A513" t="s">
        <v>33</v>
      </c>
      <c r="B513" t="s">
        <v>2019</v>
      </c>
      <c r="C513" t="s">
        <v>29</v>
      </c>
      <c r="D513" t="s">
        <v>2019</v>
      </c>
      <c r="E513" t="s">
        <v>2020</v>
      </c>
      <c r="F513" t="s">
        <v>2021</v>
      </c>
      <c r="G513" t="s">
        <v>24</v>
      </c>
      <c r="H513" t="s">
        <v>2022</v>
      </c>
      <c r="I513" t="s">
        <v>73</v>
      </c>
      <c r="L513" t="s">
        <v>190</v>
      </c>
      <c r="Q513" t="s">
        <v>75</v>
      </c>
    </row>
    <row r="514" spans="1:17" hidden="1" x14ac:dyDescent="0.25">
      <c r="A514" t="s">
        <v>33</v>
      </c>
      <c r="B514" t="s">
        <v>2023</v>
      </c>
      <c r="C514" t="s">
        <v>21</v>
      </c>
      <c r="D514" t="s">
        <v>2023</v>
      </c>
      <c r="E514" t="s">
        <v>126</v>
      </c>
      <c r="F514" t="s">
        <v>2024</v>
      </c>
      <c r="G514" t="s">
        <v>24</v>
      </c>
      <c r="H514" t="s">
        <v>2025</v>
      </c>
      <c r="I514" t="s">
        <v>46</v>
      </c>
      <c r="L514" t="s">
        <v>530</v>
      </c>
      <c r="Q514" t="s">
        <v>48</v>
      </c>
    </row>
    <row r="515" spans="1:17" hidden="1" x14ac:dyDescent="0.25">
      <c r="A515" t="s">
        <v>33</v>
      </c>
      <c r="B515" t="s">
        <v>2026</v>
      </c>
      <c r="C515" t="s">
        <v>21</v>
      </c>
      <c r="D515" t="s">
        <v>2026</v>
      </c>
      <c r="E515" t="s">
        <v>135</v>
      </c>
      <c r="F515" t="s">
        <v>1484</v>
      </c>
      <c r="G515" t="s">
        <v>24</v>
      </c>
      <c r="H515" t="s">
        <v>2027</v>
      </c>
      <c r="I515" t="s">
        <v>46</v>
      </c>
      <c r="L515" t="s">
        <v>692</v>
      </c>
      <c r="Q515" t="s">
        <v>48</v>
      </c>
    </row>
    <row r="516" spans="1:17" hidden="1" x14ac:dyDescent="0.25">
      <c r="A516" t="s">
        <v>33</v>
      </c>
      <c r="B516" t="s">
        <v>2028</v>
      </c>
      <c r="C516" t="s">
        <v>21</v>
      </c>
      <c r="D516" t="s">
        <v>2028</v>
      </c>
      <c r="E516" t="s">
        <v>2029</v>
      </c>
      <c r="F516" t="s">
        <v>2030</v>
      </c>
      <c r="G516" t="s">
        <v>24</v>
      </c>
      <c r="H516" t="s">
        <v>2031</v>
      </c>
      <c r="I516" t="s">
        <v>46</v>
      </c>
      <c r="L516" t="s">
        <v>1923</v>
      </c>
      <c r="Q516" t="s">
        <v>48</v>
      </c>
    </row>
    <row r="517" spans="1:17" hidden="1" x14ac:dyDescent="0.25">
      <c r="A517" t="s">
        <v>33</v>
      </c>
      <c r="B517" t="s">
        <v>2032</v>
      </c>
      <c r="C517" t="s">
        <v>21</v>
      </c>
      <c r="D517" t="s">
        <v>2032</v>
      </c>
      <c r="E517" t="s">
        <v>140</v>
      </c>
      <c r="F517" t="s">
        <v>450</v>
      </c>
      <c r="G517" t="s">
        <v>24</v>
      </c>
      <c r="H517" t="s">
        <v>2033</v>
      </c>
      <c r="I517" t="s">
        <v>46</v>
      </c>
      <c r="L517" t="s">
        <v>119</v>
      </c>
      <c r="Q517" t="s">
        <v>48</v>
      </c>
    </row>
    <row r="518" spans="1:17" hidden="1" x14ac:dyDescent="0.25">
      <c r="A518" t="s">
        <v>33</v>
      </c>
      <c r="B518" t="s">
        <v>2034</v>
      </c>
      <c r="C518" t="s">
        <v>21</v>
      </c>
      <c r="D518" t="s">
        <v>2034</v>
      </c>
      <c r="E518" t="s">
        <v>1484</v>
      </c>
      <c r="F518" t="s">
        <v>2035</v>
      </c>
      <c r="G518" t="s">
        <v>24</v>
      </c>
      <c r="H518" t="s">
        <v>2036</v>
      </c>
      <c r="I518" t="s">
        <v>46</v>
      </c>
      <c r="L518" t="s">
        <v>53</v>
      </c>
      <c r="Q518" t="s">
        <v>48</v>
      </c>
    </row>
    <row r="519" spans="1:17" hidden="1" x14ac:dyDescent="0.25">
      <c r="A519" t="s">
        <v>33</v>
      </c>
      <c r="B519" t="s">
        <v>2037</v>
      </c>
      <c r="C519" t="s">
        <v>21</v>
      </c>
      <c r="D519" t="s">
        <v>2037</v>
      </c>
      <c r="E519" t="s">
        <v>1146</v>
      </c>
      <c r="F519" t="s">
        <v>2038</v>
      </c>
      <c r="G519" t="s">
        <v>24</v>
      </c>
      <c r="H519" t="s">
        <v>2039</v>
      </c>
      <c r="I519" t="s">
        <v>46</v>
      </c>
      <c r="L519" t="s">
        <v>389</v>
      </c>
      <c r="Q519" t="s">
        <v>48</v>
      </c>
    </row>
    <row r="520" spans="1:17" hidden="1" x14ac:dyDescent="0.25">
      <c r="A520" t="s">
        <v>33</v>
      </c>
      <c r="B520" t="s">
        <v>2040</v>
      </c>
      <c r="C520" t="s">
        <v>21</v>
      </c>
      <c r="D520" t="s">
        <v>2040</v>
      </c>
      <c r="E520" t="s">
        <v>699</v>
      </c>
      <c r="F520" t="s">
        <v>2041</v>
      </c>
      <c r="G520" t="s">
        <v>24</v>
      </c>
      <c r="H520" t="s">
        <v>2042</v>
      </c>
      <c r="I520" t="s">
        <v>46</v>
      </c>
      <c r="L520" t="s">
        <v>1152</v>
      </c>
      <c r="Q520" t="s">
        <v>48</v>
      </c>
    </row>
    <row r="521" spans="1:17" hidden="1" x14ac:dyDescent="0.25">
      <c r="A521" t="s">
        <v>33</v>
      </c>
      <c r="B521" t="s">
        <v>2043</v>
      </c>
      <c r="C521" t="s">
        <v>21</v>
      </c>
      <c r="D521" t="s">
        <v>2043</v>
      </c>
      <c r="E521" t="s">
        <v>2044</v>
      </c>
      <c r="F521" t="s">
        <v>2045</v>
      </c>
      <c r="G521" t="s">
        <v>24</v>
      </c>
      <c r="H521" t="s">
        <v>2046</v>
      </c>
      <c r="I521" t="s">
        <v>46</v>
      </c>
      <c r="L521" t="s">
        <v>38</v>
      </c>
      <c r="Q521" t="s">
        <v>48</v>
      </c>
    </row>
    <row r="522" spans="1:17" hidden="1" x14ac:dyDescent="0.25">
      <c r="A522" t="s">
        <v>33</v>
      </c>
      <c r="B522" t="s">
        <v>2047</v>
      </c>
      <c r="C522" t="s">
        <v>21</v>
      </c>
      <c r="D522" t="s">
        <v>2047</v>
      </c>
      <c r="E522" t="s">
        <v>2048</v>
      </c>
      <c r="F522" t="s">
        <v>2049</v>
      </c>
      <c r="G522" t="s">
        <v>24</v>
      </c>
      <c r="H522" t="s">
        <v>2050</v>
      </c>
      <c r="L522" t="s">
        <v>287</v>
      </c>
    </row>
    <row r="523" spans="1:17" hidden="1" x14ac:dyDescent="0.25">
      <c r="A523" t="s">
        <v>33</v>
      </c>
      <c r="B523" t="s">
        <v>2051</v>
      </c>
      <c r="C523" t="s">
        <v>21</v>
      </c>
      <c r="D523" t="s">
        <v>2051</v>
      </c>
      <c r="E523" t="s">
        <v>2052</v>
      </c>
      <c r="F523" t="s">
        <v>2053</v>
      </c>
      <c r="G523" t="s">
        <v>24</v>
      </c>
      <c r="H523" t="s">
        <v>2054</v>
      </c>
      <c r="I523" t="s">
        <v>46</v>
      </c>
      <c r="L523" t="s">
        <v>697</v>
      </c>
      <c r="Q523" t="s">
        <v>48</v>
      </c>
    </row>
    <row r="524" spans="1:17" hidden="1" x14ac:dyDescent="0.25">
      <c r="A524" t="s">
        <v>33</v>
      </c>
      <c r="B524" t="s">
        <v>2055</v>
      </c>
      <c r="C524" t="s">
        <v>21</v>
      </c>
      <c r="D524" t="s">
        <v>2055</v>
      </c>
      <c r="E524" t="s">
        <v>1063</v>
      </c>
      <c r="F524" t="s">
        <v>2056</v>
      </c>
      <c r="G524" t="s">
        <v>24</v>
      </c>
      <c r="H524" t="s">
        <v>2057</v>
      </c>
      <c r="I524" t="s">
        <v>46</v>
      </c>
      <c r="L524" t="s">
        <v>1433</v>
      </c>
      <c r="Q524" t="s">
        <v>48</v>
      </c>
    </row>
    <row r="525" spans="1:17" hidden="1" x14ac:dyDescent="0.25">
      <c r="A525" t="s">
        <v>33</v>
      </c>
      <c r="B525" t="s">
        <v>2058</v>
      </c>
      <c r="C525" t="s">
        <v>21</v>
      </c>
      <c r="D525" t="s">
        <v>2059</v>
      </c>
      <c r="E525" t="s">
        <v>598</v>
      </c>
      <c r="F525" t="s">
        <v>2060</v>
      </c>
      <c r="G525" t="s">
        <v>24</v>
      </c>
      <c r="H525" t="s">
        <v>2061</v>
      </c>
      <c r="L525" t="s">
        <v>914</v>
      </c>
    </row>
    <row r="526" spans="1:17" hidden="1" x14ac:dyDescent="0.25">
      <c r="A526" t="s">
        <v>33</v>
      </c>
      <c r="B526" t="s">
        <v>2062</v>
      </c>
      <c r="C526" t="s">
        <v>21</v>
      </c>
      <c r="D526" t="s">
        <v>2062</v>
      </c>
      <c r="E526" t="s">
        <v>1488</v>
      </c>
      <c r="F526" t="s">
        <v>2063</v>
      </c>
      <c r="G526" t="s">
        <v>24</v>
      </c>
      <c r="H526" t="s">
        <v>2064</v>
      </c>
      <c r="L526" t="s">
        <v>349</v>
      </c>
    </row>
    <row r="527" spans="1:17" hidden="1" x14ac:dyDescent="0.25">
      <c r="A527" t="s">
        <v>33</v>
      </c>
      <c r="B527" t="s">
        <v>2065</v>
      </c>
      <c r="C527" t="s">
        <v>21</v>
      </c>
      <c r="D527" t="s">
        <v>2065</v>
      </c>
      <c r="E527" t="s">
        <v>2066</v>
      </c>
      <c r="F527" t="s">
        <v>2067</v>
      </c>
      <c r="G527" t="s">
        <v>24</v>
      </c>
      <c r="H527" t="s">
        <v>2068</v>
      </c>
      <c r="I527" t="s">
        <v>46</v>
      </c>
      <c r="L527" t="s">
        <v>349</v>
      </c>
      <c r="Q527" t="s">
        <v>48</v>
      </c>
    </row>
    <row r="528" spans="1:17" hidden="1" x14ac:dyDescent="0.25">
      <c r="A528" t="s">
        <v>33</v>
      </c>
      <c r="B528" t="s">
        <v>2069</v>
      </c>
      <c r="C528" t="s">
        <v>21</v>
      </c>
      <c r="D528" t="s">
        <v>2069</v>
      </c>
      <c r="E528" t="s">
        <v>2070</v>
      </c>
      <c r="F528" t="s">
        <v>2071</v>
      </c>
      <c r="G528" t="s">
        <v>24</v>
      </c>
      <c r="H528" t="s">
        <v>2072</v>
      </c>
      <c r="I528" t="s">
        <v>46</v>
      </c>
      <c r="L528" t="s">
        <v>349</v>
      </c>
      <c r="Q528" t="s">
        <v>48</v>
      </c>
    </row>
    <row r="529" spans="1:17" hidden="1" x14ac:dyDescent="0.25">
      <c r="A529" t="s">
        <v>33</v>
      </c>
      <c r="B529" t="s">
        <v>2073</v>
      </c>
      <c r="C529" t="s">
        <v>21</v>
      </c>
      <c r="D529" t="s">
        <v>2073</v>
      </c>
      <c r="E529" t="s">
        <v>1968</v>
      </c>
      <c r="F529" t="s">
        <v>2074</v>
      </c>
      <c r="G529" t="s">
        <v>24</v>
      </c>
      <c r="H529" t="s">
        <v>2075</v>
      </c>
      <c r="L529" t="s">
        <v>27</v>
      </c>
    </row>
    <row r="530" spans="1:17" hidden="1" x14ac:dyDescent="0.25">
      <c r="A530" t="s">
        <v>33</v>
      </c>
      <c r="B530" t="s">
        <v>2076</v>
      </c>
      <c r="C530" t="s">
        <v>21</v>
      </c>
      <c r="D530" t="s">
        <v>2076</v>
      </c>
      <c r="E530" t="s">
        <v>126</v>
      </c>
      <c r="F530" t="s">
        <v>2077</v>
      </c>
      <c r="G530" t="s">
        <v>24</v>
      </c>
      <c r="H530" t="s">
        <v>2078</v>
      </c>
      <c r="I530" t="s">
        <v>46</v>
      </c>
      <c r="L530" t="s">
        <v>317</v>
      </c>
      <c r="Q530" t="s">
        <v>48</v>
      </c>
    </row>
    <row r="531" spans="1:17" hidden="1" x14ac:dyDescent="0.25">
      <c r="A531" t="s">
        <v>33</v>
      </c>
      <c r="B531" t="s">
        <v>2079</v>
      </c>
      <c r="C531" t="s">
        <v>21</v>
      </c>
      <c r="D531" t="s">
        <v>2080</v>
      </c>
      <c r="E531" t="s">
        <v>221</v>
      </c>
      <c r="F531" t="s">
        <v>2081</v>
      </c>
      <c r="G531" t="s">
        <v>24</v>
      </c>
      <c r="H531" t="s">
        <v>2082</v>
      </c>
      <c r="I531" t="s">
        <v>46</v>
      </c>
      <c r="L531" t="s">
        <v>2083</v>
      </c>
      <c r="Q531" t="s">
        <v>48</v>
      </c>
    </row>
    <row r="532" spans="1:17" hidden="1" x14ac:dyDescent="0.25">
      <c r="A532" t="s">
        <v>33</v>
      </c>
      <c r="B532" t="s">
        <v>2084</v>
      </c>
      <c r="C532" t="s">
        <v>21</v>
      </c>
      <c r="D532" t="s">
        <v>2085</v>
      </c>
      <c r="E532" t="s">
        <v>2086</v>
      </c>
      <c r="F532" t="s">
        <v>2087</v>
      </c>
      <c r="G532" t="s">
        <v>24</v>
      </c>
      <c r="H532" t="s">
        <v>2088</v>
      </c>
      <c r="I532" t="s">
        <v>46</v>
      </c>
      <c r="L532" t="s">
        <v>1402</v>
      </c>
      <c r="Q532" t="s">
        <v>48</v>
      </c>
    </row>
    <row r="533" spans="1:17" hidden="1" x14ac:dyDescent="0.25">
      <c r="A533" t="s">
        <v>33</v>
      </c>
      <c r="B533" t="s">
        <v>2089</v>
      </c>
      <c r="C533" t="s">
        <v>21</v>
      </c>
      <c r="D533" t="s">
        <v>2089</v>
      </c>
      <c r="E533" t="s">
        <v>2090</v>
      </c>
      <c r="F533" t="s">
        <v>2091</v>
      </c>
      <c r="G533" t="s">
        <v>24</v>
      </c>
      <c r="H533" t="s">
        <v>2092</v>
      </c>
      <c r="I533" t="s">
        <v>46</v>
      </c>
      <c r="L533" t="s">
        <v>1152</v>
      </c>
      <c r="Q533" t="s">
        <v>48</v>
      </c>
    </row>
    <row r="534" spans="1:17" hidden="1" x14ac:dyDescent="0.25">
      <c r="A534" t="s">
        <v>33</v>
      </c>
      <c r="B534" t="s">
        <v>2093</v>
      </c>
      <c r="C534" t="s">
        <v>21</v>
      </c>
      <c r="D534" t="s">
        <v>2093</v>
      </c>
      <c r="E534" t="s">
        <v>2094</v>
      </c>
      <c r="F534" t="s">
        <v>2095</v>
      </c>
      <c r="G534" t="s">
        <v>24</v>
      </c>
      <c r="H534" t="s">
        <v>2096</v>
      </c>
      <c r="I534" t="s">
        <v>73</v>
      </c>
      <c r="L534" t="s">
        <v>53</v>
      </c>
      <c r="Q534" t="s">
        <v>75</v>
      </c>
    </row>
    <row r="535" spans="1:17" hidden="1" x14ac:dyDescent="0.25">
      <c r="A535" t="s">
        <v>33</v>
      </c>
      <c r="B535" t="s">
        <v>2097</v>
      </c>
      <c r="C535" t="s">
        <v>21</v>
      </c>
      <c r="D535" t="s">
        <v>2097</v>
      </c>
      <c r="E535" t="s">
        <v>1149</v>
      </c>
      <c r="F535" t="s">
        <v>2098</v>
      </c>
      <c r="G535" t="s">
        <v>24</v>
      </c>
      <c r="H535" t="s">
        <v>2099</v>
      </c>
      <c r="I535" t="s">
        <v>46</v>
      </c>
      <c r="L535" t="s">
        <v>47</v>
      </c>
      <c r="Q535" t="s">
        <v>48</v>
      </c>
    </row>
    <row r="536" spans="1:17" hidden="1" x14ac:dyDescent="0.25">
      <c r="A536" t="s">
        <v>33</v>
      </c>
      <c r="B536" t="s">
        <v>2100</v>
      </c>
      <c r="C536" t="s">
        <v>21</v>
      </c>
      <c r="D536" t="s">
        <v>2100</v>
      </c>
      <c r="E536" t="s">
        <v>342</v>
      </c>
      <c r="F536" t="s">
        <v>2101</v>
      </c>
      <c r="G536" t="s">
        <v>24</v>
      </c>
      <c r="H536" t="s">
        <v>2102</v>
      </c>
      <c r="I536" t="s">
        <v>46</v>
      </c>
      <c r="L536" t="s">
        <v>207</v>
      </c>
      <c r="Q536" t="s">
        <v>48</v>
      </c>
    </row>
    <row r="537" spans="1:17" hidden="1" x14ac:dyDescent="0.25">
      <c r="A537" t="s">
        <v>33</v>
      </c>
      <c r="B537" t="s">
        <v>2103</v>
      </c>
      <c r="C537" t="s">
        <v>21</v>
      </c>
      <c r="D537" t="s">
        <v>2103</v>
      </c>
      <c r="E537" t="s">
        <v>2104</v>
      </c>
      <c r="F537" t="s">
        <v>168</v>
      </c>
      <c r="G537" t="s">
        <v>24</v>
      </c>
      <c r="H537" s="1" t="s">
        <v>2105</v>
      </c>
      <c r="I537" t="s">
        <v>46</v>
      </c>
      <c r="L537" t="s">
        <v>207</v>
      </c>
      <c r="Q537" t="s">
        <v>48</v>
      </c>
    </row>
    <row r="538" spans="1:17" hidden="1" x14ac:dyDescent="0.25">
      <c r="A538" t="s">
        <v>33</v>
      </c>
      <c r="B538" t="s">
        <v>2106</v>
      </c>
      <c r="C538" t="s">
        <v>21</v>
      </c>
      <c r="D538" t="s">
        <v>2106</v>
      </c>
      <c r="E538" t="s">
        <v>778</v>
      </c>
      <c r="F538" t="s">
        <v>2107</v>
      </c>
      <c r="G538" t="s">
        <v>24</v>
      </c>
      <c r="H538" t="s">
        <v>2108</v>
      </c>
      <c r="I538" t="s">
        <v>46</v>
      </c>
      <c r="L538" t="s">
        <v>207</v>
      </c>
      <c r="Q538" t="s">
        <v>48</v>
      </c>
    </row>
    <row r="539" spans="1:17" hidden="1" x14ac:dyDescent="0.25">
      <c r="A539" t="s">
        <v>33</v>
      </c>
      <c r="B539" t="s">
        <v>2109</v>
      </c>
      <c r="C539" t="s">
        <v>21</v>
      </c>
      <c r="D539" t="s">
        <v>2109</v>
      </c>
      <c r="E539" t="s">
        <v>1189</v>
      </c>
      <c r="F539" t="s">
        <v>2110</v>
      </c>
      <c r="G539" t="s">
        <v>24</v>
      </c>
      <c r="H539" t="s">
        <v>2111</v>
      </c>
      <c r="I539" t="s">
        <v>46</v>
      </c>
      <c r="L539" t="s">
        <v>1923</v>
      </c>
      <c r="Q539" t="s">
        <v>48</v>
      </c>
    </row>
    <row r="540" spans="1:17" hidden="1" x14ac:dyDescent="0.25">
      <c r="A540" t="s">
        <v>33</v>
      </c>
      <c r="B540" t="s">
        <v>2112</v>
      </c>
      <c r="C540" t="s">
        <v>21</v>
      </c>
      <c r="D540" t="s">
        <v>2112</v>
      </c>
      <c r="E540" t="s">
        <v>2113</v>
      </c>
      <c r="F540" t="s">
        <v>2114</v>
      </c>
      <c r="G540" t="s">
        <v>24</v>
      </c>
      <c r="H540" t="s">
        <v>2115</v>
      </c>
      <c r="I540" t="s">
        <v>46</v>
      </c>
      <c r="L540" t="s">
        <v>389</v>
      </c>
      <c r="Q540" t="s">
        <v>48</v>
      </c>
    </row>
    <row r="541" spans="1:17" hidden="1" x14ac:dyDescent="0.25">
      <c r="A541" t="s">
        <v>33</v>
      </c>
      <c r="B541" t="s">
        <v>2116</v>
      </c>
      <c r="C541" t="s">
        <v>21</v>
      </c>
      <c r="D541" t="s">
        <v>2116</v>
      </c>
      <c r="E541" t="s">
        <v>2117</v>
      </c>
      <c r="F541" t="s">
        <v>2118</v>
      </c>
      <c r="G541" t="s">
        <v>24</v>
      </c>
      <c r="H541" t="s">
        <v>2119</v>
      </c>
      <c r="I541" t="s">
        <v>46</v>
      </c>
      <c r="L541" t="s">
        <v>697</v>
      </c>
      <c r="Q541" t="s">
        <v>48</v>
      </c>
    </row>
    <row r="542" spans="1:17" hidden="1" x14ac:dyDescent="0.25">
      <c r="A542" t="s">
        <v>33</v>
      </c>
      <c r="B542" t="s">
        <v>2120</v>
      </c>
      <c r="C542" t="s">
        <v>21</v>
      </c>
      <c r="D542" t="s">
        <v>2120</v>
      </c>
      <c r="E542" t="s">
        <v>2121</v>
      </c>
      <c r="F542" t="s">
        <v>2122</v>
      </c>
      <c r="G542" t="s">
        <v>24</v>
      </c>
      <c r="H542" s="1" t="s">
        <v>2123</v>
      </c>
      <c r="I542" t="s">
        <v>46</v>
      </c>
      <c r="L542" t="s">
        <v>2124</v>
      </c>
      <c r="Q542" t="s">
        <v>48</v>
      </c>
    </row>
    <row r="543" spans="1:17" hidden="1" x14ac:dyDescent="0.25">
      <c r="A543" t="s">
        <v>33</v>
      </c>
      <c r="B543" t="s">
        <v>2125</v>
      </c>
      <c r="C543" t="s">
        <v>21</v>
      </c>
      <c r="D543" t="s">
        <v>2126</v>
      </c>
      <c r="E543" t="s">
        <v>2127</v>
      </c>
      <c r="F543" t="s">
        <v>330</v>
      </c>
      <c r="G543" t="s">
        <v>24</v>
      </c>
      <c r="H543" t="s">
        <v>2128</v>
      </c>
      <c r="I543" t="s">
        <v>46</v>
      </c>
      <c r="L543" t="s">
        <v>2083</v>
      </c>
      <c r="Q543" t="s">
        <v>48</v>
      </c>
    </row>
    <row r="544" spans="1:17" hidden="1" x14ac:dyDescent="0.25">
      <c r="A544" t="s">
        <v>33</v>
      </c>
      <c r="B544" t="s">
        <v>2129</v>
      </c>
      <c r="C544" t="s">
        <v>21</v>
      </c>
      <c r="D544" t="s">
        <v>2129</v>
      </c>
      <c r="E544" t="s">
        <v>699</v>
      </c>
      <c r="F544" t="s">
        <v>2130</v>
      </c>
      <c r="G544" t="s">
        <v>24</v>
      </c>
      <c r="H544" t="s">
        <v>2131</v>
      </c>
      <c r="I544" t="s">
        <v>46</v>
      </c>
      <c r="L544" t="s">
        <v>2124</v>
      </c>
      <c r="Q544" t="s">
        <v>48</v>
      </c>
    </row>
    <row r="545" spans="1:17" hidden="1" x14ac:dyDescent="0.25">
      <c r="A545" t="s">
        <v>33</v>
      </c>
      <c r="B545" t="s">
        <v>2132</v>
      </c>
      <c r="C545" t="s">
        <v>21</v>
      </c>
      <c r="D545" t="s">
        <v>2132</v>
      </c>
      <c r="E545" t="s">
        <v>192</v>
      </c>
      <c r="F545" t="s">
        <v>2133</v>
      </c>
      <c r="G545" t="s">
        <v>24</v>
      </c>
      <c r="H545" t="s">
        <v>2134</v>
      </c>
      <c r="I545" t="s">
        <v>46</v>
      </c>
      <c r="L545" t="s">
        <v>2083</v>
      </c>
      <c r="Q545" t="s">
        <v>48</v>
      </c>
    </row>
    <row r="546" spans="1:17" hidden="1" x14ac:dyDescent="0.25">
      <c r="A546" t="s">
        <v>33</v>
      </c>
      <c r="B546" t="s">
        <v>2135</v>
      </c>
      <c r="C546" t="s">
        <v>21</v>
      </c>
      <c r="D546" t="s">
        <v>2135</v>
      </c>
      <c r="E546" t="s">
        <v>2136</v>
      </c>
      <c r="F546" t="s">
        <v>2137</v>
      </c>
      <c r="G546" t="s">
        <v>24</v>
      </c>
      <c r="H546" t="s">
        <v>2138</v>
      </c>
      <c r="I546" t="s">
        <v>46</v>
      </c>
      <c r="L546" t="s">
        <v>2124</v>
      </c>
      <c r="Q546" t="s">
        <v>48</v>
      </c>
    </row>
    <row r="547" spans="1:17" hidden="1" x14ac:dyDescent="0.25">
      <c r="A547" t="s">
        <v>33</v>
      </c>
      <c r="B547" t="s">
        <v>2139</v>
      </c>
      <c r="C547" t="s">
        <v>21</v>
      </c>
      <c r="D547" t="s">
        <v>2139</v>
      </c>
      <c r="E547" t="s">
        <v>1315</v>
      </c>
      <c r="F547" t="s">
        <v>2140</v>
      </c>
      <c r="G547" t="s">
        <v>24</v>
      </c>
      <c r="H547" t="s">
        <v>2141</v>
      </c>
      <c r="I547" t="s">
        <v>46</v>
      </c>
      <c r="L547" t="s">
        <v>2083</v>
      </c>
      <c r="Q547" t="s">
        <v>48</v>
      </c>
    </row>
    <row r="548" spans="1:17" hidden="1" x14ac:dyDescent="0.25">
      <c r="A548" t="s">
        <v>33</v>
      </c>
      <c r="B548" t="s">
        <v>2142</v>
      </c>
      <c r="C548" t="s">
        <v>21</v>
      </c>
      <c r="D548" t="s">
        <v>2142</v>
      </c>
      <c r="E548" t="s">
        <v>1766</v>
      </c>
      <c r="F548" t="s">
        <v>2143</v>
      </c>
      <c r="G548" t="s">
        <v>24</v>
      </c>
      <c r="H548" t="s">
        <v>2144</v>
      </c>
      <c r="I548" t="s">
        <v>46</v>
      </c>
      <c r="L548" t="s">
        <v>2145</v>
      </c>
      <c r="Q548" t="s">
        <v>48</v>
      </c>
    </row>
    <row r="549" spans="1:17" hidden="1" x14ac:dyDescent="0.25">
      <c r="A549" t="s">
        <v>33</v>
      </c>
      <c r="B549" t="s">
        <v>2146</v>
      </c>
      <c r="C549" t="s">
        <v>21</v>
      </c>
      <c r="D549" t="s">
        <v>2146</v>
      </c>
      <c r="E549" t="s">
        <v>2147</v>
      </c>
      <c r="F549" t="s">
        <v>2148</v>
      </c>
      <c r="G549" t="s">
        <v>24</v>
      </c>
      <c r="H549" t="s">
        <v>2149</v>
      </c>
      <c r="I549" t="s">
        <v>46</v>
      </c>
      <c r="L549" t="s">
        <v>2083</v>
      </c>
      <c r="Q549" t="s">
        <v>48</v>
      </c>
    </row>
    <row r="550" spans="1:17" hidden="1" x14ac:dyDescent="0.25">
      <c r="A550" t="s">
        <v>33</v>
      </c>
      <c r="B550" t="s">
        <v>2150</v>
      </c>
      <c r="C550" t="s">
        <v>21</v>
      </c>
      <c r="D550" t="s">
        <v>2150</v>
      </c>
      <c r="E550" t="s">
        <v>2151</v>
      </c>
      <c r="F550" t="s">
        <v>2152</v>
      </c>
      <c r="G550" t="s">
        <v>24</v>
      </c>
      <c r="H550" t="s">
        <v>2153</v>
      </c>
      <c r="I550" t="s">
        <v>46</v>
      </c>
      <c r="L550" t="s">
        <v>2083</v>
      </c>
      <c r="Q550" t="s">
        <v>48</v>
      </c>
    </row>
    <row r="551" spans="1:17" hidden="1" x14ac:dyDescent="0.25">
      <c r="A551" t="s">
        <v>33</v>
      </c>
      <c r="B551" t="s">
        <v>2154</v>
      </c>
      <c r="C551" t="s">
        <v>21</v>
      </c>
      <c r="D551" t="s">
        <v>2154</v>
      </c>
      <c r="E551" t="s">
        <v>2155</v>
      </c>
      <c r="F551" t="s">
        <v>2156</v>
      </c>
      <c r="G551" t="s">
        <v>24</v>
      </c>
      <c r="H551" t="s">
        <v>2157</v>
      </c>
      <c r="I551" t="s">
        <v>46</v>
      </c>
      <c r="L551" t="s">
        <v>2083</v>
      </c>
      <c r="Q551" t="s">
        <v>48</v>
      </c>
    </row>
    <row r="552" spans="1:17" hidden="1" x14ac:dyDescent="0.25">
      <c r="A552" t="s">
        <v>33</v>
      </c>
      <c r="B552" t="s">
        <v>2158</v>
      </c>
      <c r="C552" t="s">
        <v>21</v>
      </c>
      <c r="D552" t="s">
        <v>2158</v>
      </c>
      <c r="E552" t="s">
        <v>2159</v>
      </c>
      <c r="F552" t="s">
        <v>2160</v>
      </c>
      <c r="G552" t="s">
        <v>24</v>
      </c>
      <c r="H552" t="s">
        <v>2161</v>
      </c>
      <c r="I552" t="s">
        <v>46</v>
      </c>
      <c r="L552" t="s">
        <v>2083</v>
      </c>
      <c r="Q552" t="s">
        <v>48</v>
      </c>
    </row>
    <row r="553" spans="1:17" hidden="1" x14ac:dyDescent="0.25">
      <c r="A553" t="s">
        <v>33</v>
      </c>
      <c r="B553" t="s">
        <v>2162</v>
      </c>
      <c r="C553" t="s">
        <v>21</v>
      </c>
      <c r="D553" t="s">
        <v>2162</v>
      </c>
      <c r="E553" t="s">
        <v>372</v>
      </c>
      <c r="F553" t="s">
        <v>2163</v>
      </c>
      <c r="G553" t="s">
        <v>24</v>
      </c>
      <c r="H553" t="s">
        <v>2164</v>
      </c>
      <c r="I553" t="s">
        <v>46</v>
      </c>
      <c r="L553" t="s">
        <v>2124</v>
      </c>
      <c r="Q553" t="s">
        <v>48</v>
      </c>
    </row>
    <row r="554" spans="1:17" hidden="1" x14ac:dyDescent="0.25">
      <c r="A554" t="s">
        <v>33</v>
      </c>
      <c r="B554" t="s">
        <v>2165</v>
      </c>
      <c r="C554" t="s">
        <v>21</v>
      </c>
      <c r="D554" t="s">
        <v>2165</v>
      </c>
      <c r="E554" t="s">
        <v>284</v>
      </c>
      <c r="F554" t="s">
        <v>2166</v>
      </c>
      <c r="G554" t="s">
        <v>24</v>
      </c>
      <c r="H554" t="s">
        <v>2167</v>
      </c>
      <c r="I554" t="s">
        <v>46</v>
      </c>
      <c r="L554" t="s">
        <v>2083</v>
      </c>
      <c r="Q554" t="s">
        <v>48</v>
      </c>
    </row>
    <row r="555" spans="1:17" hidden="1" x14ac:dyDescent="0.25">
      <c r="A555" t="s">
        <v>33</v>
      </c>
      <c r="B555" t="s">
        <v>2168</v>
      </c>
      <c r="C555" t="s">
        <v>21</v>
      </c>
      <c r="D555" t="s">
        <v>2168</v>
      </c>
      <c r="E555" t="s">
        <v>1745</v>
      </c>
      <c r="F555" t="s">
        <v>2169</v>
      </c>
      <c r="G555" t="s">
        <v>24</v>
      </c>
      <c r="H555" t="s">
        <v>2170</v>
      </c>
      <c r="L555" t="s">
        <v>2083</v>
      </c>
    </row>
    <row r="556" spans="1:17" hidden="1" x14ac:dyDescent="0.25">
      <c r="A556" t="s">
        <v>33</v>
      </c>
      <c r="B556" t="s">
        <v>2171</v>
      </c>
      <c r="C556" t="s">
        <v>21</v>
      </c>
      <c r="D556" t="s">
        <v>2171</v>
      </c>
      <c r="E556" t="s">
        <v>2172</v>
      </c>
      <c r="F556" t="s">
        <v>822</v>
      </c>
      <c r="G556" t="s">
        <v>24</v>
      </c>
      <c r="H556" t="s">
        <v>2173</v>
      </c>
      <c r="I556" t="s">
        <v>46</v>
      </c>
      <c r="L556" t="s">
        <v>2083</v>
      </c>
      <c r="Q556" t="s">
        <v>48</v>
      </c>
    </row>
    <row r="557" spans="1:17" hidden="1" x14ac:dyDescent="0.25">
      <c r="A557" t="s">
        <v>33</v>
      </c>
      <c r="B557" t="s">
        <v>2174</v>
      </c>
      <c r="C557" t="s">
        <v>21</v>
      </c>
      <c r="D557" t="s">
        <v>2174</v>
      </c>
      <c r="E557" t="s">
        <v>2175</v>
      </c>
      <c r="F557" t="s">
        <v>2176</v>
      </c>
      <c r="G557" t="s">
        <v>24</v>
      </c>
      <c r="H557" t="s">
        <v>2177</v>
      </c>
      <c r="I557" t="s">
        <v>46</v>
      </c>
      <c r="L557" t="s">
        <v>2124</v>
      </c>
      <c r="Q557" t="s">
        <v>48</v>
      </c>
    </row>
    <row r="558" spans="1:17" hidden="1" x14ac:dyDescent="0.25">
      <c r="A558" t="s">
        <v>33</v>
      </c>
      <c r="B558" t="s">
        <v>2178</v>
      </c>
      <c r="C558" t="s">
        <v>21</v>
      </c>
      <c r="D558" t="s">
        <v>2178</v>
      </c>
      <c r="E558" t="s">
        <v>1813</v>
      </c>
      <c r="F558" t="s">
        <v>2179</v>
      </c>
      <c r="G558" t="s">
        <v>24</v>
      </c>
      <c r="H558" s="1" t="s">
        <v>2180</v>
      </c>
      <c r="I558" t="s">
        <v>46</v>
      </c>
      <c r="L558" t="s">
        <v>2083</v>
      </c>
      <c r="Q558" t="s">
        <v>48</v>
      </c>
    </row>
    <row r="559" spans="1:17" hidden="1" x14ac:dyDescent="0.25">
      <c r="A559" t="s">
        <v>33</v>
      </c>
      <c r="B559" t="s">
        <v>2181</v>
      </c>
      <c r="C559" t="s">
        <v>21</v>
      </c>
      <c r="D559" t="s">
        <v>2181</v>
      </c>
      <c r="E559" t="s">
        <v>2182</v>
      </c>
      <c r="F559" t="s">
        <v>2183</v>
      </c>
      <c r="G559" t="s">
        <v>24</v>
      </c>
      <c r="H559" t="s">
        <v>2184</v>
      </c>
      <c r="I559" t="s">
        <v>46</v>
      </c>
      <c r="L559" t="s">
        <v>2083</v>
      </c>
      <c r="Q559" t="s">
        <v>48</v>
      </c>
    </row>
    <row r="560" spans="1:17" hidden="1" x14ac:dyDescent="0.25">
      <c r="A560" t="s">
        <v>33</v>
      </c>
      <c r="B560" t="s">
        <v>2185</v>
      </c>
      <c r="C560" t="s">
        <v>21</v>
      </c>
      <c r="D560" t="s">
        <v>2185</v>
      </c>
      <c r="E560" t="s">
        <v>2186</v>
      </c>
      <c r="F560" t="s">
        <v>2187</v>
      </c>
      <c r="G560" t="s">
        <v>24</v>
      </c>
      <c r="H560" t="s">
        <v>2188</v>
      </c>
      <c r="L560" t="s">
        <v>2124</v>
      </c>
    </row>
    <row r="561" spans="1:17" hidden="1" x14ac:dyDescent="0.25">
      <c r="A561" t="s">
        <v>33</v>
      </c>
      <c r="B561" t="s">
        <v>2189</v>
      </c>
      <c r="C561" t="s">
        <v>21</v>
      </c>
      <c r="D561" t="s">
        <v>2189</v>
      </c>
      <c r="E561" t="s">
        <v>2190</v>
      </c>
      <c r="F561" t="s">
        <v>2191</v>
      </c>
      <c r="G561" t="s">
        <v>24</v>
      </c>
      <c r="H561" t="s">
        <v>2192</v>
      </c>
      <c r="I561" t="s">
        <v>46</v>
      </c>
      <c r="L561" t="s">
        <v>2083</v>
      </c>
      <c r="Q561" t="s">
        <v>48</v>
      </c>
    </row>
    <row r="562" spans="1:17" hidden="1" x14ac:dyDescent="0.25">
      <c r="A562" t="s">
        <v>33</v>
      </c>
      <c r="B562" t="s">
        <v>2193</v>
      </c>
      <c r="C562" t="s">
        <v>21</v>
      </c>
      <c r="D562" t="s">
        <v>2193</v>
      </c>
      <c r="E562" t="s">
        <v>2194</v>
      </c>
      <c r="F562" t="s">
        <v>2195</v>
      </c>
      <c r="G562" t="s">
        <v>24</v>
      </c>
      <c r="H562" t="s">
        <v>2196</v>
      </c>
      <c r="I562" t="s">
        <v>46</v>
      </c>
      <c r="L562" t="s">
        <v>2083</v>
      </c>
      <c r="Q562" t="s">
        <v>48</v>
      </c>
    </row>
    <row r="563" spans="1:17" hidden="1" x14ac:dyDescent="0.25">
      <c r="A563" t="s">
        <v>33</v>
      </c>
      <c r="B563" t="s">
        <v>2197</v>
      </c>
      <c r="C563" t="s">
        <v>21</v>
      </c>
      <c r="D563" t="s">
        <v>2197</v>
      </c>
      <c r="E563" t="s">
        <v>2198</v>
      </c>
      <c r="F563" t="s">
        <v>2199</v>
      </c>
      <c r="G563" t="s">
        <v>24</v>
      </c>
      <c r="H563" t="s">
        <v>2200</v>
      </c>
      <c r="I563" t="s">
        <v>46</v>
      </c>
      <c r="L563" t="s">
        <v>2124</v>
      </c>
      <c r="Q563" t="s">
        <v>48</v>
      </c>
    </row>
    <row r="564" spans="1:17" hidden="1" x14ac:dyDescent="0.25">
      <c r="A564" t="s">
        <v>33</v>
      </c>
      <c r="B564" t="s">
        <v>2201</v>
      </c>
      <c r="C564" t="s">
        <v>21</v>
      </c>
      <c r="D564" t="s">
        <v>2201</v>
      </c>
      <c r="E564" t="s">
        <v>1745</v>
      </c>
      <c r="F564" t="s">
        <v>2202</v>
      </c>
      <c r="G564" t="s">
        <v>24</v>
      </c>
      <c r="H564" t="s">
        <v>2203</v>
      </c>
      <c r="I564" t="s">
        <v>46</v>
      </c>
      <c r="L564" t="s">
        <v>2083</v>
      </c>
      <c r="Q564" t="s">
        <v>48</v>
      </c>
    </row>
    <row r="565" spans="1:17" hidden="1" x14ac:dyDescent="0.25">
      <c r="A565" t="s">
        <v>33</v>
      </c>
      <c r="B565" t="s">
        <v>2204</v>
      </c>
      <c r="C565" t="s">
        <v>21</v>
      </c>
      <c r="D565" t="s">
        <v>2204</v>
      </c>
      <c r="E565" t="s">
        <v>178</v>
      </c>
      <c r="F565" t="s">
        <v>2205</v>
      </c>
      <c r="G565" t="s">
        <v>24</v>
      </c>
      <c r="H565" t="s">
        <v>2206</v>
      </c>
      <c r="I565" t="s">
        <v>46</v>
      </c>
      <c r="L565" t="s">
        <v>2124</v>
      </c>
      <c r="Q565" t="s">
        <v>48</v>
      </c>
    </row>
    <row r="566" spans="1:17" hidden="1" x14ac:dyDescent="0.25">
      <c r="A566" t="s">
        <v>33</v>
      </c>
      <c r="B566" t="s">
        <v>2207</v>
      </c>
      <c r="C566" t="s">
        <v>21</v>
      </c>
      <c r="D566" t="s">
        <v>2207</v>
      </c>
      <c r="E566" t="s">
        <v>380</v>
      </c>
      <c r="F566" t="s">
        <v>2208</v>
      </c>
      <c r="G566" t="s">
        <v>24</v>
      </c>
      <c r="H566" t="s">
        <v>2209</v>
      </c>
      <c r="I566" t="s">
        <v>46</v>
      </c>
      <c r="L566" t="s">
        <v>2124</v>
      </c>
      <c r="Q566" t="s">
        <v>48</v>
      </c>
    </row>
    <row r="567" spans="1:17" hidden="1" x14ac:dyDescent="0.25">
      <c r="A567" t="s">
        <v>33</v>
      </c>
      <c r="B567" t="s">
        <v>2210</v>
      </c>
      <c r="C567" t="s">
        <v>21</v>
      </c>
      <c r="D567" t="s">
        <v>2210</v>
      </c>
      <c r="E567" t="s">
        <v>2211</v>
      </c>
      <c r="F567" t="s">
        <v>2212</v>
      </c>
      <c r="G567" t="s">
        <v>24</v>
      </c>
      <c r="H567" t="s">
        <v>2213</v>
      </c>
      <c r="L567" t="s">
        <v>2083</v>
      </c>
    </row>
    <row r="568" spans="1:17" hidden="1" x14ac:dyDescent="0.25">
      <c r="A568" t="s">
        <v>33</v>
      </c>
      <c r="B568" t="s">
        <v>2214</v>
      </c>
      <c r="C568" t="s">
        <v>21</v>
      </c>
      <c r="D568" t="s">
        <v>2214</v>
      </c>
      <c r="E568" t="s">
        <v>2215</v>
      </c>
      <c r="F568" t="s">
        <v>2216</v>
      </c>
      <c r="G568" t="s">
        <v>24</v>
      </c>
      <c r="H568" s="1" t="s">
        <v>2217</v>
      </c>
      <c r="I568" t="s">
        <v>46</v>
      </c>
      <c r="L568" t="s">
        <v>2083</v>
      </c>
      <c r="Q568" t="s">
        <v>48</v>
      </c>
    </row>
    <row r="569" spans="1:17" hidden="1" x14ac:dyDescent="0.25">
      <c r="A569" t="s">
        <v>33</v>
      </c>
      <c r="B569" t="s">
        <v>2218</v>
      </c>
      <c r="C569" t="s">
        <v>21</v>
      </c>
      <c r="D569" t="s">
        <v>2218</v>
      </c>
      <c r="E569" t="s">
        <v>435</v>
      </c>
      <c r="F569" t="s">
        <v>2219</v>
      </c>
      <c r="G569" t="s">
        <v>24</v>
      </c>
      <c r="H569" t="s">
        <v>2220</v>
      </c>
      <c r="I569" t="s">
        <v>46</v>
      </c>
      <c r="L569" t="s">
        <v>2124</v>
      </c>
      <c r="Q569" t="s">
        <v>48</v>
      </c>
    </row>
    <row r="570" spans="1:17" hidden="1" x14ac:dyDescent="0.25">
      <c r="A570" t="s">
        <v>33</v>
      </c>
      <c r="B570" t="s">
        <v>2221</v>
      </c>
      <c r="C570" t="s">
        <v>21</v>
      </c>
      <c r="D570" t="s">
        <v>2221</v>
      </c>
      <c r="E570" t="s">
        <v>1766</v>
      </c>
      <c r="F570" t="s">
        <v>2222</v>
      </c>
      <c r="G570" t="s">
        <v>24</v>
      </c>
      <c r="H570" t="s">
        <v>2223</v>
      </c>
      <c r="I570" t="s">
        <v>46</v>
      </c>
      <c r="L570" t="s">
        <v>2145</v>
      </c>
      <c r="Q570" t="s">
        <v>48</v>
      </c>
    </row>
    <row r="571" spans="1:17" hidden="1" x14ac:dyDescent="0.25">
      <c r="A571" t="s">
        <v>33</v>
      </c>
      <c r="B571" t="s">
        <v>2224</v>
      </c>
      <c r="C571" t="s">
        <v>21</v>
      </c>
      <c r="D571" t="s">
        <v>2224</v>
      </c>
      <c r="E571" t="s">
        <v>1449</v>
      </c>
      <c r="F571" t="s">
        <v>2225</v>
      </c>
      <c r="G571" t="s">
        <v>24</v>
      </c>
      <c r="H571" t="s">
        <v>2226</v>
      </c>
      <c r="I571" t="s">
        <v>46</v>
      </c>
      <c r="L571" t="s">
        <v>2145</v>
      </c>
      <c r="Q571" t="s">
        <v>48</v>
      </c>
    </row>
    <row r="572" spans="1:17" hidden="1" x14ac:dyDescent="0.25">
      <c r="A572" t="s">
        <v>33</v>
      </c>
      <c r="B572" t="s">
        <v>2227</v>
      </c>
      <c r="C572" t="s">
        <v>21</v>
      </c>
      <c r="D572" t="s">
        <v>2227</v>
      </c>
      <c r="E572" t="s">
        <v>2228</v>
      </c>
      <c r="F572" t="s">
        <v>2229</v>
      </c>
      <c r="G572" t="s">
        <v>24</v>
      </c>
      <c r="H572" t="s">
        <v>2230</v>
      </c>
      <c r="L572" t="s">
        <v>2145</v>
      </c>
    </row>
    <row r="573" spans="1:17" hidden="1" x14ac:dyDescent="0.25">
      <c r="A573" t="s">
        <v>33</v>
      </c>
      <c r="B573" t="s">
        <v>2231</v>
      </c>
      <c r="C573" t="s">
        <v>21</v>
      </c>
      <c r="D573" t="s">
        <v>2231</v>
      </c>
      <c r="E573" t="s">
        <v>1146</v>
      </c>
      <c r="F573" t="s">
        <v>2232</v>
      </c>
      <c r="G573" t="s">
        <v>24</v>
      </c>
      <c r="H573" t="s">
        <v>2233</v>
      </c>
      <c r="I573" t="s">
        <v>73</v>
      </c>
      <c r="L573" t="s">
        <v>2145</v>
      </c>
      <c r="Q573" t="s">
        <v>75</v>
      </c>
    </row>
    <row r="574" spans="1:17" hidden="1" x14ac:dyDescent="0.25">
      <c r="A574" t="s">
        <v>33</v>
      </c>
      <c r="B574" t="s">
        <v>2234</v>
      </c>
      <c r="C574" t="s">
        <v>21</v>
      </c>
      <c r="D574" t="s">
        <v>2234</v>
      </c>
      <c r="E574" t="s">
        <v>1872</v>
      </c>
      <c r="F574" t="s">
        <v>2235</v>
      </c>
      <c r="G574" t="s">
        <v>24</v>
      </c>
      <c r="H574" t="s">
        <v>2236</v>
      </c>
      <c r="L574" t="s">
        <v>2145</v>
      </c>
    </row>
    <row r="575" spans="1:17" hidden="1" x14ac:dyDescent="0.25">
      <c r="A575" t="s">
        <v>33</v>
      </c>
      <c r="B575" t="s">
        <v>2237</v>
      </c>
      <c r="C575" t="s">
        <v>21</v>
      </c>
      <c r="D575" t="s">
        <v>2237</v>
      </c>
      <c r="E575" t="s">
        <v>2238</v>
      </c>
      <c r="F575" t="s">
        <v>2239</v>
      </c>
      <c r="G575" t="s">
        <v>24</v>
      </c>
      <c r="H575" t="s">
        <v>2240</v>
      </c>
      <c r="L575" t="s">
        <v>2145</v>
      </c>
    </row>
    <row r="576" spans="1:17" hidden="1" x14ac:dyDescent="0.25">
      <c r="A576" t="s">
        <v>33</v>
      </c>
      <c r="B576" t="s">
        <v>2241</v>
      </c>
      <c r="C576" t="s">
        <v>21</v>
      </c>
      <c r="D576" t="s">
        <v>2241</v>
      </c>
      <c r="E576" t="s">
        <v>1770</v>
      </c>
      <c r="F576" t="s">
        <v>2242</v>
      </c>
      <c r="G576" t="s">
        <v>24</v>
      </c>
      <c r="H576" t="s">
        <v>2243</v>
      </c>
      <c r="L576" t="s">
        <v>2145</v>
      </c>
    </row>
    <row r="577" spans="1:17" hidden="1" x14ac:dyDescent="0.25">
      <c r="A577" t="s">
        <v>33</v>
      </c>
      <c r="B577" t="s">
        <v>2244</v>
      </c>
      <c r="C577" t="s">
        <v>21</v>
      </c>
      <c r="D577" t="s">
        <v>2244</v>
      </c>
      <c r="E577" t="s">
        <v>2245</v>
      </c>
      <c r="F577" t="s">
        <v>2246</v>
      </c>
      <c r="G577" t="s">
        <v>24</v>
      </c>
      <c r="H577" t="s">
        <v>2247</v>
      </c>
      <c r="L577" t="s">
        <v>2145</v>
      </c>
    </row>
    <row r="578" spans="1:17" hidden="1" x14ac:dyDescent="0.25">
      <c r="A578" t="s">
        <v>33</v>
      </c>
      <c r="B578" t="s">
        <v>2248</v>
      </c>
      <c r="C578" t="s">
        <v>21</v>
      </c>
      <c r="D578" t="s">
        <v>2248</v>
      </c>
      <c r="E578" t="s">
        <v>334</v>
      </c>
      <c r="F578" t="s">
        <v>2249</v>
      </c>
      <c r="G578" t="s">
        <v>24</v>
      </c>
      <c r="H578" t="s">
        <v>2250</v>
      </c>
      <c r="I578" t="s">
        <v>46</v>
      </c>
      <c r="L578" t="s">
        <v>273</v>
      </c>
      <c r="Q578" t="s">
        <v>48</v>
      </c>
    </row>
    <row r="579" spans="1:17" hidden="1" x14ac:dyDescent="0.25">
      <c r="A579" t="s">
        <v>33</v>
      </c>
      <c r="B579" t="s">
        <v>2251</v>
      </c>
      <c r="C579" t="s">
        <v>29</v>
      </c>
      <c r="D579" t="s">
        <v>2251</v>
      </c>
      <c r="E579" t="s">
        <v>22</v>
      </c>
      <c r="F579" t="s">
        <v>2252</v>
      </c>
      <c r="G579" t="s">
        <v>24</v>
      </c>
      <c r="H579" t="s">
        <v>2253</v>
      </c>
      <c r="I579" t="s">
        <v>46</v>
      </c>
      <c r="L579" t="s">
        <v>190</v>
      </c>
      <c r="Q579" t="s">
        <v>48</v>
      </c>
    </row>
    <row r="580" spans="1:17" hidden="1" x14ac:dyDescent="0.25">
      <c r="A580" t="s">
        <v>33</v>
      </c>
      <c r="B580" t="s">
        <v>2254</v>
      </c>
      <c r="C580" t="s">
        <v>21</v>
      </c>
      <c r="D580" t="s">
        <v>2254</v>
      </c>
      <c r="E580" t="s">
        <v>778</v>
      </c>
      <c r="F580" t="s">
        <v>2255</v>
      </c>
      <c r="G580" t="s">
        <v>24</v>
      </c>
      <c r="H580" t="s">
        <v>2256</v>
      </c>
      <c r="I580" t="s">
        <v>46</v>
      </c>
      <c r="L580" t="s">
        <v>1923</v>
      </c>
      <c r="Q580" t="s">
        <v>48</v>
      </c>
    </row>
    <row r="581" spans="1:17" hidden="1" x14ac:dyDescent="0.25">
      <c r="A581" t="s">
        <v>33</v>
      </c>
      <c r="B581" t="s">
        <v>2257</v>
      </c>
      <c r="C581" t="s">
        <v>21</v>
      </c>
      <c r="D581" t="s">
        <v>2257</v>
      </c>
      <c r="E581" t="s">
        <v>2258</v>
      </c>
      <c r="F581" t="s">
        <v>2259</v>
      </c>
      <c r="G581" t="s">
        <v>24</v>
      </c>
      <c r="H581" t="s">
        <v>2260</v>
      </c>
      <c r="I581" t="s">
        <v>46</v>
      </c>
      <c r="L581" t="s">
        <v>697</v>
      </c>
      <c r="Q581" t="s">
        <v>48</v>
      </c>
    </row>
    <row r="582" spans="1:17" hidden="1" x14ac:dyDescent="0.25">
      <c r="A582" t="s">
        <v>33</v>
      </c>
      <c r="B582" t="s">
        <v>2261</v>
      </c>
      <c r="C582" t="s">
        <v>21</v>
      </c>
      <c r="D582" t="s">
        <v>2261</v>
      </c>
      <c r="E582" t="s">
        <v>2262</v>
      </c>
      <c r="F582" t="s">
        <v>2263</v>
      </c>
      <c r="G582" t="s">
        <v>24</v>
      </c>
      <c r="H582" t="s">
        <v>2264</v>
      </c>
      <c r="I582" t="s">
        <v>46</v>
      </c>
      <c r="L582" t="s">
        <v>548</v>
      </c>
      <c r="Q582" t="s">
        <v>48</v>
      </c>
    </row>
    <row r="583" spans="1:17" hidden="1" x14ac:dyDescent="0.25">
      <c r="A583" t="s">
        <v>33</v>
      </c>
      <c r="B583" t="s">
        <v>2265</v>
      </c>
      <c r="C583" t="s">
        <v>21</v>
      </c>
      <c r="D583" t="s">
        <v>2265</v>
      </c>
      <c r="E583" t="s">
        <v>796</v>
      </c>
      <c r="F583" t="s">
        <v>2266</v>
      </c>
      <c r="G583" t="s">
        <v>24</v>
      </c>
      <c r="H583" t="s">
        <v>2267</v>
      </c>
      <c r="L583" t="s">
        <v>1042</v>
      </c>
    </row>
    <row r="584" spans="1:17" hidden="1" x14ac:dyDescent="0.25">
      <c r="A584" t="s">
        <v>33</v>
      </c>
      <c r="B584" t="s">
        <v>2268</v>
      </c>
      <c r="C584" t="s">
        <v>21</v>
      </c>
      <c r="D584" t="s">
        <v>2268</v>
      </c>
      <c r="E584" t="s">
        <v>2269</v>
      </c>
      <c r="F584" t="s">
        <v>2270</v>
      </c>
      <c r="G584" t="s">
        <v>24</v>
      </c>
      <c r="H584" t="s">
        <v>2271</v>
      </c>
      <c r="I584" t="s">
        <v>73</v>
      </c>
      <c r="L584" t="s">
        <v>90</v>
      </c>
      <c r="Q584" t="s">
        <v>75</v>
      </c>
    </row>
    <row r="585" spans="1:17" hidden="1" x14ac:dyDescent="0.25">
      <c r="A585" t="s">
        <v>33</v>
      </c>
      <c r="B585" t="s">
        <v>2272</v>
      </c>
      <c r="C585" t="s">
        <v>92</v>
      </c>
      <c r="D585" t="s">
        <v>2273</v>
      </c>
      <c r="E585" t="s">
        <v>135</v>
      </c>
      <c r="F585" t="s">
        <v>2274</v>
      </c>
      <c r="G585" t="s">
        <v>24</v>
      </c>
      <c r="H585" t="s">
        <v>2275</v>
      </c>
      <c r="I585" t="s">
        <v>73</v>
      </c>
      <c r="L585" t="s">
        <v>97</v>
      </c>
      <c r="Q585" t="s">
        <v>75</v>
      </c>
    </row>
    <row r="586" spans="1:17" hidden="1" x14ac:dyDescent="0.25">
      <c r="A586" t="s">
        <v>33</v>
      </c>
      <c r="B586" t="s">
        <v>2276</v>
      </c>
      <c r="C586" t="s">
        <v>21</v>
      </c>
      <c r="D586" t="s">
        <v>2276</v>
      </c>
      <c r="E586" t="s">
        <v>2277</v>
      </c>
      <c r="F586" t="s">
        <v>2278</v>
      </c>
      <c r="G586" t="s">
        <v>24</v>
      </c>
      <c r="H586" t="s">
        <v>2279</v>
      </c>
      <c r="I586" t="s">
        <v>46</v>
      </c>
      <c r="L586" t="s">
        <v>185</v>
      </c>
      <c r="Q586" t="s">
        <v>48</v>
      </c>
    </row>
    <row r="587" spans="1:17" hidden="1" x14ac:dyDescent="0.25">
      <c r="A587" t="s">
        <v>33</v>
      </c>
      <c r="B587" t="s">
        <v>2280</v>
      </c>
      <c r="C587" t="s">
        <v>92</v>
      </c>
      <c r="D587" t="s">
        <v>2280</v>
      </c>
      <c r="E587" t="s">
        <v>2281</v>
      </c>
      <c r="F587" t="s">
        <v>2282</v>
      </c>
      <c r="G587" t="s">
        <v>24</v>
      </c>
      <c r="H587" t="s">
        <v>2283</v>
      </c>
      <c r="L587" t="s">
        <v>97</v>
      </c>
    </row>
    <row r="588" spans="1:17" hidden="1" x14ac:dyDescent="0.25">
      <c r="A588" t="s">
        <v>33</v>
      </c>
      <c r="B588" t="s">
        <v>2284</v>
      </c>
      <c r="C588" t="s">
        <v>21</v>
      </c>
      <c r="D588" t="s">
        <v>2284</v>
      </c>
      <c r="E588" t="s">
        <v>2285</v>
      </c>
      <c r="F588" t="s">
        <v>2286</v>
      </c>
      <c r="G588" t="s">
        <v>24</v>
      </c>
      <c r="H588" t="s">
        <v>2287</v>
      </c>
      <c r="I588" t="s">
        <v>73</v>
      </c>
      <c r="L588" t="s">
        <v>292</v>
      </c>
      <c r="Q588" t="s">
        <v>75</v>
      </c>
    </row>
    <row r="589" spans="1:17" hidden="1" x14ac:dyDescent="0.25">
      <c r="A589" t="s">
        <v>33</v>
      </c>
      <c r="B589" t="s">
        <v>2288</v>
      </c>
      <c r="C589" t="s">
        <v>29</v>
      </c>
      <c r="D589" t="s">
        <v>2288</v>
      </c>
      <c r="E589" t="s">
        <v>1738</v>
      </c>
      <c r="F589" t="s">
        <v>2289</v>
      </c>
      <c r="G589" t="s">
        <v>24</v>
      </c>
      <c r="H589" t="s">
        <v>2290</v>
      </c>
      <c r="L589" t="s">
        <v>190</v>
      </c>
    </row>
    <row r="590" spans="1:17" hidden="1" x14ac:dyDescent="0.25">
      <c r="A590" t="s">
        <v>33</v>
      </c>
      <c r="B590" t="s">
        <v>2291</v>
      </c>
      <c r="C590" t="s">
        <v>21</v>
      </c>
      <c r="D590" t="s">
        <v>2291</v>
      </c>
      <c r="E590" t="s">
        <v>606</v>
      </c>
      <c r="F590" t="s">
        <v>2292</v>
      </c>
      <c r="G590" t="s">
        <v>24</v>
      </c>
      <c r="H590" t="s">
        <v>2293</v>
      </c>
      <c r="L590" t="s">
        <v>1042</v>
      </c>
    </row>
    <row r="591" spans="1:17" x14ac:dyDescent="0.25">
      <c r="A591" t="s">
        <v>33</v>
      </c>
      <c r="B591" t="s">
        <v>2294</v>
      </c>
      <c r="C591" t="s">
        <v>21</v>
      </c>
      <c r="D591" t="s">
        <v>2294</v>
      </c>
      <c r="E591" t="s">
        <v>2295</v>
      </c>
      <c r="F591" t="s">
        <v>2296</v>
      </c>
      <c r="G591" t="s">
        <v>24</v>
      </c>
      <c r="H591" t="s">
        <v>2297</v>
      </c>
      <c r="I591" t="s">
        <v>1055</v>
      </c>
      <c r="L591" t="s">
        <v>349</v>
      </c>
      <c r="Q591" t="s">
        <v>1056</v>
      </c>
    </row>
    <row r="592" spans="1:17" hidden="1" x14ac:dyDescent="0.25">
      <c r="A592" t="s">
        <v>33</v>
      </c>
      <c r="B592" t="s">
        <v>2298</v>
      </c>
      <c r="C592" t="s">
        <v>21</v>
      </c>
      <c r="D592" t="s">
        <v>2298</v>
      </c>
      <c r="E592" t="s">
        <v>2299</v>
      </c>
      <c r="F592" t="s">
        <v>2300</v>
      </c>
      <c r="G592" t="s">
        <v>24</v>
      </c>
      <c r="H592" t="s">
        <v>2301</v>
      </c>
      <c r="L592" t="s">
        <v>27</v>
      </c>
    </row>
    <row r="593" spans="1:17" hidden="1" x14ac:dyDescent="0.25">
      <c r="A593" t="s">
        <v>33</v>
      </c>
      <c r="B593" t="s">
        <v>2302</v>
      </c>
      <c r="C593" t="s">
        <v>21</v>
      </c>
      <c r="D593" t="s">
        <v>2302</v>
      </c>
      <c r="E593" t="s">
        <v>1430</v>
      </c>
      <c r="F593" t="s">
        <v>2303</v>
      </c>
      <c r="G593" t="s">
        <v>24</v>
      </c>
      <c r="H593" t="s">
        <v>2304</v>
      </c>
      <c r="I593" t="s">
        <v>46</v>
      </c>
      <c r="L593" t="s">
        <v>861</v>
      </c>
      <c r="Q593" t="s">
        <v>48</v>
      </c>
    </row>
    <row r="594" spans="1:17" hidden="1" x14ac:dyDescent="0.25">
      <c r="A594" t="s">
        <v>33</v>
      </c>
      <c r="B594" t="s">
        <v>2305</v>
      </c>
      <c r="C594" t="s">
        <v>21</v>
      </c>
      <c r="D594" t="s">
        <v>2305</v>
      </c>
      <c r="E594" t="s">
        <v>894</v>
      </c>
      <c r="F594" t="s">
        <v>2306</v>
      </c>
      <c r="G594" t="s">
        <v>24</v>
      </c>
      <c r="H594" t="s">
        <v>2307</v>
      </c>
      <c r="I594" t="s">
        <v>46</v>
      </c>
      <c r="L594" t="s">
        <v>692</v>
      </c>
      <c r="Q594" t="s">
        <v>48</v>
      </c>
    </row>
    <row r="595" spans="1:17" hidden="1" x14ac:dyDescent="0.25">
      <c r="A595" t="s">
        <v>33</v>
      </c>
      <c r="B595" t="s">
        <v>2308</v>
      </c>
      <c r="C595" t="s">
        <v>29</v>
      </c>
      <c r="D595" t="s">
        <v>2308</v>
      </c>
      <c r="E595" t="s">
        <v>2309</v>
      </c>
      <c r="F595" t="s">
        <v>2310</v>
      </c>
      <c r="G595" t="s">
        <v>24</v>
      </c>
      <c r="H595" t="s">
        <v>2311</v>
      </c>
      <c r="L595" t="s">
        <v>2312</v>
      </c>
    </row>
    <row r="596" spans="1:17" hidden="1" x14ac:dyDescent="0.25">
      <c r="A596" t="s">
        <v>33</v>
      </c>
      <c r="B596" t="s">
        <v>2313</v>
      </c>
      <c r="C596" t="s">
        <v>29</v>
      </c>
      <c r="D596" t="s">
        <v>2313</v>
      </c>
      <c r="E596" t="s">
        <v>187</v>
      </c>
      <c r="F596" t="s">
        <v>591</v>
      </c>
      <c r="G596" t="s">
        <v>24</v>
      </c>
      <c r="H596" s="1" t="s">
        <v>2314</v>
      </c>
      <c r="I596" t="s">
        <v>46</v>
      </c>
      <c r="L596" t="s">
        <v>246</v>
      </c>
      <c r="Q596" t="s">
        <v>48</v>
      </c>
    </row>
    <row r="597" spans="1:17" hidden="1" x14ac:dyDescent="0.25">
      <c r="A597" t="s">
        <v>33</v>
      </c>
      <c r="B597" t="s">
        <v>2315</v>
      </c>
      <c r="C597" t="s">
        <v>21</v>
      </c>
      <c r="D597" t="s">
        <v>2315</v>
      </c>
      <c r="E597" t="s">
        <v>236</v>
      </c>
      <c r="F597" t="s">
        <v>2316</v>
      </c>
      <c r="G597" t="s">
        <v>24</v>
      </c>
      <c r="H597" t="s">
        <v>2317</v>
      </c>
      <c r="I597" t="s">
        <v>46</v>
      </c>
      <c r="L597" t="s">
        <v>803</v>
      </c>
      <c r="Q597" t="s">
        <v>48</v>
      </c>
    </row>
    <row r="598" spans="1:17" hidden="1" x14ac:dyDescent="0.25">
      <c r="A598" t="s">
        <v>33</v>
      </c>
      <c r="B598" t="s">
        <v>2318</v>
      </c>
      <c r="C598" t="s">
        <v>21</v>
      </c>
      <c r="D598" t="s">
        <v>2318</v>
      </c>
      <c r="E598" t="s">
        <v>178</v>
      </c>
      <c r="F598" t="s">
        <v>2319</v>
      </c>
      <c r="G598" t="s">
        <v>24</v>
      </c>
      <c r="H598" t="s">
        <v>2320</v>
      </c>
      <c r="I598" t="s">
        <v>46</v>
      </c>
      <c r="L598" t="s">
        <v>1061</v>
      </c>
      <c r="Q598" t="s">
        <v>48</v>
      </c>
    </row>
    <row r="599" spans="1:17" hidden="1" x14ac:dyDescent="0.25">
      <c r="A599" t="s">
        <v>33</v>
      </c>
      <c r="B599" t="s">
        <v>2321</v>
      </c>
      <c r="C599" t="s">
        <v>21</v>
      </c>
      <c r="D599" t="s">
        <v>2321</v>
      </c>
      <c r="E599" t="s">
        <v>2322</v>
      </c>
      <c r="F599" t="s">
        <v>2323</v>
      </c>
      <c r="G599" t="s">
        <v>24</v>
      </c>
      <c r="H599" t="s">
        <v>2324</v>
      </c>
      <c r="I599" t="s">
        <v>46</v>
      </c>
      <c r="L599" t="s">
        <v>317</v>
      </c>
      <c r="Q599" t="s">
        <v>48</v>
      </c>
    </row>
    <row r="600" spans="1:17" hidden="1" x14ac:dyDescent="0.25">
      <c r="A600" t="s">
        <v>33</v>
      </c>
      <c r="B600" t="s">
        <v>2325</v>
      </c>
      <c r="C600" t="s">
        <v>21</v>
      </c>
      <c r="D600" t="s">
        <v>2325</v>
      </c>
      <c r="E600" t="s">
        <v>2326</v>
      </c>
      <c r="F600" t="s">
        <v>2327</v>
      </c>
      <c r="G600" t="s">
        <v>24</v>
      </c>
      <c r="H600" s="1" t="s">
        <v>2328</v>
      </c>
      <c r="I600" t="s">
        <v>73</v>
      </c>
      <c r="J600" t="s">
        <v>26</v>
      </c>
      <c r="L600" t="s">
        <v>2329</v>
      </c>
      <c r="Q600" t="s">
        <v>75</v>
      </c>
    </row>
    <row r="601" spans="1:17" hidden="1" x14ac:dyDescent="0.25">
      <c r="A601" t="s">
        <v>33</v>
      </c>
      <c r="B601" t="s">
        <v>2330</v>
      </c>
      <c r="C601" t="s">
        <v>21</v>
      </c>
      <c r="D601" t="s">
        <v>2330</v>
      </c>
      <c r="E601" t="s">
        <v>2331</v>
      </c>
      <c r="F601" t="s">
        <v>2332</v>
      </c>
      <c r="G601" t="s">
        <v>24</v>
      </c>
      <c r="H601" t="s">
        <v>2333</v>
      </c>
      <c r="L601" t="s">
        <v>327</v>
      </c>
    </row>
    <row r="602" spans="1:17" hidden="1" x14ac:dyDescent="0.25">
      <c r="A602" t="s">
        <v>33</v>
      </c>
      <c r="B602" t="s">
        <v>2334</v>
      </c>
      <c r="C602" t="s">
        <v>21</v>
      </c>
      <c r="D602" t="s">
        <v>2334</v>
      </c>
      <c r="E602" t="s">
        <v>2335</v>
      </c>
      <c r="F602" t="s">
        <v>2336</v>
      </c>
      <c r="G602" t="s">
        <v>24</v>
      </c>
      <c r="H602" t="s">
        <v>2337</v>
      </c>
      <c r="I602" t="s">
        <v>73</v>
      </c>
      <c r="L602" t="s">
        <v>2329</v>
      </c>
      <c r="Q602" t="s">
        <v>75</v>
      </c>
    </row>
    <row r="603" spans="1:17" hidden="1" x14ac:dyDescent="0.25">
      <c r="A603" t="s">
        <v>33</v>
      </c>
      <c r="B603" t="s">
        <v>2338</v>
      </c>
      <c r="C603" t="s">
        <v>21</v>
      </c>
      <c r="D603" t="s">
        <v>2338</v>
      </c>
      <c r="E603" t="s">
        <v>2339</v>
      </c>
      <c r="F603" t="s">
        <v>2340</v>
      </c>
      <c r="G603" t="s">
        <v>24</v>
      </c>
      <c r="H603" t="s">
        <v>2341</v>
      </c>
      <c r="I603" t="s">
        <v>46</v>
      </c>
      <c r="L603" t="s">
        <v>415</v>
      </c>
      <c r="Q603" t="s">
        <v>48</v>
      </c>
    </row>
    <row r="604" spans="1:17" hidden="1" x14ac:dyDescent="0.25">
      <c r="A604" t="s">
        <v>33</v>
      </c>
      <c r="B604" t="s">
        <v>2342</v>
      </c>
      <c r="C604" t="s">
        <v>21</v>
      </c>
      <c r="D604" t="s">
        <v>2342</v>
      </c>
      <c r="E604" t="s">
        <v>1315</v>
      </c>
      <c r="F604" t="s">
        <v>2343</v>
      </c>
      <c r="G604" t="s">
        <v>24</v>
      </c>
      <c r="H604" t="s">
        <v>2344</v>
      </c>
      <c r="I604" t="s">
        <v>46</v>
      </c>
      <c r="L604" t="s">
        <v>287</v>
      </c>
      <c r="Q604" t="s">
        <v>48</v>
      </c>
    </row>
    <row r="605" spans="1:17" hidden="1" x14ac:dyDescent="0.25">
      <c r="A605" t="s">
        <v>33</v>
      </c>
      <c r="B605" t="s">
        <v>2345</v>
      </c>
      <c r="C605" t="s">
        <v>21</v>
      </c>
      <c r="D605" t="s">
        <v>2345</v>
      </c>
      <c r="E605" t="s">
        <v>598</v>
      </c>
      <c r="F605" t="s">
        <v>2346</v>
      </c>
      <c r="G605" t="s">
        <v>24</v>
      </c>
      <c r="H605" t="s">
        <v>2347</v>
      </c>
      <c r="I605" t="s">
        <v>46</v>
      </c>
      <c r="L605" t="s">
        <v>535</v>
      </c>
      <c r="Q605" t="s">
        <v>48</v>
      </c>
    </row>
    <row r="606" spans="1:17" hidden="1" x14ac:dyDescent="0.25">
      <c r="A606" t="s">
        <v>33</v>
      </c>
      <c r="B606" t="s">
        <v>2348</v>
      </c>
      <c r="C606" t="s">
        <v>29</v>
      </c>
      <c r="D606" t="s">
        <v>2348</v>
      </c>
      <c r="E606" t="s">
        <v>2349</v>
      </c>
      <c r="F606" t="s">
        <v>2350</v>
      </c>
      <c r="G606" t="s">
        <v>24</v>
      </c>
      <c r="H606" t="s">
        <v>2351</v>
      </c>
      <c r="I606" t="s">
        <v>46</v>
      </c>
      <c r="L606" t="s">
        <v>1389</v>
      </c>
      <c r="Q606" t="s">
        <v>48</v>
      </c>
    </row>
    <row r="607" spans="1:17" hidden="1" x14ac:dyDescent="0.25">
      <c r="A607" t="s">
        <v>33</v>
      </c>
      <c r="B607" t="s">
        <v>2352</v>
      </c>
      <c r="C607" t="s">
        <v>29</v>
      </c>
      <c r="D607" t="s">
        <v>2352</v>
      </c>
      <c r="E607" t="s">
        <v>2353</v>
      </c>
      <c r="F607" t="s">
        <v>2354</v>
      </c>
      <c r="G607" t="s">
        <v>24</v>
      </c>
      <c r="H607" t="s">
        <v>2355</v>
      </c>
      <c r="L607" t="s">
        <v>2356</v>
      </c>
    </row>
    <row r="608" spans="1:17" hidden="1" x14ac:dyDescent="0.25">
      <c r="A608" t="s">
        <v>33</v>
      </c>
      <c r="B608" t="s">
        <v>2357</v>
      </c>
      <c r="C608" t="s">
        <v>21</v>
      </c>
      <c r="D608" t="s">
        <v>2357</v>
      </c>
      <c r="E608" t="s">
        <v>2358</v>
      </c>
      <c r="F608" t="s">
        <v>2359</v>
      </c>
      <c r="G608" t="s">
        <v>24</v>
      </c>
      <c r="H608" t="s">
        <v>2360</v>
      </c>
      <c r="L608" t="s">
        <v>27</v>
      </c>
    </row>
    <row r="609" spans="1:17" hidden="1" x14ac:dyDescent="0.25">
      <c r="A609" t="s">
        <v>33</v>
      </c>
      <c r="B609" t="s">
        <v>2361</v>
      </c>
      <c r="C609" t="s">
        <v>29</v>
      </c>
      <c r="D609" t="s">
        <v>2362</v>
      </c>
      <c r="E609" t="s">
        <v>2363</v>
      </c>
      <c r="F609" t="s">
        <v>2364</v>
      </c>
      <c r="G609" t="s">
        <v>24</v>
      </c>
      <c r="H609" t="s">
        <v>2365</v>
      </c>
      <c r="I609" t="s">
        <v>46</v>
      </c>
      <c r="L609" t="s">
        <v>861</v>
      </c>
      <c r="Q609" t="s">
        <v>48</v>
      </c>
    </row>
    <row r="610" spans="1:17" hidden="1" x14ac:dyDescent="0.25">
      <c r="A610" t="s">
        <v>33</v>
      </c>
      <c r="B610" t="s">
        <v>2366</v>
      </c>
      <c r="C610" t="s">
        <v>21</v>
      </c>
      <c r="D610" t="s">
        <v>2366</v>
      </c>
      <c r="E610" t="s">
        <v>1720</v>
      </c>
      <c r="F610" t="s">
        <v>515</v>
      </c>
      <c r="G610" t="s">
        <v>24</v>
      </c>
      <c r="H610" t="s">
        <v>2367</v>
      </c>
      <c r="I610" t="s">
        <v>46</v>
      </c>
      <c r="L610" t="s">
        <v>1152</v>
      </c>
      <c r="Q610" t="s">
        <v>48</v>
      </c>
    </row>
    <row r="611" spans="1:17" hidden="1" x14ac:dyDescent="0.25">
      <c r="A611" t="s">
        <v>33</v>
      </c>
      <c r="B611" t="s">
        <v>2368</v>
      </c>
      <c r="C611" t="s">
        <v>29</v>
      </c>
      <c r="D611" t="s">
        <v>2368</v>
      </c>
      <c r="E611" t="s">
        <v>2369</v>
      </c>
      <c r="F611" t="s">
        <v>2370</v>
      </c>
      <c r="G611" t="s">
        <v>24</v>
      </c>
      <c r="H611" t="s">
        <v>2371</v>
      </c>
      <c r="J611" t="s">
        <v>26</v>
      </c>
      <c r="L611" t="s">
        <v>27</v>
      </c>
    </row>
    <row r="612" spans="1:17" hidden="1" x14ac:dyDescent="0.25">
      <c r="A612" t="s">
        <v>33</v>
      </c>
      <c r="B612" t="s">
        <v>2372</v>
      </c>
      <c r="C612" t="s">
        <v>29</v>
      </c>
      <c r="D612" t="s">
        <v>2372</v>
      </c>
      <c r="E612" t="s">
        <v>472</v>
      </c>
      <c r="F612" t="s">
        <v>2373</v>
      </c>
      <c r="G612" t="s">
        <v>24</v>
      </c>
      <c r="H612" s="1" t="s">
        <v>2374</v>
      </c>
      <c r="I612" t="s">
        <v>46</v>
      </c>
      <c r="L612" t="s">
        <v>511</v>
      </c>
      <c r="Q612" t="s">
        <v>48</v>
      </c>
    </row>
    <row r="613" spans="1:17" hidden="1" x14ac:dyDescent="0.25">
      <c r="A613" t="s">
        <v>33</v>
      </c>
      <c r="B613" t="s">
        <v>2375</v>
      </c>
      <c r="C613" t="s">
        <v>29</v>
      </c>
      <c r="D613" t="s">
        <v>2375</v>
      </c>
      <c r="E613" t="s">
        <v>2376</v>
      </c>
      <c r="F613" t="s">
        <v>2377</v>
      </c>
      <c r="G613" t="s">
        <v>24</v>
      </c>
      <c r="H613" t="s">
        <v>2378</v>
      </c>
      <c r="I613" t="s">
        <v>46</v>
      </c>
      <c r="L613" t="s">
        <v>246</v>
      </c>
      <c r="Q613" t="s">
        <v>48</v>
      </c>
    </row>
    <row r="614" spans="1:17" hidden="1" x14ac:dyDescent="0.25">
      <c r="A614" t="s">
        <v>33</v>
      </c>
      <c r="B614" t="s">
        <v>2379</v>
      </c>
      <c r="C614" t="s">
        <v>29</v>
      </c>
      <c r="D614" t="s">
        <v>2379</v>
      </c>
      <c r="E614" t="s">
        <v>1393</v>
      </c>
      <c r="F614" t="s">
        <v>2380</v>
      </c>
      <c r="G614" t="s">
        <v>24</v>
      </c>
      <c r="H614" t="s">
        <v>2381</v>
      </c>
      <c r="I614" t="s">
        <v>46</v>
      </c>
      <c r="L614" t="s">
        <v>511</v>
      </c>
      <c r="Q614" t="s">
        <v>48</v>
      </c>
    </row>
    <row r="615" spans="1:17" hidden="1" x14ac:dyDescent="0.25">
      <c r="A615" t="s">
        <v>33</v>
      </c>
      <c r="B615" t="s">
        <v>2382</v>
      </c>
      <c r="C615" t="s">
        <v>21</v>
      </c>
      <c r="D615" t="s">
        <v>2382</v>
      </c>
      <c r="E615" t="s">
        <v>2281</v>
      </c>
      <c r="F615" t="s">
        <v>2383</v>
      </c>
      <c r="G615" t="s">
        <v>24</v>
      </c>
      <c r="H615" t="s">
        <v>2384</v>
      </c>
      <c r="I615" t="s">
        <v>46</v>
      </c>
      <c r="L615" t="s">
        <v>738</v>
      </c>
      <c r="Q615" t="s">
        <v>48</v>
      </c>
    </row>
    <row r="616" spans="1:17" hidden="1" x14ac:dyDescent="0.25">
      <c r="A616" t="s">
        <v>33</v>
      </c>
      <c r="B616" t="s">
        <v>2385</v>
      </c>
      <c r="C616" t="s">
        <v>21</v>
      </c>
      <c r="D616" t="s">
        <v>2385</v>
      </c>
      <c r="E616" t="s">
        <v>778</v>
      </c>
      <c r="F616" t="s">
        <v>2386</v>
      </c>
      <c r="G616" t="s">
        <v>24</v>
      </c>
      <c r="H616" t="s">
        <v>2387</v>
      </c>
      <c r="I616" t="s">
        <v>73</v>
      </c>
      <c r="L616" t="s">
        <v>119</v>
      </c>
      <c r="Q616" t="s">
        <v>75</v>
      </c>
    </row>
    <row r="617" spans="1:17" hidden="1" x14ac:dyDescent="0.25">
      <c r="A617" t="s">
        <v>33</v>
      </c>
      <c r="B617" t="s">
        <v>2388</v>
      </c>
      <c r="C617" t="s">
        <v>21</v>
      </c>
      <c r="D617" t="s">
        <v>2388</v>
      </c>
      <c r="E617" t="s">
        <v>2389</v>
      </c>
      <c r="F617" t="s">
        <v>2390</v>
      </c>
      <c r="G617" t="s">
        <v>2391</v>
      </c>
      <c r="H617" t="s">
        <v>2392</v>
      </c>
      <c r="I617" t="s">
        <v>46</v>
      </c>
      <c r="L617" t="s">
        <v>38</v>
      </c>
      <c r="Q617" t="s">
        <v>48</v>
      </c>
    </row>
    <row r="618" spans="1:17" x14ac:dyDescent="0.25">
      <c r="A618" t="s">
        <v>33</v>
      </c>
      <c r="B618" t="s">
        <v>2393</v>
      </c>
      <c r="C618" t="s">
        <v>21</v>
      </c>
      <c r="D618" t="s">
        <v>2394</v>
      </c>
      <c r="E618" t="s">
        <v>2395</v>
      </c>
      <c r="F618" t="s">
        <v>2396</v>
      </c>
      <c r="G618" t="s">
        <v>24</v>
      </c>
      <c r="H618" t="s">
        <v>2397</v>
      </c>
      <c r="I618" t="s">
        <v>2398</v>
      </c>
      <c r="L618" t="s">
        <v>327</v>
      </c>
      <c r="Q618" t="s">
        <v>2399</v>
      </c>
    </row>
    <row r="619" spans="1:17" hidden="1" x14ac:dyDescent="0.25">
      <c r="A619" t="s">
        <v>33</v>
      </c>
      <c r="B619" t="s">
        <v>2400</v>
      </c>
      <c r="C619" t="s">
        <v>21</v>
      </c>
      <c r="D619" t="s">
        <v>2400</v>
      </c>
      <c r="E619" t="s">
        <v>939</v>
      </c>
      <c r="F619" t="s">
        <v>2401</v>
      </c>
      <c r="G619" t="s">
        <v>24</v>
      </c>
      <c r="H619" t="s">
        <v>2402</v>
      </c>
      <c r="I619" t="s">
        <v>46</v>
      </c>
      <c r="L619" t="s">
        <v>108</v>
      </c>
      <c r="Q619" t="s">
        <v>48</v>
      </c>
    </row>
    <row r="620" spans="1:17" hidden="1" x14ac:dyDescent="0.25">
      <c r="A620" t="s">
        <v>33</v>
      </c>
      <c r="B620" t="s">
        <v>2403</v>
      </c>
      <c r="C620" t="s">
        <v>29</v>
      </c>
      <c r="D620" t="s">
        <v>2403</v>
      </c>
      <c r="E620" t="s">
        <v>2404</v>
      </c>
      <c r="F620" t="s">
        <v>2405</v>
      </c>
      <c r="G620" t="s">
        <v>24</v>
      </c>
      <c r="H620" t="s">
        <v>2406</v>
      </c>
      <c r="I620" t="s">
        <v>46</v>
      </c>
      <c r="L620" t="s">
        <v>2312</v>
      </c>
      <c r="Q620" t="s">
        <v>48</v>
      </c>
    </row>
    <row r="621" spans="1:17" hidden="1" x14ac:dyDescent="0.25">
      <c r="A621" t="s">
        <v>33</v>
      </c>
      <c r="B621" t="s">
        <v>2407</v>
      </c>
      <c r="C621" t="s">
        <v>29</v>
      </c>
      <c r="D621" t="s">
        <v>2407</v>
      </c>
      <c r="E621" t="s">
        <v>2408</v>
      </c>
      <c r="F621" t="s">
        <v>87</v>
      </c>
      <c r="G621" t="s">
        <v>24</v>
      </c>
      <c r="H621" t="s">
        <v>2409</v>
      </c>
    </row>
    <row r="622" spans="1:17" hidden="1" x14ac:dyDescent="0.25">
      <c r="A622" t="s">
        <v>33</v>
      </c>
      <c r="B622" t="s">
        <v>2410</v>
      </c>
      <c r="C622" t="s">
        <v>29</v>
      </c>
      <c r="D622" t="s">
        <v>2410</v>
      </c>
      <c r="E622" t="s">
        <v>294</v>
      </c>
      <c r="F622" t="s">
        <v>2411</v>
      </c>
      <c r="G622" t="s">
        <v>24</v>
      </c>
      <c r="H622" t="s">
        <v>2412</v>
      </c>
      <c r="I622" t="s">
        <v>46</v>
      </c>
      <c r="L622" t="s">
        <v>246</v>
      </c>
      <c r="Q622" t="s">
        <v>48</v>
      </c>
    </row>
    <row r="623" spans="1:17" hidden="1" x14ac:dyDescent="0.25">
      <c r="A623" t="s">
        <v>33</v>
      </c>
      <c r="B623" t="s">
        <v>2413</v>
      </c>
      <c r="C623" t="s">
        <v>29</v>
      </c>
      <c r="D623" t="s">
        <v>2413</v>
      </c>
      <c r="E623" t="s">
        <v>424</v>
      </c>
      <c r="F623" t="s">
        <v>2414</v>
      </c>
      <c r="G623" t="s">
        <v>24</v>
      </c>
      <c r="H623" s="1" t="s">
        <v>2415</v>
      </c>
      <c r="I623" t="s">
        <v>46</v>
      </c>
      <c r="L623" t="s">
        <v>246</v>
      </c>
      <c r="Q623" t="s">
        <v>48</v>
      </c>
    </row>
    <row r="624" spans="1:17" hidden="1" x14ac:dyDescent="0.25">
      <c r="A624" t="s">
        <v>33</v>
      </c>
      <c r="B624" t="s">
        <v>2416</v>
      </c>
      <c r="C624" t="s">
        <v>29</v>
      </c>
      <c r="D624" t="s">
        <v>2416</v>
      </c>
      <c r="E624" t="s">
        <v>1749</v>
      </c>
      <c r="F624" t="s">
        <v>2417</v>
      </c>
      <c r="G624" t="s">
        <v>24</v>
      </c>
      <c r="H624" t="s">
        <v>2418</v>
      </c>
      <c r="L624" t="s">
        <v>246</v>
      </c>
    </row>
    <row r="625" spans="1:17" hidden="1" x14ac:dyDescent="0.25">
      <c r="A625" t="s">
        <v>33</v>
      </c>
      <c r="B625" t="s">
        <v>2419</v>
      </c>
      <c r="C625" t="s">
        <v>21</v>
      </c>
      <c r="D625" t="s">
        <v>2419</v>
      </c>
      <c r="E625" t="s">
        <v>635</v>
      </c>
      <c r="F625" t="s">
        <v>636</v>
      </c>
      <c r="G625" t="s">
        <v>24</v>
      </c>
      <c r="H625" t="s">
        <v>2420</v>
      </c>
      <c r="L625" t="s">
        <v>638</v>
      </c>
    </row>
    <row r="626" spans="1:17" hidden="1" x14ac:dyDescent="0.25">
      <c r="A626" t="s">
        <v>33</v>
      </c>
      <c r="B626" t="s">
        <v>2421</v>
      </c>
      <c r="C626" t="s">
        <v>29</v>
      </c>
      <c r="D626" t="s">
        <v>2421</v>
      </c>
      <c r="E626" t="s">
        <v>1720</v>
      </c>
      <c r="F626" t="s">
        <v>2422</v>
      </c>
      <c r="G626" t="s">
        <v>24</v>
      </c>
      <c r="H626" t="s">
        <v>2423</v>
      </c>
      <c r="I626" t="s">
        <v>46</v>
      </c>
      <c r="L626" t="s">
        <v>803</v>
      </c>
      <c r="Q626" t="s">
        <v>48</v>
      </c>
    </row>
    <row r="627" spans="1:17" hidden="1" x14ac:dyDescent="0.25">
      <c r="A627" t="s">
        <v>33</v>
      </c>
      <c r="B627" t="s">
        <v>2424</v>
      </c>
      <c r="C627" t="s">
        <v>21</v>
      </c>
      <c r="D627" t="s">
        <v>2424</v>
      </c>
      <c r="E627" t="s">
        <v>2425</v>
      </c>
      <c r="F627" t="s">
        <v>2426</v>
      </c>
      <c r="G627" t="s">
        <v>24</v>
      </c>
      <c r="H627" t="s">
        <v>2427</v>
      </c>
      <c r="I627" t="s">
        <v>46</v>
      </c>
      <c r="L627" t="s">
        <v>2329</v>
      </c>
      <c r="Q627" t="s">
        <v>48</v>
      </c>
    </row>
    <row r="628" spans="1:17" hidden="1" x14ac:dyDescent="0.25">
      <c r="A628" t="s">
        <v>33</v>
      </c>
      <c r="B628" t="s">
        <v>2428</v>
      </c>
      <c r="C628" t="s">
        <v>29</v>
      </c>
      <c r="D628" t="s">
        <v>2429</v>
      </c>
      <c r="E628" t="s">
        <v>2430</v>
      </c>
      <c r="F628" t="s">
        <v>2431</v>
      </c>
      <c r="G628" t="s">
        <v>24</v>
      </c>
      <c r="H628" t="s">
        <v>2432</v>
      </c>
      <c r="I628" t="s">
        <v>46</v>
      </c>
      <c r="L628" t="s">
        <v>517</v>
      </c>
      <c r="Q628" t="s">
        <v>48</v>
      </c>
    </row>
    <row r="629" spans="1:17" hidden="1" x14ac:dyDescent="0.25">
      <c r="A629" t="s">
        <v>33</v>
      </c>
      <c r="B629" t="s">
        <v>2433</v>
      </c>
      <c r="C629" t="s">
        <v>2434</v>
      </c>
      <c r="D629" t="s">
        <v>2435</v>
      </c>
      <c r="E629" t="s">
        <v>2436</v>
      </c>
      <c r="F629" t="s">
        <v>2437</v>
      </c>
      <c r="G629" t="s">
        <v>24</v>
      </c>
      <c r="H629" t="s">
        <v>2438</v>
      </c>
      <c r="L629" t="s">
        <v>2439</v>
      </c>
    </row>
    <row r="630" spans="1:17" hidden="1" x14ac:dyDescent="0.25">
      <c r="A630" t="s">
        <v>33</v>
      </c>
      <c r="B630" t="s">
        <v>2440</v>
      </c>
      <c r="C630" t="s">
        <v>29</v>
      </c>
      <c r="D630" t="s">
        <v>2440</v>
      </c>
      <c r="E630" t="s">
        <v>635</v>
      </c>
      <c r="F630" t="s">
        <v>2441</v>
      </c>
      <c r="G630" t="s">
        <v>24</v>
      </c>
      <c r="H630" t="s">
        <v>2442</v>
      </c>
      <c r="I630" t="s">
        <v>46</v>
      </c>
      <c r="L630" t="s">
        <v>1331</v>
      </c>
      <c r="Q630" t="s">
        <v>48</v>
      </c>
    </row>
    <row r="631" spans="1:17" hidden="1" x14ac:dyDescent="0.25">
      <c r="A631" t="s">
        <v>33</v>
      </c>
      <c r="B631" t="s">
        <v>2443</v>
      </c>
      <c r="C631" t="s">
        <v>29</v>
      </c>
      <c r="D631" t="s">
        <v>2443</v>
      </c>
      <c r="E631" t="s">
        <v>2444</v>
      </c>
      <c r="F631" t="s">
        <v>2445</v>
      </c>
      <c r="G631" t="s">
        <v>24</v>
      </c>
      <c r="H631" t="s">
        <v>2446</v>
      </c>
      <c r="I631" t="s">
        <v>46</v>
      </c>
      <c r="L631" t="s">
        <v>1331</v>
      </c>
      <c r="Q631" t="s">
        <v>48</v>
      </c>
    </row>
    <row r="632" spans="1:17" hidden="1" x14ac:dyDescent="0.25">
      <c r="A632" t="s">
        <v>33</v>
      </c>
      <c r="B632" t="s">
        <v>2447</v>
      </c>
      <c r="C632" t="s">
        <v>29</v>
      </c>
      <c r="D632" t="s">
        <v>2447</v>
      </c>
      <c r="E632" t="s">
        <v>2448</v>
      </c>
      <c r="F632" t="s">
        <v>2449</v>
      </c>
      <c r="G632" t="s">
        <v>24</v>
      </c>
      <c r="H632" t="s">
        <v>2450</v>
      </c>
      <c r="L632" t="s">
        <v>1331</v>
      </c>
    </row>
    <row r="633" spans="1:17" hidden="1" x14ac:dyDescent="0.25">
      <c r="A633" t="s">
        <v>33</v>
      </c>
      <c r="B633" t="s">
        <v>2451</v>
      </c>
      <c r="C633" t="s">
        <v>29</v>
      </c>
      <c r="D633" t="s">
        <v>2451</v>
      </c>
      <c r="E633" t="s">
        <v>2452</v>
      </c>
      <c r="F633" t="s">
        <v>78</v>
      </c>
      <c r="G633" t="s">
        <v>24</v>
      </c>
      <c r="H633" t="s">
        <v>2453</v>
      </c>
      <c r="I633" t="s">
        <v>46</v>
      </c>
      <c r="L633" t="s">
        <v>1331</v>
      </c>
      <c r="Q633" t="s">
        <v>48</v>
      </c>
    </row>
    <row r="634" spans="1:17" hidden="1" x14ac:dyDescent="0.25">
      <c r="A634" t="s">
        <v>33</v>
      </c>
      <c r="B634" t="s">
        <v>2454</v>
      </c>
      <c r="C634" t="s">
        <v>29</v>
      </c>
      <c r="D634" t="s">
        <v>2454</v>
      </c>
      <c r="E634" t="s">
        <v>2455</v>
      </c>
      <c r="F634" t="s">
        <v>2456</v>
      </c>
      <c r="G634" t="s">
        <v>24</v>
      </c>
      <c r="H634" t="s">
        <v>2457</v>
      </c>
      <c r="I634" t="s">
        <v>46</v>
      </c>
      <c r="L634" t="s">
        <v>1331</v>
      </c>
      <c r="Q634" t="s">
        <v>48</v>
      </c>
    </row>
    <row r="635" spans="1:17" hidden="1" x14ac:dyDescent="0.25">
      <c r="A635" t="s">
        <v>33</v>
      </c>
      <c r="B635" t="s">
        <v>2458</v>
      </c>
      <c r="C635" t="s">
        <v>29</v>
      </c>
      <c r="D635" t="s">
        <v>2458</v>
      </c>
      <c r="E635" t="s">
        <v>1242</v>
      </c>
      <c r="F635" t="s">
        <v>2459</v>
      </c>
      <c r="G635" t="s">
        <v>24</v>
      </c>
      <c r="H635" t="s">
        <v>2460</v>
      </c>
      <c r="L635" t="s">
        <v>1331</v>
      </c>
    </row>
    <row r="636" spans="1:17" hidden="1" x14ac:dyDescent="0.25">
      <c r="A636" t="s">
        <v>33</v>
      </c>
      <c r="B636" t="s">
        <v>2461</v>
      </c>
      <c r="C636" t="s">
        <v>29</v>
      </c>
      <c r="D636" t="s">
        <v>2461</v>
      </c>
      <c r="E636" t="s">
        <v>2462</v>
      </c>
      <c r="F636" t="s">
        <v>2463</v>
      </c>
      <c r="G636" t="s">
        <v>24</v>
      </c>
      <c r="H636" t="s">
        <v>2464</v>
      </c>
      <c r="L636" t="s">
        <v>1331</v>
      </c>
    </row>
    <row r="637" spans="1:17" hidden="1" x14ac:dyDescent="0.25">
      <c r="A637" t="s">
        <v>33</v>
      </c>
      <c r="B637" t="s">
        <v>2465</v>
      </c>
      <c r="C637" t="s">
        <v>29</v>
      </c>
      <c r="D637" t="s">
        <v>2465</v>
      </c>
      <c r="E637" t="s">
        <v>2466</v>
      </c>
      <c r="F637" t="s">
        <v>2467</v>
      </c>
      <c r="G637" t="s">
        <v>24</v>
      </c>
      <c r="H637" s="1" t="s">
        <v>2468</v>
      </c>
      <c r="I637" t="s">
        <v>46</v>
      </c>
      <c r="L637" t="s">
        <v>1331</v>
      </c>
      <c r="Q637" t="s">
        <v>48</v>
      </c>
    </row>
    <row r="638" spans="1:17" hidden="1" x14ac:dyDescent="0.25">
      <c r="A638" t="s">
        <v>33</v>
      </c>
      <c r="B638" t="s">
        <v>2469</v>
      </c>
      <c r="C638" t="s">
        <v>29</v>
      </c>
      <c r="D638" t="s">
        <v>2469</v>
      </c>
      <c r="E638" t="s">
        <v>2470</v>
      </c>
      <c r="F638" t="s">
        <v>2471</v>
      </c>
      <c r="G638" t="s">
        <v>24</v>
      </c>
      <c r="H638" t="s">
        <v>2472</v>
      </c>
      <c r="I638" t="s">
        <v>46</v>
      </c>
      <c r="L638" t="s">
        <v>1331</v>
      </c>
      <c r="Q638" t="s">
        <v>48</v>
      </c>
    </row>
    <row r="639" spans="1:17" hidden="1" x14ac:dyDescent="0.25">
      <c r="A639" t="s">
        <v>33</v>
      </c>
      <c r="B639" t="s">
        <v>2473</v>
      </c>
      <c r="C639" t="s">
        <v>29</v>
      </c>
      <c r="D639" t="s">
        <v>2473</v>
      </c>
      <c r="E639" t="s">
        <v>2474</v>
      </c>
      <c r="F639" t="s">
        <v>2475</v>
      </c>
      <c r="G639" t="s">
        <v>24</v>
      </c>
      <c r="H639" t="s">
        <v>2476</v>
      </c>
      <c r="I639" t="s">
        <v>46</v>
      </c>
      <c r="L639" t="s">
        <v>1331</v>
      </c>
      <c r="Q639" t="s">
        <v>48</v>
      </c>
    </row>
    <row r="640" spans="1:17" hidden="1" x14ac:dyDescent="0.25">
      <c r="A640" t="s">
        <v>33</v>
      </c>
      <c r="B640" t="s">
        <v>2477</v>
      </c>
      <c r="C640" t="s">
        <v>29</v>
      </c>
      <c r="D640" t="s">
        <v>2477</v>
      </c>
      <c r="E640" t="s">
        <v>22</v>
      </c>
      <c r="F640" t="s">
        <v>457</v>
      </c>
      <c r="G640" t="s">
        <v>24</v>
      </c>
      <c r="H640" s="1" t="s">
        <v>2478</v>
      </c>
      <c r="I640" t="s">
        <v>46</v>
      </c>
      <c r="L640" t="s">
        <v>1331</v>
      </c>
      <c r="Q640" t="s">
        <v>48</v>
      </c>
    </row>
    <row r="641" spans="1:17" hidden="1" x14ac:dyDescent="0.25">
      <c r="A641" t="s">
        <v>33</v>
      </c>
      <c r="B641" t="s">
        <v>2479</v>
      </c>
      <c r="C641" t="s">
        <v>29</v>
      </c>
      <c r="D641" t="s">
        <v>2479</v>
      </c>
      <c r="E641" t="s">
        <v>2480</v>
      </c>
      <c r="F641" t="s">
        <v>2481</v>
      </c>
      <c r="G641" t="s">
        <v>24</v>
      </c>
      <c r="H641" t="s">
        <v>2482</v>
      </c>
      <c r="I641" t="s">
        <v>46</v>
      </c>
      <c r="L641" t="s">
        <v>1331</v>
      </c>
      <c r="Q641" t="s">
        <v>48</v>
      </c>
    </row>
    <row r="642" spans="1:17" hidden="1" x14ac:dyDescent="0.25">
      <c r="A642" t="s">
        <v>33</v>
      </c>
      <c r="B642" t="s">
        <v>2483</v>
      </c>
      <c r="C642" t="s">
        <v>29</v>
      </c>
      <c r="D642" t="s">
        <v>2483</v>
      </c>
      <c r="E642" t="s">
        <v>2480</v>
      </c>
      <c r="F642" t="s">
        <v>2484</v>
      </c>
      <c r="G642" t="s">
        <v>24</v>
      </c>
      <c r="H642" t="s">
        <v>2485</v>
      </c>
      <c r="L642" t="s">
        <v>1331</v>
      </c>
    </row>
    <row r="643" spans="1:17" hidden="1" x14ac:dyDescent="0.25">
      <c r="A643" t="s">
        <v>33</v>
      </c>
      <c r="B643" t="s">
        <v>2486</v>
      </c>
      <c r="C643" t="s">
        <v>29</v>
      </c>
      <c r="D643" t="s">
        <v>2486</v>
      </c>
      <c r="E643" t="s">
        <v>2487</v>
      </c>
      <c r="F643" t="s">
        <v>2488</v>
      </c>
      <c r="G643" t="s">
        <v>24</v>
      </c>
      <c r="H643" t="s">
        <v>2489</v>
      </c>
      <c r="L643" t="s">
        <v>246</v>
      </c>
    </row>
    <row r="644" spans="1:17" hidden="1" x14ac:dyDescent="0.25">
      <c r="A644" t="s">
        <v>33</v>
      </c>
      <c r="B644" t="s">
        <v>2490</v>
      </c>
      <c r="C644" t="s">
        <v>29</v>
      </c>
      <c r="D644" t="s">
        <v>2490</v>
      </c>
      <c r="E644" t="s">
        <v>2491</v>
      </c>
      <c r="F644" t="s">
        <v>2492</v>
      </c>
      <c r="G644" t="s">
        <v>24</v>
      </c>
      <c r="H644" s="1" t="s">
        <v>2493</v>
      </c>
      <c r="L644" t="s">
        <v>246</v>
      </c>
    </row>
    <row r="645" spans="1:17" hidden="1" x14ac:dyDescent="0.25">
      <c r="A645" t="s">
        <v>33</v>
      </c>
      <c r="B645" t="s">
        <v>2494</v>
      </c>
      <c r="C645" t="s">
        <v>21</v>
      </c>
      <c r="D645" t="s">
        <v>2494</v>
      </c>
      <c r="E645" t="s">
        <v>1125</v>
      </c>
      <c r="F645" t="s">
        <v>2495</v>
      </c>
      <c r="G645" t="s">
        <v>24</v>
      </c>
      <c r="H645" t="s">
        <v>2496</v>
      </c>
      <c r="L645" t="s">
        <v>397</v>
      </c>
    </row>
    <row r="646" spans="1:17" hidden="1" x14ac:dyDescent="0.25">
      <c r="A646" t="s">
        <v>33</v>
      </c>
      <c r="B646" t="s">
        <v>2497</v>
      </c>
      <c r="C646" t="s">
        <v>29</v>
      </c>
      <c r="D646" t="s">
        <v>2497</v>
      </c>
      <c r="E646" t="s">
        <v>372</v>
      </c>
      <c r="F646" t="s">
        <v>2498</v>
      </c>
      <c r="G646" t="s">
        <v>24</v>
      </c>
      <c r="H646" s="1" t="s">
        <v>2499</v>
      </c>
      <c r="I646" t="s">
        <v>46</v>
      </c>
      <c r="L646" t="s">
        <v>246</v>
      </c>
      <c r="Q646" t="s">
        <v>48</v>
      </c>
    </row>
    <row r="647" spans="1:17" hidden="1" x14ac:dyDescent="0.25">
      <c r="A647" t="s">
        <v>33</v>
      </c>
      <c r="B647" t="s">
        <v>2500</v>
      </c>
      <c r="C647" t="s">
        <v>21</v>
      </c>
      <c r="D647" t="s">
        <v>2500</v>
      </c>
      <c r="E647" t="s">
        <v>2501</v>
      </c>
      <c r="F647" t="s">
        <v>2502</v>
      </c>
      <c r="G647" t="s">
        <v>24</v>
      </c>
      <c r="H647" s="1" t="s">
        <v>2503</v>
      </c>
      <c r="I647" t="s">
        <v>73</v>
      </c>
      <c r="L647" t="s">
        <v>47</v>
      </c>
      <c r="Q647" t="s">
        <v>75</v>
      </c>
    </row>
    <row r="648" spans="1:17" hidden="1" x14ac:dyDescent="0.25">
      <c r="A648" t="s">
        <v>33</v>
      </c>
      <c r="B648" t="s">
        <v>2504</v>
      </c>
      <c r="C648" t="s">
        <v>21</v>
      </c>
      <c r="D648" t="s">
        <v>2504</v>
      </c>
      <c r="E648" t="s">
        <v>334</v>
      </c>
      <c r="F648" t="s">
        <v>2505</v>
      </c>
      <c r="G648" t="s">
        <v>24</v>
      </c>
      <c r="H648" t="s">
        <v>2506</v>
      </c>
      <c r="I648" t="s">
        <v>73</v>
      </c>
      <c r="L648" t="s">
        <v>2507</v>
      </c>
      <c r="Q648" t="s">
        <v>75</v>
      </c>
    </row>
    <row r="649" spans="1:17" hidden="1" x14ac:dyDescent="0.25">
      <c r="A649" t="s">
        <v>33</v>
      </c>
      <c r="B649" t="s">
        <v>2508</v>
      </c>
      <c r="C649" t="s">
        <v>21</v>
      </c>
      <c r="D649" t="s">
        <v>2508</v>
      </c>
      <c r="E649" t="s">
        <v>988</v>
      </c>
      <c r="F649" t="s">
        <v>2509</v>
      </c>
      <c r="G649" t="s">
        <v>24</v>
      </c>
      <c r="H649" t="s">
        <v>2510</v>
      </c>
      <c r="I649" t="s">
        <v>73</v>
      </c>
      <c r="L649" t="s">
        <v>2507</v>
      </c>
      <c r="Q649" t="s">
        <v>75</v>
      </c>
    </row>
    <row r="650" spans="1:17" hidden="1" x14ac:dyDescent="0.25">
      <c r="A650" t="s">
        <v>33</v>
      </c>
      <c r="B650" t="s">
        <v>2511</v>
      </c>
      <c r="C650" t="s">
        <v>21</v>
      </c>
      <c r="D650" t="s">
        <v>2511</v>
      </c>
      <c r="E650" t="s">
        <v>449</v>
      </c>
      <c r="F650" t="s">
        <v>1688</v>
      </c>
      <c r="G650" t="s">
        <v>24</v>
      </c>
      <c r="H650" t="s">
        <v>2512</v>
      </c>
      <c r="I650" t="s">
        <v>73</v>
      </c>
      <c r="L650" t="s">
        <v>108</v>
      </c>
      <c r="Q650" t="s">
        <v>75</v>
      </c>
    </row>
    <row r="651" spans="1:17" hidden="1" x14ac:dyDescent="0.25">
      <c r="A651" t="s">
        <v>33</v>
      </c>
      <c r="B651" t="s">
        <v>2513</v>
      </c>
      <c r="C651" t="s">
        <v>21</v>
      </c>
      <c r="D651" t="s">
        <v>2513</v>
      </c>
      <c r="E651" t="s">
        <v>1189</v>
      </c>
      <c r="F651" t="s">
        <v>2514</v>
      </c>
      <c r="G651" t="s">
        <v>24</v>
      </c>
      <c r="H651" t="s">
        <v>2515</v>
      </c>
      <c r="I651" t="s">
        <v>46</v>
      </c>
      <c r="L651" t="s">
        <v>47</v>
      </c>
      <c r="Q651" t="s">
        <v>48</v>
      </c>
    </row>
    <row r="652" spans="1:17" hidden="1" x14ac:dyDescent="0.25">
      <c r="A652" t="s">
        <v>33</v>
      </c>
      <c r="B652" t="s">
        <v>2516</v>
      </c>
      <c r="C652" t="s">
        <v>29</v>
      </c>
      <c r="D652" t="s">
        <v>2516</v>
      </c>
      <c r="E652" t="s">
        <v>1591</v>
      </c>
      <c r="F652" t="s">
        <v>2517</v>
      </c>
      <c r="G652" t="s">
        <v>24</v>
      </c>
      <c r="H652" t="s">
        <v>2518</v>
      </c>
      <c r="I652" t="s">
        <v>46</v>
      </c>
      <c r="L652" t="s">
        <v>511</v>
      </c>
      <c r="Q652" t="s">
        <v>48</v>
      </c>
    </row>
    <row r="653" spans="1:17" hidden="1" x14ac:dyDescent="0.25">
      <c r="A653" t="s">
        <v>33</v>
      </c>
      <c r="B653" t="s">
        <v>2519</v>
      </c>
      <c r="C653" t="s">
        <v>21</v>
      </c>
      <c r="D653" t="s">
        <v>2519</v>
      </c>
      <c r="E653" t="s">
        <v>334</v>
      </c>
      <c r="F653" t="s">
        <v>2520</v>
      </c>
      <c r="G653" t="s">
        <v>24</v>
      </c>
      <c r="H653" t="s">
        <v>2521</v>
      </c>
      <c r="I653" t="s">
        <v>46</v>
      </c>
      <c r="L653" t="s">
        <v>119</v>
      </c>
      <c r="Q653" t="s">
        <v>48</v>
      </c>
    </row>
    <row r="654" spans="1:17" hidden="1" x14ac:dyDescent="0.25">
      <c r="A654" t="s">
        <v>33</v>
      </c>
      <c r="B654" t="s">
        <v>2522</v>
      </c>
      <c r="C654" t="s">
        <v>21</v>
      </c>
      <c r="D654" t="s">
        <v>2522</v>
      </c>
      <c r="E654" t="s">
        <v>2523</v>
      </c>
      <c r="F654" t="s">
        <v>2524</v>
      </c>
      <c r="G654" t="s">
        <v>24</v>
      </c>
      <c r="H654" t="s">
        <v>2525</v>
      </c>
      <c r="L654" t="s">
        <v>507</v>
      </c>
    </row>
    <row r="655" spans="1:17" hidden="1" x14ac:dyDescent="0.25">
      <c r="A655" t="s">
        <v>33</v>
      </c>
      <c r="B655" t="s">
        <v>2526</v>
      </c>
      <c r="C655" t="s">
        <v>21</v>
      </c>
      <c r="D655" t="s">
        <v>2526</v>
      </c>
      <c r="E655" t="s">
        <v>2527</v>
      </c>
      <c r="F655" t="s">
        <v>2528</v>
      </c>
      <c r="G655" t="s">
        <v>24</v>
      </c>
      <c r="H655" t="s">
        <v>2529</v>
      </c>
      <c r="I655" t="s">
        <v>46</v>
      </c>
      <c r="L655" t="s">
        <v>74</v>
      </c>
      <c r="Q655" t="s">
        <v>48</v>
      </c>
    </row>
    <row r="656" spans="1:17" hidden="1" x14ac:dyDescent="0.25">
      <c r="A656" t="s">
        <v>33</v>
      </c>
      <c r="B656" t="s">
        <v>2530</v>
      </c>
      <c r="C656" t="s">
        <v>21</v>
      </c>
      <c r="D656" t="s">
        <v>2530</v>
      </c>
      <c r="E656" t="s">
        <v>1315</v>
      </c>
      <c r="F656" t="s">
        <v>2531</v>
      </c>
      <c r="G656" t="s">
        <v>24</v>
      </c>
      <c r="H656" t="s">
        <v>2532</v>
      </c>
      <c r="I656" t="s">
        <v>46</v>
      </c>
      <c r="L656" t="s">
        <v>207</v>
      </c>
      <c r="Q656" t="s">
        <v>48</v>
      </c>
    </row>
    <row r="657" spans="1:17" hidden="1" x14ac:dyDescent="0.25">
      <c r="A657" t="s">
        <v>33</v>
      </c>
      <c r="B657" t="s">
        <v>2533</v>
      </c>
      <c r="C657" t="s">
        <v>21</v>
      </c>
      <c r="D657" t="s">
        <v>2533</v>
      </c>
      <c r="E657" t="s">
        <v>2534</v>
      </c>
      <c r="F657" t="s">
        <v>2130</v>
      </c>
      <c r="G657" t="s">
        <v>24</v>
      </c>
      <c r="H657" t="s">
        <v>2535</v>
      </c>
      <c r="I657" t="s">
        <v>46</v>
      </c>
      <c r="L657" t="s">
        <v>738</v>
      </c>
      <c r="Q657" t="s">
        <v>48</v>
      </c>
    </row>
    <row r="658" spans="1:17" hidden="1" x14ac:dyDescent="0.25">
      <c r="A658" t="s">
        <v>33</v>
      </c>
      <c r="B658" t="s">
        <v>2536</v>
      </c>
      <c r="C658" t="s">
        <v>21</v>
      </c>
      <c r="D658" t="s">
        <v>2536</v>
      </c>
      <c r="E658" t="s">
        <v>2537</v>
      </c>
      <c r="F658" t="s">
        <v>2538</v>
      </c>
      <c r="G658" t="s">
        <v>24</v>
      </c>
      <c r="H658" t="s">
        <v>2539</v>
      </c>
      <c r="L658" t="s">
        <v>620</v>
      </c>
    </row>
    <row r="659" spans="1:17" hidden="1" x14ac:dyDescent="0.25">
      <c r="A659" t="s">
        <v>33</v>
      </c>
      <c r="B659" t="s">
        <v>2540</v>
      </c>
      <c r="C659" t="s">
        <v>21</v>
      </c>
      <c r="D659" t="s">
        <v>2540</v>
      </c>
      <c r="E659" t="s">
        <v>303</v>
      </c>
      <c r="F659" t="s">
        <v>2541</v>
      </c>
      <c r="G659" t="s">
        <v>24</v>
      </c>
      <c r="H659" t="s">
        <v>2542</v>
      </c>
      <c r="I659" t="s">
        <v>46</v>
      </c>
      <c r="L659" t="s">
        <v>90</v>
      </c>
      <c r="Q659" t="s">
        <v>48</v>
      </c>
    </row>
    <row r="660" spans="1:17" hidden="1" x14ac:dyDescent="0.25">
      <c r="A660" t="s">
        <v>33</v>
      </c>
      <c r="B660" t="s">
        <v>2543</v>
      </c>
      <c r="C660" t="s">
        <v>21</v>
      </c>
      <c r="D660" t="s">
        <v>2543</v>
      </c>
      <c r="E660" t="s">
        <v>2544</v>
      </c>
      <c r="F660" t="s">
        <v>2545</v>
      </c>
      <c r="G660" t="s">
        <v>24</v>
      </c>
      <c r="H660" t="s">
        <v>2546</v>
      </c>
      <c r="I660" t="s">
        <v>46</v>
      </c>
      <c r="L660" t="s">
        <v>90</v>
      </c>
      <c r="Q660" t="s">
        <v>48</v>
      </c>
    </row>
    <row r="661" spans="1:17" hidden="1" x14ac:dyDescent="0.25">
      <c r="A661" t="s">
        <v>33</v>
      </c>
      <c r="B661" t="s">
        <v>2547</v>
      </c>
      <c r="C661" t="s">
        <v>21</v>
      </c>
      <c r="D661" t="s">
        <v>2548</v>
      </c>
      <c r="E661" t="s">
        <v>2549</v>
      </c>
      <c r="F661" t="s">
        <v>2550</v>
      </c>
      <c r="G661" t="s">
        <v>24</v>
      </c>
      <c r="H661" t="s">
        <v>2551</v>
      </c>
      <c r="L661" t="s">
        <v>185</v>
      </c>
    </row>
    <row r="662" spans="1:17" hidden="1" x14ac:dyDescent="0.25">
      <c r="A662" t="s">
        <v>33</v>
      </c>
      <c r="B662" t="s">
        <v>2552</v>
      </c>
      <c r="C662" t="s">
        <v>21</v>
      </c>
      <c r="D662" t="s">
        <v>2553</v>
      </c>
      <c r="E662" t="s">
        <v>2554</v>
      </c>
      <c r="F662" t="s">
        <v>2555</v>
      </c>
      <c r="G662" t="s">
        <v>24</v>
      </c>
      <c r="H662" t="s">
        <v>2556</v>
      </c>
      <c r="I662" t="s">
        <v>46</v>
      </c>
      <c r="L662" t="s">
        <v>2507</v>
      </c>
      <c r="Q662" t="s">
        <v>48</v>
      </c>
    </row>
    <row r="663" spans="1:17" hidden="1" x14ac:dyDescent="0.25">
      <c r="A663" t="s">
        <v>33</v>
      </c>
      <c r="B663" t="s">
        <v>2557</v>
      </c>
      <c r="C663" t="s">
        <v>21</v>
      </c>
      <c r="D663" t="s">
        <v>2557</v>
      </c>
      <c r="E663" t="s">
        <v>2558</v>
      </c>
      <c r="F663" t="s">
        <v>2559</v>
      </c>
      <c r="G663" t="s">
        <v>24</v>
      </c>
      <c r="H663" t="s">
        <v>2560</v>
      </c>
      <c r="I663" t="s">
        <v>46</v>
      </c>
      <c r="L663" t="s">
        <v>2014</v>
      </c>
      <c r="Q663" t="s">
        <v>48</v>
      </c>
    </row>
    <row r="664" spans="1:17" hidden="1" x14ac:dyDescent="0.25">
      <c r="A664" t="s">
        <v>33</v>
      </c>
      <c r="B664" t="s">
        <v>2561</v>
      </c>
      <c r="C664" t="s">
        <v>29</v>
      </c>
      <c r="D664" t="s">
        <v>2561</v>
      </c>
      <c r="E664" t="s">
        <v>2562</v>
      </c>
      <c r="F664" t="s">
        <v>2563</v>
      </c>
      <c r="G664" t="s">
        <v>24</v>
      </c>
      <c r="H664" t="s">
        <v>2564</v>
      </c>
      <c r="I664" t="s">
        <v>46</v>
      </c>
      <c r="L664" t="s">
        <v>861</v>
      </c>
      <c r="Q664" t="s">
        <v>48</v>
      </c>
    </row>
    <row r="665" spans="1:17" hidden="1" x14ac:dyDescent="0.25">
      <c r="A665" t="s">
        <v>33</v>
      </c>
      <c r="B665" t="s">
        <v>2565</v>
      </c>
      <c r="C665" t="s">
        <v>21</v>
      </c>
      <c r="D665" t="s">
        <v>2565</v>
      </c>
      <c r="E665" t="s">
        <v>2566</v>
      </c>
      <c r="F665" t="s">
        <v>2567</v>
      </c>
      <c r="G665" t="s">
        <v>24</v>
      </c>
      <c r="H665" t="s">
        <v>2568</v>
      </c>
      <c r="I665" t="s">
        <v>73</v>
      </c>
      <c r="L665" t="s">
        <v>148</v>
      </c>
      <c r="Q665" t="s">
        <v>75</v>
      </c>
    </row>
    <row r="666" spans="1:17" hidden="1" x14ac:dyDescent="0.25">
      <c r="A666" t="s">
        <v>33</v>
      </c>
      <c r="B666" t="s">
        <v>2569</v>
      </c>
      <c r="C666" t="s">
        <v>21</v>
      </c>
      <c r="D666" t="s">
        <v>2569</v>
      </c>
      <c r="E666" t="s">
        <v>2570</v>
      </c>
      <c r="F666" t="s">
        <v>2571</v>
      </c>
      <c r="G666" t="s">
        <v>24</v>
      </c>
      <c r="H666" t="s">
        <v>2572</v>
      </c>
      <c r="L666" t="s">
        <v>2329</v>
      </c>
    </row>
    <row r="667" spans="1:17" hidden="1" x14ac:dyDescent="0.25">
      <c r="A667" t="s">
        <v>33</v>
      </c>
      <c r="B667" t="s">
        <v>2573</v>
      </c>
      <c r="C667" t="s">
        <v>21</v>
      </c>
      <c r="D667" t="s">
        <v>2573</v>
      </c>
      <c r="E667" t="s">
        <v>610</v>
      </c>
      <c r="F667" t="s">
        <v>2574</v>
      </c>
      <c r="G667" t="s">
        <v>24</v>
      </c>
      <c r="H667" t="s">
        <v>2575</v>
      </c>
      <c r="I667" t="s">
        <v>46</v>
      </c>
      <c r="L667" t="s">
        <v>185</v>
      </c>
      <c r="Q667" t="s">
        <v>48</v>
      </c>
    </row>
    <row r="668" spans="1:17" hidden="1" x14ac:dyDescent="0.25">
      <c r="A668" t="s">
        <v>33</v>
      </c>
      <c r="B668" t="s">
        <v>2576</v>
      </c>
      <c r="C668" t="s">
        <v>21</v>
      </c>
      <c r="D668" t="s">
        <v>2576</v>
      </c>
      <c r="E668" t="s">
        <v>1758</v>
      </c>
      <c r="F668" t="s">
        <v>2577</v>
      </c>
      <c r="G668" t="s">
        <v>24</v>
      </c>
      <c r="H668" t="s">
        <v>2578</v>
      </c>
      <c r="I668" t="s">
        <v>46</v>
      </c>
      <c r="L668" t="s">
        <v>1042</v>
      </c>
      <c r="Q668" t="s">
        <v>48</v>
      </c>
    </row>
    <row r="669" spans="1:17" hidden="1" x14ac:dyDescent="0.25">
      <c r="A669" t="s">
        <v>33</v>
      </c>
      <c r="B669" t="s">
        <v>2579</v>
      </c>
      <c r="C669" t="s">
        <v>21</v>
      </c>
      <c r="D669" t="s">
        <v>2579</v>
      </c>
      <c r="E669" t="s">
        <v>1557</v>
      </c>
      <c r="F669" t="s">
        <v>2580</v>
      </c>
      <c r="G669" t="s">
        <v>24</v>
      </c>
      <c r="H669" t="s">
        <v>2581</v>
      </c>
      <c r="I669" t="s">
        <v>46</v>
      </c>
      <c r="L669" t="s">
        <v>317</v>
      </c>
      <c r="Q669" t="s">
        <v>48</v>
      </c>
    </row>
    <row r="670" spans="1:17" hidden="1" x14ac:dyDescent="0.25">
      <c r="A670" t="s">
        <v>33</v>
      </c>
      <c r="B670" t="s">
        <v>2582</v>
      </c>
      <c r="C670" t="s">
        <v>21</v>
      </c>
      <c r="D670" t="s">
        <v>2582</v>
      </c>
      <c r="E670" t="s">
        <v>2583</v>
      </c>
      <c r="F670" t="s">
        <v>2584</v>
      </c>
      <c r="G670" t="s">
        <v>24</v>
      </c>
      <c r="H670" s="1" t="s">
        <v>2585</v>
      </c>
      <c r="I670" t="s">
        <v>46</v>
      </c>
      <c r="L670" t="s">
        <v>1013</v>
      </c>
      <c r="Q670" t="s">
        <v>48</v>
      </c>
    </row>
    <row r="671" spans="1:17" hidden="1" x14ac:dyDescent="0.25">
      <c r="A671" t="s">
        <v>33</v>
      </c>
      <c r="B671" t="s">
        <v>2586</v>
      </c>
      <c r="C671" t="s">
        <v>21</v>
      </c>
      <c r="D671" t="s">
        <v>2586</v>
      </c>
      <c r="E671" t="s">
        <v>1724</v>
      </c>
      <c r="F671" t="s">
        <v>2587</v>
      </c>
      <c r="G671" t="s">
        <v>24</v>
      </c>
      <c r="H671" t="s">
        <v>2588</v>
      </c>
      <c r="I671" t="s">
        <v>46</v>
      </c>
      <c r="L671" t="s">
        <v>63</v>
      </c>
      <c r="Q671" t="s">
        <v>48</v>
      </c>
    </row>
    <row r="672" spans="1:17" hidden="1" x14ac:dyDescent="0.25">
      <c r="A672" t="s">
        <v>33</v>
      </c>
      <c r="B672" t="s">
        <v>2589</v>
      </c>
      <c r="C672" t="s">
        <v>21</v>
      </c>
      <c r="D672" t="s">
        <v>2589</v>
      </c>
      <c r="E672" t="s">
        <v>2363</v>
      </c>
      <c r="F672" t="s">
        <v>2590</v>
      </c>
      <c r="G672" t="s">
        <v>24</v>
      </c>
      <c r="H672" t="s">
        <v>2591</v>
      </c>
      <c r="I672" t="s">
        <v>46</v>
      </c>
      <c r="L672" t="s">
        <v>2592</v>
      </c>
      <c r="Q672" t="s">
        <v>48</v>
      </c>
    </row>
    <row r="673" spans="1:17" hidden="1" x14ac:dyDescent="0.25">
      <c r="A673" t="s">
        <v>33</v>
      </c>
      <c r="B673" t="s">
        <v>2593</v>
      </c>
      <c r="C673" t="s">
        <v>21</v>
      </c>
      <c r="D673" t="s">
        <v>2593</v>
      </c>
      <c r="E673" t="s">
        <v>2594</v>
      </c>
      <c r="F673" t="s">
        <v>2595</v>
      </c>
      <c r="G673" t="s">
        <v>24</v>
      </c>
      <c r="H673" t="s">
        <v>2596</v>
      </c>
      <c r="L673" t="s">
        <v>620</v>
      </c>
    </row>
    <row r="674" spans="1:17" hidden="1" x14ac:dyDescent="0.25">
      <c r="A674" t="s">
        <v>33</v>
      </c>
      <c r="B674" t="s">
        <v>2597</v>
      </c>
      <c r="C674" t="s">
        <v>29</v>
      </c>
      <c r="D674" t="s">
        <v>2597</v>
      </c>
      <c r="E674" t="s">
        <v>131</v>
      </c>
      <c r="F674" t="s">
        <v>2598</v>
      </c>
      <c r="G674" t="s">
        <v>24</v>
      </c>
      <c r="H674" t="s">
        <v>2599</v>
      </c>
      <c r="I674" t="s">
        <v>73</v>
      </c>
      <c r="L674" t="s">
        <v>190</v>
      </c>
      <c r="Q674" t="s">
        <v>75</v>
      </c>
    </row>
    <row r="675" spans="1:17" hidden="1" x14ac:dyDescent="0.25">
      <c r="A675" t="s">
        <v>33</v>
      </c>
      <c r="B675" t="s">
        <v>2600</v>
      </c>
      <c r="C675" t="s">
        <v>29</v>
      </c>
      <c r="D675" t="s">
        <v>2600</v>
      </c>
      <c r="E675" t="s">
        <v>2601</v>
      </c>
      <c r="F675" t="s">
        <v>2602</v>
      </c>
      <c r="G675" t="s">
        <v>24</v>
      </c>
      <c r="H675" t="s">
        <v>2603</v>
      </c>
      <c r="I675" t="s">
        <v>46</v>
      </c>
      <c r="L675" t="s">
        <v>190</v>
      </c>
      <c r="Q675" t="s">
        <v>48</v>
      </c>
    </row>
    <row r="676" spans="1:17" hidden="1" x14ac:dyDescent="0.25">
      <c r="A676" t="s">
        <v>33</v>
      </c>
      <c r="B676" t="s">
        <v>2604</v>
      </c>
      <c r="C676" t="s">
        <v>29</v>
      </c>
      <c r="D676" t="s">
        <v>2604</v>
      </c>
      <c r="E676" t="s">
        <v>338</v>
      </c>
      <c r="F676" t="s">
        <v>2605</v>
      </c>
      <c r="G676" t="s">
        <v>24</v>
      </c>
      <c r="H676" t="s">
        <v>2606</v>
      </c>
      <c r="I676" t="s">
        <v>46</v>
      </c>
      <c r="L676" t="s">
        <v>246</v>
      </c>
      <c r="Q676" t="s">
        <v>48</v>
      </c>
    </row>
    <row r="677" spans="1:17" hidden="1" x14ac:dyDescent="0.25">
      <c r="A677" t="s">
        <v>33</v>
      </c>
      <c r="B677" t="s">
        <v>2607</v>
      </c>
      <c r="C677" t="s">
        <v>21</v>
      </c>
      <c r="D677" t="s">
        <v>2607</v>
      </c>
      <c r="E677" t="s">
        <v>2608</v>
      </c>
      <c r="F677" t="s">
        <v>2609</v>
      </c>
      <c r="G677" t="s">
        <v>24</v>
      </c>
      <c r="H677" t="s">
        <v>2610</v>
      </c>
      <c r="I677" t="s">
        <v>46</v>
      </c>
      <c r="L677" t="s">
        <v>389</v>
      </c>
      <c r="Q677" t="s">
        <v>48</v>
      </c>
    </row>
    <row r="678" spans="1:17" hidden="1" x14ac:dyDescent="0.25">
      <c r="A678" t="s">
        <v>33</v>
      </c>
      <c r="B678" t="s">
        <v>2611</v>
      </c>
      <c r="C678" t="s">
        <v>29</v>
      </c>
      <c r="D678" t="s">
        <v>2611</v>
      </c>
      <c r="E678" t="s">
        <v>2612</v>
      </c>
      <c r="F678" t="s">
        <v>2613</v>
      </c>
      <c r="G678" t="s">
        <v>24</v>
      </c>
      <c r="H678" t="s">
        <v>2614</v>
      </c>
      <c r="I678" t="s">
        <v>46</v>
      </c>
      <c r="L678" t="s">
        <v>511</v>
      </c>
      <c r="Q678" t="s">
        <v>48</v>
      </c>
    </row>
    <row r="679" spans="1:17" hidden="1" x14ac:dyDescent="0.25">
      <c r="A679" t="s">
        <v>33</v>
      </c>
      <c r="B679" t="s">
        <v>2615</v>
      </c>
      <c r="C679" t="s">
        <v>21</v>
      </c>
      <c r="D679" t="s">
        <v>2615</v>
      </c>
      <c r="E679" t="s">
        <v>2616</v>
      </c>
      <c r="F679" t="s">
        <v>2617</v>
      </c>
      <c r="G679" t="s">
        <v>24</v>
      </c>
      <c r="H679" t="s">
        <v>2618</v>
      </c>
      <c r="L679" t="s">
        <v>914</v>
      </c>
    </row>
    <row r="680" spans="1:17" hidden="1" x14ac:dyDescent="0.25">
      <c r="A680" t="s">
        <v>33</v>
      </c>
      <c r="B680" t="s">
        <v>2619</v>
      </c>
      <c r="C680" t="s">
        <v>21</v>
      </c>
      <c r="D680" t="s">
        <v>2620</v>
      </c>
      <c r="E680" t="s">
        <v>2621</v>
      </c>
      <c r="F680" t="s">
        <v>2622</v>
      </c>
      <c r="G680" t="s">
        <v>24</v>
      </c>
      <c r="H680" t="s">
        <v>2623</v>
      </c>
      <c r="L680" t="s">
        <v>1042</v>
      </c>
    </row>
    <row r="681" spans="1:17" hidden="1" x14ac:dyDescent="0.25">
      <c r="A681" t="s">
        <v>33</v>
      </c>
      <c r="B681" t="s">
        <v>2624</v>
      </c>
      <c r="C681" t="s">
        <v>29</v>
      </c>
      <c r="D681" t="s">
        <v>2624</v>
      </c>
      <c r="E681" t="s">
        <v>686</v>
      </c>
      <c r="F681" t="s">
        <v>1228</v>
      </c>
      <c r="G681" t="s">
        <v>24</v>
      </c>
      <c r="H681" t="s">
        <v>2625</v>
      </c>
      <c r="I681" t="s">
        <v>46</v>
      </c>
      <c r="L681" t="s">
        <v>246</v>
      </c>
      <c r="Q681" t="s">
        <v>48</v>
      </c>
    </row>
    <row r="682" spans="1:17" hidden="1" x14ac:dyDescent="0.25">
      <c r="A682" t="s">
        <v>33</v>
      </c>
      <c r="B682" t="s">
        <v>2626</v>
      </c>
      <c r="C682" t="s">
        <v>21</v>
      </c>
      <c r="D682" t="s">
        <v>2626</v>
      </c>
      <c r="E682" t="s">
        <v>2627</v>
      </c>
      <c r="F682" t="s">
        <v>1604</v>
      </c>
      <c r="G682" t="s">
        <v>24</v>
      </c>
      <c r="H682" t="s">
        <v>2628</v>
      </c>
      <c r="L682" t="s">
        <v>287</v>
      </c>
    </row>
    <row r="683" spans="1:17" hidden="1" x14ac:dyDescent="0.25">
      <c r="A683" t="s">
        <v>33</v>
      </c>
      <c r="B683" t="s">
        <v>2629</v>
      </c>
      <c r="C683" t="s">
        <v>29</v>
      </c>
      <c r="D683" t="s">
        <v>2629</v>
      </c>
      <c r="E683" t="s">
        <v>70</v>
      </c>
      <c r="F683" t="s">
        <v>2630</v>
      </c>
      <c r="G683" t="s">
        <v>24</v>
      </c>
      <c r="H683" t="s">
        <v>2631</v>
      </c>
      <c r="L683" t="s">
        <v>190</v>
      </c>
    </row>
    <row r="684" spans="1:17" hidden="1" x14ac:dyDescent="0.25">
      <c r="A684" t="s">
        <v>33</v>
      </c>
      <c r="B684" t="s">
        <v>2632</v>
      </c>
      <c r="C684" t="s">
        <v>21</v>
      </c>
      <c r="D684" t="s">
        <v>2632</v>
      </c>
      <c r="E684" t="s">
        <v>2151</v>
      </c>
      <c r="F684" t="s">
        <v>2633</v>
      </c>
      <c r="G684" t="s">
        <v>24</v>
      </c>
      <c r="H684" t="s">
        <v>2634</v>
      </c>
      <c r="I684" t="s">
        <v>46</v>
      </c>
      <c r="L684" t="s">
        <v>819</v>
      </c>
      <c r="Q684" t="s">
        <v>48</v>
      </c>
    </row>
    <row r="685" spans="1:17" hidden="1" x14ac:dyDescent="0.25">
      <c r="A685" t="s">
        <v>33</v>
      </c>
      <c r="B685" t="s">
        <v>2635</v>
      </c>
      <c r="C685" t="s">
        <v>21</v>
      </c>
      <c r="D685" t="s">
        <v>2635</v>
      </c>
      <c r="E685" t="s">
        <v>2636</v>
      </c>
      <c r="F685" t="s">
        <v>2637</v>
      </c>
      <c r="G685" t="s">
        <v>24</v>
      </c>
      <c r="H685" t="s">
        <v>2638</v>
      </c>
      <c r="I685" t="s">
        <v>46</v>
      </c>
      <c r="L685" t="s">
        <v>185</v>
      </c>
      <c r="Q685" t="s">
        <v>48</v>
      </c>
    </row>
    <row r="686" spans="1:17" hidden="1" x14ac:dyDescent="0.25">
      <c r="A686" t="s">
        <v>33</v>
      </c>
      <c r="B686" t="s">
        <v>2639</v>
      </c>
      <c r="C686" t="s">
        <v>29</v>
      </c>
      <c r="D686" t="s">
        <v>2639</v>
      </c>
      <c r="E686" t="s">
        <v>2277</v>
      </c>
      <c r="F686" t="s">
        <v>2527</v>
      </c>
      <c r="G686" t="s">
        <v>24</v>
      </c>
      <c r="H686" s="1" t="s">
        <v>2640</v>
      </c>
    </row>
    <row r="687" spans="1:17" hidden="1" x14ac:dyDescent="0.25">
      <c r="A687" t="s">
        <v>33</v>
      </c>
      <c r="B687" t="s">
        <v>2641</v>
      </c>
      <c r="C687" t="s">
        <v>21</v>
      </c>
      <c r="D687" t="s">
        <v>2641</v>
      </c>
      <c r="E687" t="s">
        <v>2527</v>
      </c>
      <c r="F687" t="s">
        <v>2642</v>
      </c>
      <c r="G687" t="s">
        <v>24</v>
      </c>
      <c r="H687" t="s">
        <v>2643</v>
      </c>
      <c r="I687" t="s">
        <v>46</v>
      </c>
      <c r="L687" t="s">
        <v>819</v>
      </c>
      <c r="Q687" t="s">
        <v>48</v>
      </c>
    </row>
    <row r="688" spans="1:17" hidden="1" x14ac:dyDescent="0.25">
      <c r="A688" t="s">
        <v>33</v>
      </c>
      <c r="B688" t="s">
        <v>2644</v>
      </c>
      <c r="C688" t="s">
        <v>21</v>
      </c>
      <c r="D688" t="s">
        <v>2644</v>
      </c>
      <c r="E688" t="s">
        <v>1146</v>
      </c>
      <c r="F688" t="s">
        <v>2645</v>
      </c>
      <c r="G688" t="s">
        <v>24</v>
      </c>
      <c r="H688" t="s">
        <v>2646</v>
      </c>
      <c r="L688" t="s">
        <v>819</v>
      </c>
    </row>
    <row r="689" spans="1:17" hidden="1" x14ac:dyDescent="0.25">
      <c r="A689" t="s">
        <v>33</v>
      </c>
      <c r="B689" t="s">
        <v>2647</v>
      </c>
      <c r="C689" t="s">
        <v>21</v>
      </c>
      <c r="D689" t="s">
        <v>2647</v>
      </c>
      <c r="E689" t="s">
        <v>2527</v>
      </c>
      <c r="F689" t="s">
        <v>2648</v>
      </c>
      <c r="G689" t="s">
        <v>24</v>
      </c>
      <c r="H689" t="s">
        <v>2649</v>
      </c>
      <c r="I689" t="s">
        <v>73</v>
      </c>
      <c r="L689" t="s">
        <v>819</v>
      </c>
      <c r="Q689" t="s">
        <v>75</v>
      </c>
    </row>
    <row r="690" spans="1:17" hidden="1" x14ac:dyDescent="0.25">
      <c r="A690" t="s">
        <v>33</v>
      </c>
      <c r="B690" t="s">
        <v>2650</v>
      </c>
      <c r="C690" t="s">
        <v>21</v>
      </c>
      <c r="D690" t="s">
        <v>2650</v>
      </c>
      <c r="E690" t="s">
        <v>2612</v>
      </c>
      <c r="F690" t="s">
        <v>295</v>
      </c>
      <c r="G690" t="s">
        <v>24</v>
      </c>
      <c r="H690" t="s">
        <v>2651</v>
      </c>
      <c r="I690" t="s">
        <v>73</v>
      </c>
      <c r="L690" t="s">
        <v>819</v>
      </c>
      <c r="Q690" t="s">
        <v>75</v>
      </c>
    </row>
    <row r="691" spans="1:17" hidden="1" x14ac:dyDescent="0.25">
      <c r="A691" t="s">
        <v>33</v>
      </c>
      <c r="B691" t="s">
        <v>2652</v>
      </c>
      <c r="C691" t="s">
        <v>21</v>
      </c>
      <c r="D691" t="s">
        <v>2652</v>
      </c>
      <c r="E691" t="s">
        <v>2653</v>
      </c>
      <c r="F691" t="s">
        <v>2654</v>
      </c>
      <c r="G691" t="s">
        <v>24</v>
      </c>
      <c r="H691" t="s">
        <v>2655</v>
      </c>
      <c r="I691" t="s">
        <v>46</v>
      </c>
      <c r="L691" t="s">
        <v>309</v>
      </c>
      <c r="Q691" t="s">
        <v>48</v>
      </c>
    </row>
    <row r="692" spans="1:17" hidden="1" x14ac:dyDescent="0.25">
      <c r="A692" t="s">
        <v>33</v>
      </c>
      <c r="B692" t="s">
        <v>2656</v>
      </c>
      <c r="C692" t="s">
        <v>29</v>
      </c>
      <c r="D692" t="s">
        <v>2656</v>
      </c>
      <c r="E692" t="s">
        <v>380</v>
      </c>
      <c r="F692" t="s">
        <v>2657</v>
      </c>
      <c r="G692" t="s">
        <v>24</v>
      </c>
      <c r="H692" t="s">
        <v>2658</v>
      </c>
      <c r="L692" t="s">
        <v>517</v>
      </c>
    </row>
    <row r="693" spans="1:17" hidden="1" x14ac:dyDescent="0.25">
      <c r="A693" t="s">
        <v>33</v>
      </c>
      <c r="B693" t="s">
        <v>2659</v>
      </c>
      <c r="C693" t="s">
        <v>21</v>
      </c>
      <c r="D693" t="s">
        <v>2659</v>
      </c>
      <c r="E693" t="s">
        <v>1858</v>
      </c>
      <c r="F693" t="s">
        <v>2660</v>
      </c>
      <c r="G693" t="s">
        <v>24</v>
      </c>
      <c r="H693" s="1" t="s">
        <v>2661</v>
      </c>
      <c r="I693" t="s">
        <v>46</v>
      </c>
      <c r="L693" t="s">
        <v>2662</v>
      </c>
      <c r="Q693" t="s">
        <v>48</v>
      </c>
    </row>
    <row r="694" spans="1:17" hidden="1" x14ac:dyDescent="0.25">
      <c r="A694" t="s">
        <v>33</v>
      </c>
      <c r="B694" t="s">
        <v>2663</v>
      </c>
      <c r="C694" t="s">
        <v>21</v>
      </c>
      <c r="D694" t="s">
        <v>2663</v>
      </c>
      <c r="E694" t="s">
        <v>2664</v>
      </c>
      <c r="F694" t="s">
        <v>2665</v>
      </c>
      <c r="G694" t="s">
        <v>24</v>
      </c>
      <c r="H694" t="s">
        <v>2666</v>
      </c>
      <c r="I694" t="s">
        <v>46</v>
      </c>
      <c r="L694" t="s">
        <v>185</v>
      </c>
      <c r="Q694" t="s">
        <v>48</v>
      </c>
    </row>
    <row r="695" spans="1:17" hidden="1" x14ac:dyDescent="0.25">
      <c r="A695" t="s">
        <v>33</v>
      </c>
      <c r="B695" t="s">
        <v>2667</v>
      </c>
      <c r="C695" t="s">
        <v>21</v>
      </c>
      <c r="D695" t="s">
        <v>2667</v>
      </c>
      <c r="E695" t="s">
        <v>2668</v>
      </c>
      <c r="F695" t="s">
        <v>2669</v>
      </c>
      <c r="G695" t="s">
        <v>24</v>
      </c>
      <c r="H695" t="s">
        <v>2670</v>
      </c>
      <c r="I695" t="s">
        <v>46</v>
      </c>
      <c r="L695" t="s">
        <v>914</v>
      </c>
      <c r="Q695" t="s">
        <v>48</v>
      </c>
    </row>
    <row r="696" spans="1:17" hidden="1" x14ac:dyDescent="0.25">
      <c r="A696" t="s">
        <v>33</v>
      </c>
      <c r="B696" t="s">
        <v>2671</v>
      </c>
      <c r="C696" t="s">
        <v>21</v>
      </c>
      <c r="D696" t="s">
        <v>2671</v>
      </c>
      <c r="E696" t="s">
        <v>2672</v>
      </c>
      <c r="F696" t="s">
        <v>2673</v>
      </c>
      <c r="G696" t="s">
        <v>24</v>
      </c>
      <c r="H696" s="1" t="s">
        <v>2674</v>
      </c>
      <c r="J696" t="s">
        <v>26</v>
      </c>
      <c r="L696" t="s">
        <v>327</v>
      </c>
    </row>
    <row r="697" spans="1:17" hidden="1" x14ac:dyDescent="0.25">
      <c r="A697" t="s">
        <v>33</v>
      </c>
      <c r="B697" t="s">
        <v>2675</v>
      </c>
      <c r="C697" t="s">
        <v>21</v>
      </c>
      <c r="D697" t="s">
        <v>2675</v>
      </c>
      <c r="E697" t="s">
        <v>424</v>
      </c>
      <c r="F697" t="s">
        <v>2676</v>
      </c>
      <c r="G697" t="s">
        <v>24</v>
      </c>
      <c r="H697" t="s">
        <v>2677</v>
      </c>
      <c r="L697" t="s">
        <v>327</v>
      </c>
    </row>
    <row r="698" spans="1:17" hidden="1" x14ac:dyDescent="0.25">
      <c r="A698" t="s">
        <v>33</v>
      </c>
      <c r="B698" t="s">
        <v>2678</v>
      </c>
      <c r="C698" t="s">
        <v>21</v>
      </c>
      <c r="D698" t="s">
        <v>2678</v>
      </c>
      <c r="E698" t="s">
        <v>2679</v>
      </c>
      <c r="F698" t="s">
        <v>145</v>
      </c>
      <c r="G698" t="s">
        <v>24</v>
      </c>
      <c r="H698" t="s">
        <v>2680</v>
      </c>
      <c r="L698" t="s">
        <v>309</v>
      </c>
    </row>
    <row r="699" spans="1:17" hidden="1" x14ac:dyDescent="0.25">
      <c r="A699" t="s">
        <v>33</v>
      </c>
      <c r="B699" t="s">
        <v>2681</v>
      </c>
      <c r="C699" t="s">
        <v>21</v>
      </c>
      <c r="D699" t="s">
        <v>2681</v>
      </c>
      <c r="E699" t="s">
        <v>2363</v>
      </c>
      <c r="F699" t="s">
        <v>2682</v>
      </c>
      <c r="G699" t="s">
        <v>24</v>
      </c>
      <c r="H699" t="s">
        <v>2683</v>
      </c>
      <c r="I699" t="s">
        <v>46</v>
      </c>
      <c r="L699" t="s">
        <v>309</v>
      </c>
      <c r="Q699" t="s">
        <v>48</v>
      </c>
    </row>
    <row r="700" spans="1:17" hidden="1" x14ac:dyDescent="0.25">
      <c r="A700" t="s">
        <v>33</v>
      </c>
      <c r="B700" t="s">
        <v>2684</v>
      </c>
      <c r="C700" t="s">
        <v>21</v>
      </c>
      <c r="D700" t="s">
        <v>2684</v>
      </c>
      <c r="E700" t="s">
        <v>2685</v>
      </c>
      <c r="F700" t="s">
        <v>2686</v>
      </c>
      <c r="G700" t="s">
        <v>24</v>
      </c>
      <c r="H700" t="s">
        <v>2687</v>
      </c>
      <c r="I700" t="s">
        <v>46</v>
      </c>
      <c r="L700" t="s">
        <v>38</v>
      </c>
      <c r="Q700" t="s">
        <v>48</v>
      </c>
    </row>
    <row r="701" spans="1:17" hidden="1" x14ac:dyDescent="0.25">
      <c r="A701" t="s">
        <v>33</v>
      </c>
      <c r="B701" t="s">
        <v>2688</v>
      </c>
      <c r="C701" t="s">
        <v>21</v>
      </c>
      <c r="D701" t="s">
        <v>2688</v>
      </c>
      <c r="E701" t="s">
        <v>2689</v>
      </c>
      <c r="F701" t="s">
        <v>2690</v>
      </c>
      <c r="G701" t="s">
        <v>24</v>
      </c>
      <c r="H701" t="s">
        <v>2691</v>
      </c>
      <c r="L701" t="s">
        <v>1061</v>
      </c>
    </row>
    <row r="702" spans="1:17" hidden="1" x14ac:dyDescent="0.25">
      <c r="A702" t="s">
        <v>33</v>
      </c>
      <c r="B702" t="s">
        <v>2692</v>
      </c>
      <c r="C702" t="s">
        <v>21</v>
      </c>
      <c r="D702" t="s">
        <v>2692</v>
      </c>
      <c r="E702" t="s">
        <v>126</v>
      </c>
      <c r="F702" t="s">
        <v>2693</v>
      </c>
      <c r="G702" t="s">
        <v>24</v>
      </c>
      <c r="H702" t="s">
        <v>2694</v>
      </c>
      <c r="I702" t="s">
        <v>46</v>
      </c>
      <c r="L702" t="s">
        <v>1061</v>
      </c>
      <c r="Q702" t="s">
        <v>48</v>
      </c>
    </row>
    <row r="703" spans="1:17" hidden="1" x14ac:dyDescent="0.25">
      <c r="A703" t="s">
        <v>33</v>
      </c>
      <c r="B703" t="s">
        <v>2695</v>
      </c>
      <c r="C703" t="s">
        <v>21</v>
      </c>
      <c r="D703" t="s">
        <v>2695</v>
      </c>
      <c r="E703" t="s">
        <v>1443</v>
      </c>
      <c r="F703" t="s">
        <v>159</v>
      </c>
      <c r="G703" t="s">
        <v>24</v>
      </c>
      <c r="H703" s="1" t="s">
        <v>2696</v>
      </c>
      <c r="I703" t="s">
        <v>46</v>
      </c>
      <c r="L703" t="s">
        <v>38</v>
      </c>
      <c r="Q703" t="s">
        <v>48</v>
      </c>
    </row>
    <row r="704" spans="1:17" hidden="1" x14ac:dyDescent="0.25">
      <c r="A704" t="s">
        <v>33</v>
      </c>
      <c r="B704" t="s">
        <v>2697</v>
      </c>
      <c r="C704" t="s">
        <v>21</v>
      </c>
      <c r="D704" t="s">
        <v>2697</v>
      </c>
      <c r="E704" t="s">
        <v>1315</v>
      </c>
      <c r="F704" t="s">
        <v>2698</v>
      </c>
      <c r="G704" t="s">
        <v>24</v>
      </c>
      <c r="H704" t="s">
        <v>2699</v>
      </c>
      <c r="L704" t="s">
        <v>2700</v>
      </c>
    </row>
    <row r="705" spans="1:17" x14ac:dyDescent="0.25">
      <c r="A705" t="s">
        <v>33</v>
      </c>
      <c r="B705" t="s">
        <v>2701</v>
      </c>
      <c r="C705" t="s">
        <v>21</v>
      </c>
      <c r="D705" t="s">
        <v>2701</v>
      </c>
      <c r="E705" t="s">
        <v>2702</v>
      </c>
      <c r="F705" t="s">
        <v>2703</v>
      </c>
      <c r="G705" t="s">
        <v>24</v>
      </c>
      <c r="H705" s="1" t="s">
        <v>2704</v>
      </c>
      <c r="I705" t="s">
        <v>2705</v>
      </c>
      <c r="L705" t="s">
        <v>535</v>
      </c>
      <c r="Q705" t="s">
        <v>2706</v>
      </c>
    </row>
    <row r="706" spans="1:17" hidden="1" x14ac:dyDescent="0.25">
      <c r="A706" t="s">
        <v>33</v>
      </c>
      <c r="B706" t="s">
        <v>2707</v>
      </c>
      <c r="C706" t="s">
        <v>29</v>
      </c>
      <c r="D706" t="s">
        <v>2707</v>
      </c>
      <c r="E706" t="s">
        <v>2708</v>
      </c>
      <c r="F706" t="s">
        <v>2709</v>
      </c>
      <c r="G706" t="s">
        <v>24</v>
      </c>
      <c r="H706" t="s">
        <v>2710</v>
      </c>
      <c r="I706" t="s">
        <v>46</v>
      </c>
      <c r="L706" t="s">
        <v>246</v>
      </c>
      <c r="Q706" t="s">
        <v>48</v>
      </c>
    </row>
    <row r="707" spans="1:17" hidden="1" x14ac:dyDescent="0.25">
      <c r="A707" t="s">
        <v>33</v>
      </c>
      <c r="B707" t="s">
        <v>2711</v>
      </c>
      <c r="C707" t="s">
        <v>21</v>
      </c>
      <c r="D707" t="s">
        <v>2711</v>
      </c>
      <c r="E707" t="s">
        <v>1745</v>
      </c>
      <c r="F707" t="s">
        <v>2712</v>
      </c>
      <c r="G707" t="s">
        <v>24</v>
      </c>
      <c r="H707" t="s">
        <v>2713</v>
      </c>
      <c r="I707" t="s">
        <v>46</v>
      </c>
      <c r="L707" t="s">
        <v>620</v>
      </c>
      <c r="Q707" t="s">
        <v>48</v>
      </c>
    </row>
    <row r="708" spans="1:17" hidden="1" x14ac:dyDescent="0.25">
      <c r="A708" t="s">
        <v>33</v>
      </c>
      <c r="B708" t="s">
        <v>2714</v>
      </c>
      <c r="C708" t="s">
        <v>21</v>
      </c>
      <c r="D708" t="s">
        <v>2714</v>
      </c>
      <c r="E708" t="s">
        <v>363</v>
      </c>
      <c r="F708" t="s">
        <v>2712</v>
      </c>
      <c r="G708" t="s">
        <v>24</v>
      </c>
      <c r="H708" t="s">
        <v>2715</v>
      </c>
      <c r="I708" t="s">
        <v>46</v>
      </c>
      <c r="L708" t="s">
        <v>38</v>
      </c>
      <c r="Q708" t="s">
        <v>48</v>
      </c>
    </row>
    <row r="709" spans="1:17" hidden="1" x14ac:dyDescent="0.25">
      <c r="A709" t="s">
        <v>33</v>
      </c>
      <c r="B709" t="s">
        <v>2716</v>
      </c>
      <c r="C709" t="s">
        <v>21</v>
      </c>
      <c r="D709" t="s">
        <v>2716</v>
      </c>
      <c r="E709" t="s">
        <v>424</v>
      </c>
      <c r="F709" t="s">
        <v>2717</v>
      </c>
      <c r="G709" t="s">
        <v>24</v>
      </c>
      <c r="H709" t="s">
        <v>2718</v>
      </c>
      <c r="I709" t="s">
        <v>73</v>
      </c>
      <c r="L709" t="s">
        <v>535</v>
      </c>
      <c r="Q709" t="s">
        <v>75</v>
      </c>
    </row>
    <row r="710" spans="1:17" hidden="1" x14ac:dyDescent="0.25">
      <c r="A710" t="s">
        <v>33</v>
      </c>
      <c r="B710" t="s">
        <v>2719</v>
      </c>
      <c r="C710" t="s">
        <v>92</v>
      </c>
      <c r="D710" t="s">
        <v>2720</v>
      </c>
      <c r="E710" t="s">
        <v>2721</v>
      </c>
      <c r="F710" t="s">
        <v>650</v>
      </c>
      <c r="G710" t="s">
        <v>24</v>
      </c>
      <c r="H710" s="1" t="s">
        <v>2722</v>
      </c>
      <c r="L710" t="s">
        <v>2723</v>
      </c>
    </row>
    <row r="711" spans="1:17" hidden="1" x14ac:dyDescent="0.25">
      <c r="A711" t="s">
        <v>33</v>
      </c>
      <c r="B711" t="s">
        <v>2724</v>
      </c>
      <c r="C711" t="s">
        <v>21</v>
      </c>
      <c r="D711" t="s">
        <v>2724</v>
      </c>
      <c r="E711" t="s">
        <v>2104</v>
      </c>
      <c r="F711" t="s">
        <v>2725</v>
      </c>
      <c r="G711" t="s">
        <v>24</v>
      </c>
      <c r="H711" t="s">
        <v>2726</v>
      </c>
      <c r="I711" t="s">
        <v>46</v>
      </c>
      <c r="L711" t="s">
        <v>1042</v>
      </c>
      <c r="Q711" t="s">
        <v>48</v>
      </c>
    </row>
    <row r="712" spans="1:17" hidden="1" x14ac:dyDescent="0.25">
      <c r="A712" t="s">
        <v>33</v>
      </c>
      <c r="B712" t="s">
        <v>2727</v>
      </c>
      <c r="C712" t="s">
        <v>21</v>
      </c>
      <c r="D712" t="s">
        <v>2727</v>
      </c>
      <c r="E712" t="s">
        <v>100</v>
      </c>
      <c r="F712" t="s">
        <v>1228</v>
      </c>
      <c r="G712" t="s">
        <v>24</v>
      </c>
      <c r="H712" t="s">
        <v>2728</v>
      </c>
      <c r="I712" t="s">
        <v>46</v>
      </c>
      <c r="L712" t="s">
        <v>207</v>
      </c>
      <c r="Q712" t="s">
        <v>48</v>
      </c>
    </row>
    <row r="713" spans="1:17" hidden="1" x14ac:dyDescent="0.25">
      <c r="A713" t="s">
        <v>33</v>
      </c>
      <c r="B713" t="s">
        <v>2729</v>
      </c>
      <c r="C713" t="s">
        <v>21</v>
      </c>
      <c r="D713" t="s">
        <v>2730</v>
      </c>
      <c r="E713" t="s">
        <v>2731</v>
      </c>
      <c r="F713" t="s">
        <v>2732</v>
      </c>
      <c r="G713" t="s">
        <v>24</v>
      </c>
      <c r="H713" t="s">
        <v>2733</v>
      </c>
      <c r="L713" t="s">
        <v>38</v>
      </c>
    </row>
    <row r="714" spans="1:17" hidden="1" x14ac:dyDescent="0.25">
      <c r="A714" t="s">
        <v>33</v>
      </c>
      <c r="B714" t="s">
        <v>2734</v>
      </c>
      <c r="C714" t="s">
        <v>21</v>
      </c>
      <c r="D714" t="s">
        <v>2734</v>
      </c>
      <c r="E714" t="s">
        <v>2735</v>
      </c>
      <c r="F714" t="s">
        <v>2736</v>
      </c>
      <c r="G714" t="s">
        <v>24</v>
      </c>
      <c r="H714" t="s">
        <v>2737</v>
      </c>
      <c r="L714" t="s">
        <v>697</v>
      </c>
    </row>
    <row r="715" spans="1:17" hidden="1" x14ac:dyDescent="0.25">
      <c r="A715" t="s">
        <v>33</v>
      </c>
      <c r="B715" t="s">
        <v>2738</v>
      </c>
      <c r="C715" t="s">
        <v>21</v>
      </c>
      <c r="D715" t="s">
        <v>2739</v>
      </c>
      <c r="E715" t="s">
        <v>2740</v>
      </c>
      <c r="F715" t="s">
        <v>2741</v>
      </c>
      <c r="G715" t="s">
        <v>24</v>
      </c>
      <c r="H715" t="s">
        <v>2742</v>
      </c>
      <c r="I715" t="s">
        <v>73</v>
      </c>
      <c r="L715" t="s">
        <v>327</v>
      </c>
      <c r="Q715" t="s">
        <v>75</v>
      </c>
    </row>
    <row r="716" spans="1:17" hidden="1" x14ac:dyDescent="0.25">
      <c r="A716" t="s">
        <v>33</v>
      </c>
      <c r="B716" t="s">
        <v>2743</v>
      </c>
      <c r="C716" t="s">
        <v>21</v>
      </c>
      <c r="D716" t="s">
        <v>2743</v>
      </c>
      <c r="E716" t="s">
        <v>2744</v>
      </c>
      <c r="F716" t="s">
        <v>2745</v>
      </c>
      <c r="G716" t="s">
        <v>24</v>
      </c>
      <c r="H716" t="s">
        <v>2746</v>
      </c>
      <c r="I716" t="s">
        <v>46</v>
      </c>
      <c r="L716" t="s">
        <v>507</v>
      </c>
      <c r="Q716" t="s">
        <v>48</v>
      </c>
    </row>
    <row r="717" spans="1:17" hidden="1" x14ac:dyDescent="0.25">
      <c r="A717" t="s">
        <v>33</v>
      </c>
      <c r="B717" t="s">
        <v>2747</v>
      </c>
      <c r="C717" t="s">
        <v>21</v>
      </c>
      <c r="D717" t="s">
        <v>2747</v>
      </c>
      <c r="E717" t="s">
        <v>2748</v>
      </c>
      <c r="F717" t="s">
        <v>2749</v>
      </c>
      <c r="G717" t="s">
        <v>24</v>
      </c>
      <c r="H717" t="s">
        <v>2750</v>
      </c>
      <c r="I717" t="s">
        <v>46</v>
      </c>
      <c r="L717" t="s">
        <v>309</v>
      </c>
      <c r="Q717" t="s">
        <v>48</v>
      </c>
    </row>
    <row r="718" spans="1:17" hidden="1" x14ac:dyDescent="0.25">
      <c r="A718" t="s">
        <v>33</v>
      </c>
      <c r="B718" t="s">
        <v>2751</v>
      </c>
      <c r="C718" t="s">
        <v>29</v>
      </c>
      <c r="D718" t="s">
        <v>2751</v>
      </c>
      <c r="E718" t="s">
        <v>660</v>
      </c>
      <c r="F718" t="s">
        <v>87</v>
      </c>
      <c r="G718" t="s">
        <v>24</v>
      </c>
      <c r="H718" t="s">
        <v>2752</v>
      </c>
      <c r="I718" t="s">
        <v>46</v>
      </c>
      <c r="L718" t="s">
        <v>246</v>
      </c>
      <c r="Q718" t="s">
        <v>48</v>
      </c>
    </row>
    <row r="719" spans="1:17" hidden="1" x14ac:dyDescent="0.25">
      <c r="A719" t="s">
        <v>33</v>
      </c>
      <c r="B719" t="s">
        <v>2753</v>
      </c>
      <c r="C719" t="s">
        <v>21</v>
      </c>
      <c r="D719" t="s">
        <v>2753</v>
      </c>
      <c r="E719" t="s">
        <v>1488</v>
      </c>
      <c r="F719" t="s">
        <v>295</v>
      </c>
      <c r="G719" t="s">
        <v>24</v>
      </c>
      <c r="H719" t="s">
        <v>2754</v>
      </c>
      <c r="I719" t="s">
        <v>46</v>
      </c>
      <c r="L719" t="s">
        <v>1152</v>
      </c>
      <c r="Q719" t="s">
        <v>48</v>
      </c>
    </row>
    <row r="720" spans="1:17" hidden="1" x14ac:dyDescent="0.25">
      <c r="A720" t="s">
        <v>33</v>
      </c>
      <c r="B720" t="s">
        <v>2755</v>
      </c>
      <c r="C720" t="s">
        <v>21</v>
      </c>
      <c r="D720" t="s">
        <v>2755</v>
      </c>
      <c r="E720" t="s">
        <v>2527</v>
      </c>
      <c r="F720" t="s">
        <v>2756</v>
      </c>
      <c r="G720" t="s">
        <v>24</v>
      </c>
      <c r="H720" t="s">
        <v>2757</v>
      </c>
      <c r="L720" t="s">
        <v>2758</v>
      </c>
    </row>
    <row r="721" spans="1:17" hidden="1" x14ac:dyDescent="0.25">
      <c r="A721" t="s">
        <v>33</v>
      </c>
      <c r="B721" t="s">
        <v>2759</v>
      </c>
      <c r="C721" t="s">
        <v>21</v>
      </c>
      <c r="D721" t="s">
        <v>2759</v>
      </c>
      <c r="E721" t="s">
        <v>178</v>
      </c>
      <c r="F721" t="s">
        <v>2760</v>
      </c>
      <c r="G721" t="s">
        <v>24</v>
      </c>
      <c r="H721" t="s">
        <v>2761</v>
      </c>
      <c r="I721" t="s">
        <v>46</v>
      </c>
      <c r="L721" t="s">
        <v>2762</v>
      </c>
      <c r="Q721" t="s">
        <v>48</v>
      </c>
    </row>
    <row r="722" spans="1:17" x14ac:dyDescent="0.25">
      <c r="A722" t="s">
        <v>33</v>
      </c>
      <c r="B722" t="s">
        <v>2763</v>
      </c>
      <c r="C722" t="s">
        <v>21</v>
      </c>
      <c r="D722" t="s">
        <v>2764</v>
      </c>
      <c r="E722" t="s">
        <v>2765</v>
      </c>
      <c r="F722" t="s">
        <v>2766</v>
      </c>
      <c r="G722" t="s">
        <v>24</v>
      </c>
      <c r="H722" t="s">
        <v>2767</v>
      </c>
      <c r="I722" t="s">
        <v>452</v>
      </c>
      <c r="L722" t="s">
        <v>119</v>
      </c>
      <c r="Q722" t="s">
        <v>454</v>
      </c>
    </row>
    <row r="723" spans="1:17" hidden="1" x14ac:dyDescent="0.25">
      <c r="A723" t="s">
        <v>33</v>
      </c>
      <c r="B723" t="s">
        <v>2768</v>
      </c>
      <c r="C723" t="s">
        <v>21</v>
      </c>
      <c r="D723" t="s">
        <v>2768</v>
      </c>
      <c r="E723" t="s">
        <v>284</v>
      </c>
      <c r="F723" t="s">
        <v>2769</v>
      </c>
      <c r="G723" t="s">
        <v>24</v>
      </c>
      <c r="H723" t="s">
        <v>2770</v>
      </c>
      <c r="I723" t="s">
        <v>73</v>
      </c>
      <c r="L723" t="s">
        <v>38</v>
      </c>
      <c r="Q723" t="s">
        <v>75</v>
      </c>
    </row>
    <row r="724" spans="1:17" hidden="1" x14ac:dyDescent="0.25">
      <c r="A724" t="s">
        <v>33</v>
      </c>
      <c r="B724" t="s">
        <v>2771</v>
      </c>
      <c r="C724" t="s">
        <v>21</v>
      </c>
      <c r="D724" t="s">
        <v>2772</v>
      </c>
      <c r="E724" t="s">
        <v>2773</v>
      </c>
      <c r="F724" t="s">
        <v>2774</v>
      </c>
      <c r="G724" t="s">
        <v>24</v>
      </c>
      <c r="H724" t="s">
        <v>2775</v>
      </c>
      <c r="L724" t="s">
        <v>803</v>
      </c>
    </row>
    <row r="725" spans="1:17" hidden="1" x14ac:dyDescent="0.25">
      <c r="A725" t="s">
        <v>33</v>
      </c>
      <c r="B725" t="s">
        <v>2776</v>
      </c>
      <c r="C725" t="s">
        <v>21</v>
      </c>
      <c r="D725" t="s">
        <v>2776</v>
      </c>
      <c r="E725" t="s">
        <v>2777</v>
      </c>
      <c r="F725" t="s">
        <v>2778</v>
      </c>
      <c r="G725" t="s">
        <v>24</v>
      </c>
      <c r="H725" t="s">
        <v>2779</v>
      </c>
      <c r="L725" t="s">
        <v>2780</v>
      </c>
    </row>
    <row r="726" spans="1:17" hidden="1" x14ac:dyDescent="0.25">
      <c r="A726" t="s">
        <v>33</v>
      </c>
      <c r="B726" t="s">
        <v>2781</v>
      </c>
      <c r="C726" t="s">
        <v>21</v>
      </c>
      <c r="D726" t="s">
        <v>2781</v>
      </c>
      <c r="E726" t="s">
        <v>380</v>
      </c>
      <c r="F726" t="s">
        <v>2782</v>
      </c>
      <c r="G726" t="s">
        <v>24</v>
      </c>
      <c r="H726" t="s">
        <v>2783</v>
      </c>
      <c r="I726" t="s">
        <v>73</v>
      </c>
      <c r="L726" t="s">
        <v>85</v>
      </c>
      <c r="Q726" t="s">
        <v>75</v>
      </c>
    </row>
    <row r="727" spans="1:17" hidden="1" x14ac:dyDescent="0.25">
      <c r="A727" t="s">
        <v>33</v>
      </c>
      <c r="B727" t="s">
        <v>2784</v>
      </c>
      <c r="C727" t="s">
        <v>21</v>
      </c>
      <c r="D727" t="s">
        <v>2784</v>
      </c>
      <c r="E727" t="s">
        <v>2785</v>
      </c>
      <c r="F727" t="s">
        <v>285</v>
      </c>
      <c r="G727" t="s">
        <v>24</v>
      </c>
      <c r="H727" t="s">
        <v>2786</v>
      </c>
      <c r="I727" t="s">
        <v>46</v>
      </c>
      <c r="L727" t="s">
        <v>543</v>
      </c>
      <c r="Q727" t="s">
        <v>48</v>
      </c>
    </row>
    <row r="728" spans="1:17" hidden="1" x14ac:dyDescent="0.25">
      <c r="A728" t="s">
        <v>33</v>
      </c>
      <c r="B728" t="s">
        <v>2787</v>
      </c>
      <c r="C728" t="s">
        <v>21</v>
      </c>
      <c r="D728" t="s">
        <v>2787</v>
      </c>
      <c r="E728" t="s">
        <v>1929</v>
      </c>
      <c r="F728" t="s">
        <v>2788</v>
      </c>
      <c r="G728" t="s">
        <v>24</v>
      </c>
      <c r="H728" t="s">
        <v>2789</v>
      </c>
      <c r="I728" t="s">
        <v>73</v>
      </c>
      <c r="L728" t="s">
        <v>63</v>
      </c>
      <c r="Q728" t="s">
        <v>75</v>
      </c>
    </row>
    <row r="729" spans="1:17" hidden="1" x14ac:dyDescent="0.25">
      <c r="A729" t="s">
        <v>33</v>
      </c>
      <c r="B729" t="s">
        <v>2790</v>
      </c>
      <c r="C729" t="s">
        <v>21</v>
      </c>
      <c r="D729" t="s">
        <v>2790</v>
      </c>
      <c r="E729" t="s">
        <v>1766</v>
      </c>
      <c r="F729" t="s">
        <v>2791</v>
      </c>
      <c r="G729" t="s">
        <v>24</v>
      </c>
      <c r="H729" t="s">
        <v>2792</v>
      </c>
      <c r="I729" t="s">
        <v>46</v>
      </c>
      <c r="L729" t="s">
        <v>63</v>
      </c>
      <c r="Q729" t="s">
        <v>48</v>
      </c>
    </row>
    <row r="730" spans="1:17" hidden="1" x14ac:dyDescent="0.25">
      <c r="A730" t="s">
        <v>33</v>
      </c>
      <c r="B730" t="s">
        <v>2793</v>
      </c>
      <c r="C730" t="s">
        <v>21</v>
      </c>
      <c r="D730" t="s">
        <v>2793</v>
      </c>
      <c r="E730" t="s">
        <v>2794</v>
      </c>
      <c r="F730" t="s">
        <v>2795</v>
      </c>
      <c r="G730" t="s">
        <v>24</v>
      </c>
      <c r="H730" t="s">
        <v>2796</v>
      </c>
      <c r="I730" t="s">
        <v>46</v>
      </c>
      <c r="L730" t="s">
        <v>1184</v>
      </c>
      <c r="Q730" t="s">
        <v>48</v>
      </c>
    </row>
    <row r="731" spans="1:17" hidden="1" x14ac:dyDescent="0.25">
      <c r="A731" t="s">
        <v>33</v>
      </c>
      <c r="B731" t="s">
        <v>2797</v>
      </c>
      <c r="C731" t="s">
        <v>21</v>
      </c>
      <c r="D731" t="s">
        <v>2797</v>
      </c>
      <c r="E731" t="s">
        <v>2798</v>
      </c>
      <c r="F731" t="s">
        <v>2799</v>
      </c>
      <c r="G731" t="s">
        <v>24</v>
      </c>
      <c r="H731" t="s">
        <v>2800</v>
      </c>
      <c r="I731" t="s">
        <v>46</v>
      </c>
      <c r="L731" t="s">
        <v>2801</v>
      </c>
      <c r="Q731" t="s">
        <v>48</v>
      </c>
    </row>
    <row r="732" spans="1:17" hidden="1" x14ac:dyDescent="0.25">
      <c r="A732" t="s">
        <v>33</v>
      </c>
      <c r="B732" t="s">
        <v>2802</v>
      </c>
      <c r="C732" t="s">
        <v>21</v>
      </c>
      <c r="D732" t="s">
        <v>2802</v>
      </c>
      <c r="E732" t="s">
        <v>2803</v>
      </c>
      <c r="F732" t="s">
        <v>2804</v>
      </c>
      <c r="G732" t="s">
        <v>24</v>
      </c>
      <c r="H732" t="s">
        <v>2805</v>
      </c>
      <c r="I732" t="s">
        <v>46</v>
      </c>
      <c r="L732" t="s">
        <v>2806</v>
      </c>
      <c r="Q732" t="s">
        <v>48</v>
      </c>
    </row>
    <row r="733" spans="1:17" hidden="1" x14ac:dyDescent="0.25">
      <c r="A733" t="s">
        <v>33</v>
      </c>
      <c r="B733" t="s">
        <v>2807</v>
      </c>
      <c r="C733" t="s">
        <v>29</v>
      </c>
      <c r="D733" t="s">
        <v>2807</v>
      </c>
      <c r="E733" t="s">
        <v>2808</v>
      </c>
      <c r="F733" t="s">
        <v>2809</v>
      </c>
      <c r="G733" t="s">
        <v>24</v>
      </c>
      <c r="H733" t="s">
        <v>2810</v>
      </c>
      <c r="I733" t="s">
        <v>46</v>
      </c>
      <c r="L733" t="s">
        <v>601</v>
      </c>
      <c r="Q733" t="s">
        <v>48</v>
      </c>
    </row>
    <row r="734" spans="1:17" x14ac:dyDescent="0.25">
      <c r="A734" t="s">
        <v>33</v>
      </c>
      <c r="B734" t="s">
        <v>2811</v>
      </c>
      <c r="C734" t="s">
        <v>29</v>
      </c>
      <c r="D734" t="s">
        <v>2812</v>
      </c>
      <c r="E734" t="s">
        <v>2813</v>
      </c>
      <c r="F734" t="s">
        <v>2814</v>
      </c>
      <c r="G734" t="s">
        <v>24</v>
      </c>
      <c r="H734" t="s">
        <v>2815</v>
      </c>
      <c r="I734" t="s">
        <v>2816</v>
      </c>
      <c r="L734" t="s">
        <v>1389</v>
      </c>
      <c r="Q734" t="s">
        <v>2817</v>
      </c>
    </row>
    <row r="735" spans="1:17" hidden="1" x14ac:dyDescent="0.25">
      <c r="A735" t="s">
        <v>33</v>
      </c>
      <c r="B735" t="s">
        <v>2818</v>
      </c>
      <c r="C735" t="s">
        <v>21</v>
      </c>
      <c r="D735" t="s">
        <v>2818</v>
      </c>
      <c r="E735" t="s">
        <v>2819</v>
      </c>
      <c r="F735" t="s">
        <v>2820</v>
      </c>
      <c r="G735" t="s">
        <v>24</v>
      </c>
      <c r="H735" t="s">
        <v>2821</v>
      </c>
      <c r="I735" t="s">
        <v>46</v>
      </c>
      <c r="L735" t="s">
        <v>415</v>
      </c>
      <c r="Q735" t="s">
        <v>48</v>
      </c>
    </row>
    <row r="736" spans="1:17" hidden="1" x14ac:dyDescent="0.25">
      <c r="A736" t="s">
        <v>33</v>
      </c>
      <c r="B736" t="s">
        <v>2822</v>
      </c>
      <c r="C736" t="s">
        <v>21</v>
      </c>
      <c r="D736" t="s">
        <v>2822</v>
      </c>
      <c r="E736" t="s">
        <v>2823</v>
      </c>
      <c r="F736" t="s">
        <v>2824</v>
      </c>
      <c r="G736" t="s">
        <v>24</v>
      </c>
      <c r="H736" t="s">
        <v>2825</v>
      </c>
      <c r="I736" t="s">
        <v>46</v>
      </c>
      <c r="L736" t="s">
        <v>2826</v>
      </c>
      <c r="Q736" t="s">
        <v>48</v>
      </c>
    </row>
    <row r="737" spans="1:17" hidden="1" x14ac:dyDescent="0.25">
      <c r="A737" t="s">
        <v>33</v>
      </c>
      <c r="B737" t="s">
        <v>2827</v>
      </c>
      <c r="C737" t="s">
        <v>29</v>
      </c>
      <c r="D737" t="s">
        <v>2827</v>
      </c>
      <c r="E737" t="s">
        <v>1946</v>
      </c>
      <c r="F737" t="s">
        <v>2828</v>
      </c>
      <c r="G737" t="s">
        <v>24</v>
      </c>
      <c r="H737" t="s">
        <v>2829</v>
      </c>
      <c r="I737" t="s">
        <v>46</v>
      </c>
      <c r="L737" t="s">
        <v>246</v>
      </c>
      <c r="Q737" t="s">
        <v>48</v>
      </c>
    </row>
    <row r="738" spans="1:17" hidden="1" x14ac:dyDescent="0.25">
      <c r="A738" t="s">
        <v>33</v>
      </c>
      <c r="B738" t="s">
        <v>2830</v>
      </c>
      <c r="C738" t="s">
        <v>21</v>
      </c>
      <c r="D738" t="s">
        <v>2830</v>
      </c>
      <c r="E738" t="s">
        <v>2831</v>
      </c>
      <c r="F738" t="s">
        <v>2832</v>
      </c>
      <c r="G738" t="s">
        <v>24</v>
      </c>
      <c r="H738" t="s">
        <v>2833</v>
      </c>
      <c r="I738" t="s">
        <v>46</v>
      </c>
      <c r="L738" t="s">
        <v>53</v>
      </c>
      <c r="Q738" t="s">
        <v>48</v>
      </c>
    </row>
    <row r="739" spans="1:17" hidden="1" x14ac:dyDescent="0.25">
      <c r="A739" t="s">
        <v>33</v>
      </c>
      <c r="B739" t="s">
        <v>2834</v>
      </c>
      <c r="C739" t="s">
        <v>21</v>
      </c>
      <c r="D739" t="s">
        <v>2835</v>
      </c>
      <c r="E739" t="s">
        <v>2836</v>
      </c>
      <c r="F739" t="s">
        <v>2837</v>
      </c>
      <c r="G739" t="s">
        <v>24</v>
      </c>
      <c r="H739" t="s">
        <v>2838</v>
      </c>
      <c r="L739" t="s">
        <v>861</v>
      </c>
    </row>
    <row r="740" spans="1:17" hidden="1" x14ac:dyDescent="0.25">
      <c r="A740" t="s">
        <v>33</v>
      </c>
      <c r="B740" t="s">
        <v>2839</v>
      </c>
      <c r="C740" t="s">
        <v>21</v>
      </c>
      <c r="D740" t="s">
        <v>2839</v>
      </c>
      <c r="E740" t="s">
        <v>2840</v>
      </c>
      <c r="F740" t="s">
        <v>2841</v>
      </c>
      <c r="G740" t="s">
        <v>24</v>
      </c>
      <c r="H740" t="s">
        <v>2842</v>
      </c>
      <c r="L740" t="s">
        <v>246</v>
      </c>
    </row>
    <row r="741" spans="1:17" hidden="1" x14ac:dyDescent="0.25">
      <c r="A741" t="s">
        <v>33</v>
      </c>
      <c r="B741" t="s">
        <v>2843</v>
      </c>
      <c r="C741" t="s">
        <v>21</v>
      </c>
      <c r="D741" t="s">
        <v>2844</v>
      </c>
      <c r="E741" t="s">
        <v>275</v>
      </c>
      <c r="F741" t="s">
        <v>2845</v>
      </c>
      <c r="G741" t="s">
        <v>24</v>
      </c>
      <c r="H741" t="s">
        <v>2846</v>
      </c>
      <c r="I741" t="s">
        <v>46</v>
      </c>
      <c r="L741" t="s">
        <v>389</v>
      </c>
      <c r="Q741" t="s">
        <v>48</v>
      </c>
    </row>
    <row r="742" spans="1:17" hidden="1" x14ac:dyDescent="0.25">
      <c r="A742" t="s">
        <v>33</v>
      </c>
      <c r="B742" t="s">
        <v>2847</v>
      </c>
      <c r="C742" t="s">
        <v>29</v>
      </c>
      <c r="D742" t="s">
        <v>2847</v>
      </c>
      <c r="E742" t="s">
        <v>2848</v>
      </c>
      <c r="F742" t="s">
        <v>2849</v>
      </c>
      <c r="G742" t="s">
        <v>24</v>
      </c>
      <c r="H742" t="s">
        <v>2850</v>
      </c>
      <c r="L742" t="s">
        <v>2851</v>
      </c>
    </row>
    <row r="743" spans="1:17" hidden="1" x14ac:dyDescent="0.25">
      <c r="A743" t="s">
        <v>33</v>
      </c>
      <c r="B743" t="s">
        <v>2852</v>
      </c>
      <c r="C743" t="s">
        <v>21</v>
      </c>
      <c r="D743" t="s">
        <v>2852</v>
      </c>
      <c r="E743" t="s">
        <v>2853</v>
      </c>
      <c r="F743" t="s">
        <v>2854</v>
      </c>
      <c r="G743" t="s">
        <v>24</v>
      </c>
      <c r="H743" t="s">
        <v>2855</v>
      </c>
      <c r="I743" t="s">
        <v>46</v>
      </c>
      <c r="L743" t="s">
        <v>74</v>
      </c>
      <c r="Q743" t="s">
        <v>48</v>
      </c>
    </row>
    <row r="744" spans="1:17" hidden="1" x14ac:dyDescent="0.25">
      <c r="A744" t="s">
        <v>33</v>
      </c>
      <c r="B744" t="s">
        <v>2856</v>
      </c>
      <c r="C744" t="s">
        <v>92</v>
      </c>
      <c r="D744" t="s">
        <v>2856</v>
      </c>
      <c r="E744" t="s">
        <v>699</v>
      </c>
      <c r="F744" t="s">
        <v>2857</v>
      </c>
      <c r="G744" t="s">
        <v>24</v>
      </c>
      <c r="H744" t="s">
        <v>2858</v>
      </c>
      <c r="I744" t="s">
        <v>46</v>
      </c>
      <c r="L744" t="s">
        <v>1577</v>
      </c>
      <c r="Q744" t="s">
        <v>48</v>
      </c>
    </row>
    <row r="745" spans="1:17" hidden="1" x14ac:dyDescent="0.25">
      <c r="A745" t="s">
        <v>33</v>
      </c>
      <c r="B745" t="s">
        <v>2859</v>
      </c>
      <c r="C745" t="s">
        <v>21</v>
      </c>
      <c r="D745" t="s">
        <v>2860</v>
      </c>
      <c r="E745" t="s">
        <v>660</v>
      </c>
      <c r="F745" t="s">
        <v>2861</v>
      </c>
      <c r="G745" t="s">
        <v>24</v>
      </c>
      <c r="H745" t="s">
        <v>2862</v>
      </c>
      <c r="L745" t="s">
        <v>190</v>
      </c>
    </row>
    <row r="746" spans="1:17" hidden="1" x14ac:dyDescent="0.25">
      <c r="A746" t="s">
        <v>33</v>
      </c>
      <c r="B746" t="s">
        <v>2863</v>
      </c>
      <c r="C746" t="s">
        <v>21</v>
      </c>
      <c r="D746" t="s">
        <v>2863</v>
      </c>
      <c r="E746" t="s">
        <v>2864</v>
      </c>
      <c r="F746" t="s">
        <v>2865</v>
      </c>
      <c r="G746" t="s">
        <v>24</v>
      </c>
      <c r="H746" t="s">
        <v>2866</v>
      </c>
      <c r="I746" t="s">
        <v>46</v>
      </c>
      <c r="L746" t="s">
        <v>389</v>
      </c>
      <c r="Q746" t="s">
        <v>48</v>
      </c>
    </row>
    <row r="747" spans="1:17" hidden="1" x14ac:dyDescent="0.25">
      <c r="A747" t="s">
        <v>33</v>
      </c>
      <c r="B747" t="s">
        <v>2867</v>
      </c>
      <c r="C747" t="s">
        <v>92</v>
      </c>
      <c r="D747" t="s">
        <v>2867</v>
      </c>
      <c r="E747" t="s">
        <v>2281</v>
      </c>
      <c r="F747" t="s">
        <v>2857</v>
      </c>
      <c r="G747" t="s">
        <v>24</v>
      </c>
      <c r="H747" s="1" t="s">
        <v>2868</v>
      </c>
      <c r="I747" t="s">
        <v>73</v>
      </c>
      <c r="L747" t="s">
        <v>97</v>
      </c>
      <c r="Q747" t="s">
        <v>75</v>
      </c>
    </row>
    <row r="748" spans="1:17" hidden="1" x14ac:dyDescent="0.25">
      <c r="A748" t="s">
        <v>33</v>
      </c>
      <c r="B748" t="s">
        <v>2869</v>
      </c>
      <c r="C748" t="s">
        <v>21</v>
      </c>
      <c r="D748" t="s">
        <v>2869</v>
      </c>
      <c r="E748" t="s">
        <v>2870</v>
      </c>
      <c r="F748" t="s">
        <v>2871</v>
      </c>
      <c r="G748" t="s">
        <v>24</v>
      </c>
      <c r="H748" t="s">
        <v>2872</v>
      </c>
      <c r="L748" t="s">
        <v>148</v>
      </c>
    </row>
    <row r="749" spans="1:17" hidden="1" x14ac:dyDescent="0.25">
      <c r="A749" t="s">
        <v>33</v>
      </c>
      <c r="B749" t="s">
        <v>2873</v>
      </c>
      <c r="C749" t="s">
        <v>21</v>
      </c>
      <c r="D749" t="s">
        <v>2873</v>
      </c>
      <c r="E749" t="s">
        <v>2874</v>
      </c>
      <c r="F749" t="s">
        <v>2875</v>
      </c>
      <c r="G749" t="s">
        <v>24</v>
      </c>
      <c r="H749" t="s">
        <v>2876</v>
      </c>
      <c r="L749" t="s">
        <v>507</v>
      </c>
    </row>
    <row r="750" spans="1:17" hidden="1" x14ac:dyDescent="0.25">
      <c r="A750" t="s">
        <v>33</v>
      </c>
      <c r="B750" t="s">
        <v>2877</v>
      </c>
      <c r="C750" t="s">
        <v>21</v>
      </c>
      <c r="D750" t="s">
        <v>2877</v>
      </c>
      <c r="E750" t="s">
        <v>1706</v>
      </c>
      <c r="F750" t="s">
        <v>2878</v>
      </c>
      <c r="G750" t="s">
        <v>24</v>
      </c>
      <c r="H750" t="s">
        <v>2879</v>
      </c>
      <c r="I750" t="s">
        <v>46</v>
      </c>
      <c r="L750" t="s">
        <v>38</v>
      </c>
      <c r="Q750" t="s">
        <v>48</v>
      </c>
    </row>
    <row r="751" spans="1:17" hidden="1" x14ac:dyDescent="0.25">
      <c r="A751" t="s">
        <v>33</v>
      </c>
      <c r="B751" t="s">
        <v>2880</v>
      </c>
      <c r="C751" t="s">
        <v>29</v>
      </c>
      <c r="D751" t="s">
        <v>2880</v>
      </c>
      <c r="E751" t="s">
        <v>2881</v>
      </c>
      <c r="F751" t="s">
        <v>2882</v>
      </c>
      <c r="G751" t="s">
        <v>24</v>
      </c>
      <c r="H751" t="s">
        <v>2883</v>
      </c>
    </row>
    <row r="752" spans="1:17" hidden="1" x14ac:dyDescent="0.25">
      <c r="A752" t="s">
        <v>33</v>
      </c>
      <c r="B752" t="s">
        <v>2884</v>
      </c>
      <c r="C752" t="s">
        <v>21</v>
      </c>
      <c r="D752" t="s">
        <v>2884</v>
      </c>
      <c r="E752" t="s">
        <v>126</v>
      </c>
      <c r="F752" t="s">
        <v>78</v>
      </c>
      <c r="G752" t="s">
        <v>24</v>
      </c>
      <c r="H752" t="s">
        <v>2885</v>
      </c>
      <c r="L752" t="s">
        <v>755</v>
      </c>
    </row>
    <row r="753" spans="1:17" hidden="1" x14ac:dyDescent="0.25">
      <c r="A753" t="s">
        <v>33</v>
      </c>
      <c r="B753" t="s">
        <v>2886</v>
      </c>
      <c r="C753" t="s">
        <v>21</v>
      </c>
      <c r="D753" t="s">
        <v>2886</v>
      </c>
      <c r="E753" t="s">
        <v>2887</v>
      </c>
      <c r="F753" t="s">
        <v>2888</v>
      </c>
      <c r="G753" t="s">
        <v>24</v>
      </c>
      <c r="H753" t="s">
        <v>2889</v>
      </c>
      <c r="I753" t="s">
        <v>46</v>
      </c>
      <c r="L753" t="s">
        <v>181</v>
      </c>
      <c r="Q753" t="s">
        <v>48</v>
      </c>
    </row>
    <row r="754" spans="1:17" hidden="1" x14ac:dyDescent="0.25">
      <c r="A754" t="s">
        <v>33</v>
      </c>
      <c r="B754" t="s">
        <v>2890</v>
      </c>
      <c r="C754" t="s">
        <v>21</v>
      </c>
      <c r="D754" t="s">
        <v>2890</v>
      </c>
      <c r="E754" t="s">
        <v>140</v>
      </c>
      <c r="F754" t="s">
        <v>872</v>
      </c>
      <c r="G754" t="s">
        <v>2391</v>
      </c>
      <c r="H754" t="s">
        <v>2891</v>
      </c>
      <c r="I754" t="s">
        <v>73</v>
      </c>
      <c r="L754" t="s">
        <v>543</v>
      </c>
      <c r="Q754" t="s">
        <v>75</v>
      </c>
    </row>
    <row r="755" spans="1:17" hidden="1" x14ac:dyDescent="0.25">
      <c r="A755" t="s">
        <v>33</v>
      </c>
      <c r="B755" t="s">
        <v>2892</v>
      </c>
      <c r="C755" t="s">
        <v>29</v>
      </c>
      <c r="D755" t="s">
        <v>2892</v>
      </c>
      <c r="E755" t="s">
        <v>2840</v>
      </c>
      <c r="F755" t="s">
        <v>2841</v>
      </c>
      <c r="G755" t="s">
        <v>24</v>
      </c>
      <c r="H755" t="s">
        <v>2893</v>
      </c>
      <c r="I755" t="s">
        <v>46</v>
      </c>
      <c r="L755" t="s">
        <v>246</v>
      </c>
      <c r="Q755" t="s">
        <v>48</v>
      </c>
    </row>
    <row r="756" spans="1:17" hidden="1" x14ac:dyDescent="0.25">
      <c r="A756" t="s">
        <v>33</v>
      </c>
      <c r="B756" t="s">
        <v>2894</v>
      </c>
      <c r="C756" t="s">
        <v>21</v>
      </c>
      <c r="D756" t="s">
        <v>2894</v>
      </c>
      <c r="E756" t="s">
        <v>1315</v>
      </c>
      <c r="F756" t="s">
        <v>1906</v>
      </c>
      <c r="G756" t="s">
        <v>24</v>
      </c>
      <c r="H756" t="s">
        <v>2895</v>
      </c>
      <c r="I756" t="s">
        <v>73</v>
      </c>
      <c r="L756" t="s">
        <v>273</v>
      </c>
      <c r="Q756" t="s">
        <v>75</v>
      </c>
    </row>
    <row r="757" spans="1:17" hidden="1" x14ac:dyDescent="0.25">
      <c r="A757" t="s">
        <v>33</v>
      </c>
      <c r="B757" t="s">
        <v>2896</v>
      </c>
      <c r="C757" t="s">
        <v>21</v>
      </c>
      <c r="D757" t="s">
        <v>2896</v>
      </c>
      <c r="E757" t="s">
        <v>2897</v>
      </c>
      <c r="F757" t="s">
        <v>2898</v>
      </c>
      <c r="G757" t="s">
        <v>24</v>
      </c>
      <c r="H757" t="s">
        <v>2899</v>
      </c>
      <c r="I757" t="s">
        <v>46</v>
      </c>
      <c r="L757" t="s">
        <v>1061</v>
      </c>
      <c r="Q757" t="s">
        <v>48</v>
      </c>
    </row>
    <row r="758" spans="1:17" hidden="1" x14ac:dyDescent="0.25">
      <c r="A758" t="s">
        <v>33</v>
      </c>
      <c r="B758" t="s">
        <v>2900</v>
      </c>
      <c r="C758" t="s">
        <v>21</v>
      </c>
      <c r="D758" t="s">
        <v>2900</v>
      </c>
      <c r="E758" t="s">
        <v>660</v>
      </c>
      <c r="F758" t="s">
        <v>2901</v>
      </c>
      <c r="G758" t="s">
        <v>24</v>
      </c>
      <c r="H758" t="s">
        <v>2902</v>
      </c>
    </row>
    <row r="759" spans="1:17" hidden="1" x14ac:dyDescent="0.25">
      <c r="A759" t="s">
        <v>33</v>
      </c>
      <c r="B759" t="s">
        <v>2903</v>
      </c>
      <c r="C759" t="s">
        <v>21</v>
      </c>
      <c r="D759" t="s">
        <v>2903</v>
      </c>
      <c r="E759" t="s">
        <v>424</v>
      </c>
      <c r="F759" t="s">
        <v>2904</v>
      </c>
      <c r="G759" t="s">
        <v>24</v>
      </c>
      <c r="H759" t="s">
        <v>2905</v>
      </c>
      <c r="I759" t="s">
        <v>46</v>
      </c>
      <c r="L759" t="s">
        <v>2780</v>
      </c>
      <c r="Q759" t="s">
        <v>48</v>
      </c>
    </row>
    <row r="760" spans="1:17" hidden="1" x14ac:dyDescent="0.25">
      <c r="A760" t="s">
        <v>33</v>
      </c>
      <c r="B760" t="s">
        <v>2906</v>
      </c>
      <c r="C760" t="s">
        <v>21</v>
      </c>
      <c r="D760" t="s">
        <v>2906</v>
      </c>
      <c r="E760" t="s">
        <v>1858</v>
      </c>
      <c r="F760" t="s">
        <v>2907</v>
      </c>
      <c r="G760" t="s">
        <v>24</v>
      </c>
      <c r="H760" t="s">
        <v>2908</v>
      </c>
      <c r="I760" t="s">
        <v>46</v>
      </c>
      <c r="L760" t="s">
        <v>38</v>
      </c>
      <c r="Q760" t="s">
        <v>48</v>
      </c>
    </row>
    <row r="761" spans="1:17" hidden="1" x14ac:dyDescent="0.25">
      <c r="A761" t="s">
        <v>33</v>
      </c>
      <c r="B761" t="s">
        <v>2909</v>
      </c>
      <c r="C761" t="s">
        <v>21</v>
      </c>
      <c r="D761" t="s">
        <v>2909</v>
      </c>
      <c r="E761" t="s">
        <v>2910</v>
      </c>
      <c r="F761" t="s">
        <v>2911</v>
      </c>
      <c r="G761" t="s">
        <v>24</v>
      </c>
      <c r="H761" t="s">
        <v>2912</v>
      </c>
      <c r="I761" t="s">
        <v>46</v>
      </c>
      <c r="L761" t="s">
        <v>565</v>
      </c>
      <c r="Q761" t="s">
        <v>48</v>
      </c>
    </row>
    <row r="762" spans="1:17" hidden="1" x14ac:dyDescent="0.25">
      <c r="A762" t="s">
        <v>33</v>
      </c>
      <c r="B762" t="s">
        <v>2913</v>
      </c>
      <c r="C762" t="s">
        <v>21</v>
      </c>
      <c r="D762" t="s">
        <v>2913</v>
      </c>
      <c r="E762" t="s">
        <v>1063</v>
      </c>
      <c r="F762" t="s">
        <v>2914</v>
      </c>
      <c r="G762" t="s">
        <v>24</v>
      </c>
      <c r="H762" t="s">
        <v>2915</v>
      </c>
      <c r="I762" t="s">
        <v>73</v>
      </c>
      <c r="L762" t="s">
        <v>53</v>
      </c>
      <c r="Q762" t="s">
        <v>75</v>
      </c>
    </row>
    <row r="763" spans="1:17" hidden="1" x14ac:dyDescent="0.25">
      <c r="A763" t="s">
        <v>33</v>
      </c>
      <c r="B763" t="s">
        <v>2916</v>
      </c>
      <c r="C763" t="s">
        <v>21</v>
      </c>
      <c r="D763" t="s">
        <v>2916</v>
      </c>
      <c r="E763" t="s">
        <v>2917</v>
      </c>
      <c r="F763" t="s">
        <v>2918</v>
      </c>
      <c r="G763" t="s">
        <v>24</v>
      </c>
      <c r="H763" t="s">
        <v>2919</v>
      </c>
      <c r="I763" t="s">
        <v>73</v>
      </c>
      <c r="L763" t="s">
        <v>38</v>
      </c>
      <c r="Q763" t="s">
        <v>75</v>
      </c>
    </row>
    <row r="764" spans="1:17" hidden="1" x14ac:dyDescent="0.25">
      <c r="A764" t="s">
        <v>33</v>
      </c>
      <c r="B764" t="s">
        <v>2920</v>
      </c>
      <c r="C764" t="s">
        <v>21</v>
      </c>
      <c r="D764" t="s">
        <v>2921</v>
      </c>
      <c r="E764" t="s">
        <v>2922</v>
      </c>
      <c r="F764" t="s">
        <v>2923</v>
      </c>
      <c r="G764" t="s">
        <v>24</v>
      </c>
      <c r="H764" t="s">
        <v>2924</v>
      </c>
      <c r="L764" t="s">
        <v>2925</v>
      </c>
    </row>
    <row r="765" spans="1:17" hidden="1" x14ac:dyDescent="0.25">
      <c r="A765" t="s">
        <v>33</v>
      </c>
      <c r="B765" t="s">
        <v>2926</v>
      </c>
      <c r="C765" t="s">
        <v>21</v>
      </c>
      <c r="D765" t="s">
        <v>2926</v>
      </c>
      <c r="E765" t="s">
        <v>324</v>
      </c>
      <c r="F765" t="s">
        <v>2927</v>
      </c>
      <c r="G765" t="s">
        <v>24</v>
      </c>
      <c r="H765" t="s">
        <v>2928</v>
      </c>
      <c r="L765" t="s">
        <v>38</v>
      </c>
    </row>
    <row r="766" spans="1:17" hidden="1" x14ac:dyDescent="0.25">
      <c r="A766" t="s">
        <v>33</v>
      </c>
      <c r="B766" t="s">
        <v>2929</v>
      </c>
      <c r="C766" t="s">
        <v>21</v>
      </c>
      <c r="D766" t="s">
        <v>2929</v>
      </c>
      <c r="E766" t="s">
        <v>412</v>
      </c>
      <c r="F766" t="s">
        <v>2930</v>
      </c>
      <c r="G766" t="s">
        <v>2391</v>
      </c>
      <c r="H766" t="s">
        <v>2931</v>
      </c>
      <c r="L766" t="s">
        <v>2932</v>
      </c>
    </row>
    <row r="767" spans="1:17" hidden="1" x14ac:dyDescent="0.25">
      <c r="A767" t="s">
        <v>33</v>
      </c>
      <c r="B767" t="s">
        <v>2933</v>
      </c>
      <c r="C767" t="s">
        <v>92</v>
      </c>
      <c r="D767" t="s">
        <v>2934</v>
      </c>
      <c r="E767" t="s">
        <v>2935</v>
      </c>
      <c r="F767" t="s">
        <v>849</v>
      </c>
      <c r="G767" t="s">
        <v>24</v>
      </c>
      <c r="H767" t="s">
        <v>2936</v>
      </c>
      <c r="I767" t="s">
        <v>73</v>
      </c>
      <c r="L767" t="s">
        <v>1115</v>
      </c>
      <c r="Q767" t="s">
        <v>75</v>
      </c>
    </row>
    <row r="768" spans="1:17" hidden="1" x14ac:dyDescent="0.25">
      <c r="A768" t="s">
        <v>33</v>
      </c>
      <c r="B768" t="s">
        <v>2937</v>
      </c>
      <c r="C768" t="s">
        <v>21</v>
      </c>
      <c r="D768" t="s">
        <v>2937</v>
      </c>
      <c r="E768" t="s">
        <v>2938</v>
      </c>
      <c r="F768" t="s">
        <v>2756</v>
      </c>
      <c r="G768" t="s">
        <v>24</v>
      </c>
      <c r="H768" t="s">
        <v>2939</v>
      </c>
      <c r="L768" t="s">
        <v>317</v>
      </c>
    </row>
    <row r="769" spans="1:17" hidden="1" x14ac:dyDescent="0.25">
      <c r="A769" t="s">
        <v>33</v>
      </c>
      <c r="B769" t="s">
        <v>2940</v>
      </c>
      <c r="C769" t="s">
        <v>21</v>
      </c>
      <c r="D769" t="s">
        <v>2940</v>
      </c>
      <c r="E769" t="s">
        <v>2941</v>
      </c>
      <c r="F769" t="s">
        <v>2942</v>
      </c>
      <c r="G769" t="s">
        <v>24</v>
      </c>
      <c r="H769" t="s">
        <v>2943</v>
      </c>
      <c r="L769" t="s">
        <v>1632</v>
      </c>
    </row>
    <row r="770" spans="1:17" hidden="1" x14ac:dyDescent="0.25">
      <c r="A770" t="s">
        <v>33</v>
      </c>
      <c r="B770" t="s">
        <v>2944</v>
      </c>
      <c r="C770" t="s">
        <v>21</v>
      </c>
      <c r="D770" t="s">
        <v>2944</v>
      </c>
      <c r="E770" t="s">
        <v>1946</v>
      </c>
      <c r="F770" t="s">
        <v>2945</v>
      </c>
      <c r="G770" t="s">
        <v>24</v>
      </c>
      <c r="H770" t="s">
        <v>2946</v>
      </c>
      <c r="I770" t="s">
        <v>46</v>
      </c>
      <c r="L770" t="s">
        <v>1441</v>
      </c>
      <c r="Q770" t="s">
        <v>48</v>
      </c>
    </row>
    <row r="771" spans="1:17" hidden="1" x14ac:dyDescent="0.25">
      <c r="A771" t="s">
        <v>33</v>
      </c>
      <c r="B771" t="s">
        <v>2947</v>
      </c>
      <c r="C771" t="s">
        <v>21</v>
      </c>
      <c r="D771" t="s">
        <v>2948</v>
      </c>
      <c r="E771" t="s">
        <v>22</v>
      </c>
      <c r="F771" t="s">
        <v>2949</v>
      </c>
      <c r="G771" t="s">
        <v>24</v>
      </c>
      <c r="H771" t="s">
        <v>2950</v>
      </c>
      <c r="I771" t="s">
        <v>46</v>
      </c>
      <c r="L771" t="s">
        <v>2925</v>
      </c>
      <c r="Q771" t="s">
        <v>48</v>
      </c>
    </row>
    <row r="772" spans="1:17" hidden="1" x14ac:dyDescent="0.25">
      <c r="A772" t="s">
        <v>33</v>
      </c>
      <c r="B772" t="s">
        <v>2951</v>
      </c>
      <c r="C772" t="s">
        <v>21</v>
      </c>
      <c r="D772" t="s">
        <v>2951</v>
      </c>
      <c r="E772" t="s">
        <v>2813</v>
      </c>
      <c r="F772" t="s">
        <v>2952</v>
      </c>
      <c r="G772" t="s">
        <v>24</v>
      </c>
      <c r="H772" t="s">
        <v>2953</v>
      </c>
      <c r="I772" t="s">
        <v>46</v>
      </c>
      <c r="L772" t="s">
        <v>1061</v>
      </c>
      <c r="Q772" t="s">
        <v>48</v>
      </c>
    </row>
    <row r="773" spans="1:17" hidden="1" x14ac:dyDescent="0.25">
      <c r="A773" t="s">
        <v>33</v>
      </c>
      <c r="B773" t="s">
        <v>2954</v>
      </c>
      <c r="C773" t="s">
        <v>21</v>
      </c>
      <c r="D773" t="s">
        <v>2954</v>
      </c>
      <c r="E773" t="s">
        <v>2955</v>
      </c>
      <c r="F773" t="s">
        <v>2956</v>
      </c>
      <c r="G773" t="s">
        <v>24</v>
      </c>
      <c r="H773" t="s">
        <v>2957</v>
      </c>
      <c r="I773" t="s">
        <v>46</v>
      </c>
      <c r="L773" t="s">
        <v>2925</v>
      </c>
      <c r="Q773" t="s">
        <v>48</v>
      </c>
    </row>
    <row r="774" spans="1:17" hidden="1" x14ac:dyDescent="0.25">
      <c r="A774" t="s">
        <v>33</v>
      </c>
      <c r="B774" t="s">
        <v>2958</v>
      </c>
      <c r="C774" t="s">
        <v>21</v>
      </c>
      <c r="D774" t="s">
        <v>2958</v>
      </c>
      <c r="E774" t="s">
        <v>894</v>
      </c>
      <c r="F774" t="s">
        <v>2959</v>
      </c>
      <c r="G774" t="s">
        <v>24</v>
      </c>
      <c r="H774" t="s">
        <v>2960</v>
      </c>
      <c r="I774" t="s">
        <v>73</v>
      </c>
      <c r="L774" t="s">
        <v>108</v>
      </c>
      <c r="Q774" t="s">
        <v>75</v>
      </c>
    </row>
    <row r="775" spans="1:17" hidden="1" x14ac:dyDescent="0.25">
      <c r="A775" t="s">
        <v>33</v>
      </c>
      <c r="B775" t="s">
        <v>2961</v>
      </c>
      <c r="C775" t="s">
        <v>21</v>
      </c>
      <c r="D775" t="s">
        <v>2961</v>
      </c>
      <c r="E775" t="s">
        <v>324</v>
      </c>
      <c r="F775" t="s">
        <v>330</v>
      </c>
      <c r="G775" t="s">
        <v>24</v>
      </c>
      <c r="H775" t="s">
        <v>2962</v>
      </c>
      <c r="I775" t="s">
        <v>46</v>
      </c>
      <c r="L775" t="s">
        <v>2925</v>
      </c>
      <c r="Q775" t="s">
        <v>48</v>
      </c>
    </row>
    <row r="776" spans="1:17" hidden="1" x14ac:dyDescent="0.25">
      <c r="A776" t="s">
        <v>33</v>
      </c>
      <c r="B776" t="s">
        <v>2963</v>
      </c>
      <c r="C776" t="s">
        <v>21</v>
      </c>
      <c r="D776" t="s">
        <v>2963</v>
      </c>
      <c r="E776" t="s">
        <v>178</v>
      </c>
      <c r="F776" t="s">
        <v>2964</v>
      </c>
      <c r="G776" t="s">
        <v>24</v>
      </c>
      <c r="H776" t="s">
        <v>2965</v>
      </c>
      <c r="I776" t="s">
        <v>46</v>
      </c>
      <c r="L776" t="s">
        <v>803</v>
      </c>
      <c r="Q776" t="s">
        <v>48</v>
      </c>
    </row>
    <row r="777" spans="1:17" hidden="1" x14ac:dyDescent="0.25">
      <c r="A777" t="s">
        <v>33</v>
      </c>
      <c r="B777" t="s">
        <v>2966</v>
      </c>
      <c r="C777" t="s">
        <v>21</v>
      </c>
      <c r="D777" t="s">
        <v>2966</v>
      </c>
      <c r="E777" t="s">
        <v>1003</v>
      </c>
      <c r="F777" t="s">
        <v>2967</v>
      </c>
      <c r="G777" t="s">
        <v>24</v>
      </c>
      <c r="H777" t="s">
        <v>2968</v>
      </c>
      <c r="I777" t="s">
        <v>46</v>
      </c>
      <c r="L777" t="s">
        <v>38</v>
      </c>
      <c r="Q777" t="s">
        <v>48</v>
      </c>
    </row>
    <row r="778" spans="1:17" hidden="1" x14ac:dyDescent="0.25">
      <c r="A778" t="s">
        <v>33</v>
      </c>
      <c r="B778" t="s">
        <v>2969</v>
      </c>
      <c r="C778" t="s">
        <v>21</v>
      </c>
      <c r="D778" t="s">
        <v>2969</v>
      </c>
      <c r="E778" t="s">
        <v>2475</v>
      </c>
      <c r="F778" t="s">
        <v>2970</v>
      </c>
      <c r="G778" t="s">
        <v>24</v>
      </c>
      <c r="H778" t="s">
        <v>2971</v>
      </c>
      <c r="I778" t="s">
        <v>46</v>
      </c>
      <c r="L778" t="s">
        <v>1013</v>
      </c>
      <c r="Q778" t="s">
        <v>48</v>
      </c>
    </row>
    <row r="779" spans="1:17" hidden="1" x14ac:dyDescent="0.25">
      <c r="A779" t="s">
        <v>33</v>
      </c>
      <c r="B779" t="s">
        <v>2972</v>
      </c>
      <c r="C779" t="s">
        <v>21</v>
      </c>
      <c r="D779" t="s">
        <v>2972</v>
      </c>
      <c r="E779" t="s">
        <v>1961</v>
      </c>
      <c r="F779" t="s">
        <v>2973</v>
      </c>
      <c r="G779" t="s">
        <v>24</v>
      </c>
      <c r="H779" t="s">
        <v>2974</v>
      </c>
      <c r="I779" t="s">
        <v>73</v>
      </c>
      <c r="L779" t="s">
        <v>2975</v>
      </c>
      <c r="Q779" t="s">
        <v>75</v>
      </c>
    </row>
    <row r="780" spans="1:17" hidden="1" x14ac:dyDescent="0.25">
      <c r="A780" t="s">
        <v>33</v>
      </c>
      <c r="B780" t="s">
        <v>2976</v>
      </c>
      <c r="C780" t="s">
        <v>21</v>
      </c>
      <c r="D780" t="s">
        <v>2977</v>
      </c>
      <c r="E780" t="s">
        <v>2035</v>
      </c>
      <c r="F780" t="s">
        <v>2978</v>
      </c>
      <c r="G780" t="s">
        <v>24</v>
      </c>
      <c r="H780" t="s">
        <v>2979</v>
      </c>
      <c r="I780" t="s">
        <v>46</v>
      </c>
      <c r="L780" t="s">
        <v>2925</v>
      </c>
      <c r="Q780" t="s">
        <v>48</v>
      </c>
    </row>
    <row r="781" spans="1:17" hidden="1" x14ac:dyDescent="0.25">
      <c r="A781" t="s">
        <v>33</v>
      </c>
      <c r="B781" t="s">
        <v>2980</v>
      </c>
      <c r="C781" t="s">
        <v>21</v>
      </c>
      <c r="D781" t="s">
        <v>2981</v>
      </c>
      <c r="E781" t="s">
        <v>1149</v>
      </c>
      <c r="F781" t="s">
        <v>2982</v>
      </c>
      <c r="G781" t="s">
        <v>24</v>
      </c>
      <c r="H781" t="s">
        <v>2983</v>
      </c>
      <c r="L781" t="s">
        <v>273</v>
      </c>
    </row>
    <row r="782" spans="1:17" hidden="1" x14ac:dyDescent="0.25">
      <c r="A782" t="s">
        <v>33</v>
      </c>
      <c r="B782" t="s">
        <v>2984</v>
      </c>
      <c r="C782" t="s">
        <v>21</v>
      </c>
      <c r="D782" t="s">
        <v>2985</v>
      </c>
      <c r="E782" t="s">
        <v>2090</v>
      </c>
      <c r="F782" t="s">
        <v>2986</v>
      </c>
      <c r="G782" t="s">
        <v>24</v>
      </c>
      <c r="H782" t="s">
        <v>2987</v>
      </c>
      <c r="I782" t="s">
        <v>46</v>
      </c>
      <c r="L782" t="s">
        <v>108</v>
      </c>
      <c r="Q782" t="s">
        <v>48</v>
      </c>
    </row>
    <row r="783" spans="1:17" hidden="1" x14ac:dyDescent="0.25">
      <c r="A783" t="s">
        <v>33</v>
      </c>
      <c r="B783" t="s">
        <v>2988</v>
      </c>
      <c r="C783" t="s">
        <v>21</v>
      </c>
      <c r="D783" t="s">
        <v>2988</v>
      </c>
      <c r="E783" t="s">
        <v>2989</v>
      </c>
      <c r="F783" t="s">
        <v>2990</v>
      </c>
      <c r="G783" t="s">
        <v>24</v>
      </c>
      <c r="H783" t="s">
        <v>2991</v>
      </c>
      <c r="I783" t="s">
        <v>46</v>
      </c>
      <c r="L783" t="s">
        <v>185</v>
      </c>
      <c r="Q783" t="s">
        <v>48</v>
      </c>
    </row>
    <row r="784" spans="1:17" hidden="1" x14ac:dyDescent="0.25">
      <c r="A784" t="s">
        <v>33</v>
      </c>
      <c r="B784" t="s">
        <v>2992</v>
      </c>
      <c r="C784" t="s">
        <v>21</v>
      </c>
      <c r="D784" t="s">
        <v>2992</v>
      </c>
      <c r="E784" t="s">
        <v>2993</v>
      </c>
      <c r="F784" t="s">
        <v>330</v>
      </c>
      <c r="G784" t="s">
        <v>24</v>
      </c>
      <c r="H784" t="s">
        <v>2994</v>
      </c>
      <c r="I784" t="s">
        <v>73</v>
      </c>
      <c r="L784" t="s">
        <v>697</v>
      </c>
      <c r="Q784" t="s">
        <v>75</v>
      </c>
    </row>
    <row r="785" spans="1:17" hidden="1" x14ac:dyDescent="0.25">
      <c r="A785" t="s">
        <v>33</v>
      </c>
      <c r="B785" t="s">
        <v>2995</v>
      </c>
      <c r="C785" t="s">
        <v>21</v>
      </c>
      <c r="D785" t="s">
        <v>2996</v>
      </c>
      <c r="E785" t="s">
        <v>796</v>
      </c>
      <c r="F785" t="s">
        <v>2997</v>
      </c>
      <c r="G785" t="s">
        <v>24</v>
      </c>
      <c r="H785" t="s">
        <v>2998</v>
      </c>
      <c r="I785" t="s">
        <v>73</v>
      </c>
      <c r="L785" t="s">
        <v>38</v>
      </c>
      <c r="Q785" t="s">
        <v>75</v>
      </c>
    </row>
    <row r="786" spans="1:17" hidden="1" x14ac:dyDescent="0.25">
      <c r="A786" t="s">
        <v>33</v>
      </c>
      <c r="B786" t="s">
        <v>2999</v>
      </c>
      <c r="C786" t="s">
        <v>21</v>
      </c>
      <c r="D786" t="s">
        <v>2999</v>
      </c>
      <c r="E786" t="s">
        <v>3000</v>
      </c>
      <c r="F786" t="s">
        <v>3001</v>
      </c>
      <c r="G786" t="s">
        <v>24</v>
      </c>
      <c r="H786" t="s">
        <v>3002</v>
      </c>
      <c r="L786" t="s">
        <v>2592</v>
      </c>
    </row>
    <row r="787" spans="1:17" hidden="1" x14ac:dyDescent="0.25">
      <c r="A787" t="s">
        <v>33</v>
      </c>
      <c r="B787" t="s">
        <v>3003</v>
      </c>
      <c r="C787" t="s">
        <v>21</v>
      </c>
      <c r="D787" t="s">
        <v>3003</v>
      </c>
      <c r="E787" t="s">
        <v>3004</v>
      </c>
      <c r="F787" t="s">
        <v>3005</v>
      </c>
      <c r="G787" t="s">
        <v>24</v>
      </c>
      <c r="H787" t="s">
        <v>3006</v>
      </c>
      <c r="L787" t="s">
        <v>185</v>
      </c>
    </row>
    <row r="788" spans="1:17" hidden="1" x14ac:dyDescent="0.25">
      <c r="A788" t="s">
        <v>33</v>
      </c>
      <c r="B788" t="s">
        <v>3007</v>
      </c>
      <c r="C788" t="s">
        <v>21</v>
      </c>
      <c r="D788" t="s">
        <v>3007</v>
      </c>
      <c r="E788" t="s">
        <v>3008</v>
      </c>
      <c r="F788" t="s">
        <v>3009</v>
      </c>
      <c r="G788" t="s">
        <v>24</v>
      </c>
      <c r="H788" t="s">
        <v>3010</v>
      </c>
      <c r="L788" t="s">
        <v>38</v>
      </c>
    </row>
    <row r="789" spans="1:17" hidden="1" x14ac:dyDescent="0.25">
      <c r="A789" t="s">
        <v>33</v>
      </c>
      <c r="B789" t="s">
        <v>3011</v>
      </c>
      <c r="C789" t="s">
        <v>29</v>
      </c>
      <c r="D789" t="s">
        <v>3012</v>
      </c>
      <c r="E789" t="s">
        <v>1362</v>
      </c>
      <c r="F789" t="s">
        <v>482</v>
      </c>
      <c r="G789" t="s">
        <v>24</v>
      </c>
      <c r="H789" t="s">
        <v>3013</v>
      </c>
      <c r="I789" t="s">
        <v>46</v>
      </c>
      <c r="L789" t="s">
        <v>397</v>
      </c>
      <c r="Q789" t="s">
        <v>48</v>
      </c>
    </row>
    <row r="790" spans="1:17" hidden="1" x14ac:dyDescent="0.25">
      <c r="A790" t="s">
        <v>33</v>
      </c>
      <c r="B790" t="s">
        <v>3014</v>
      </c>
      <c r="C790" t="s">
        <v>21</v>
      </c>
      <c r="D790" t="s">
        <v>3014</v>
      </c>
      <c r="E790" t="s">
        <v>3008</v>
      </c>
      <c r="F790" t="s">
        <v>3009</v>
      </c>
      <c r="G790" t="s">
        <v>24</v>
      </c>
      <c r="H790" t="s">
        <v>3015</v>
      </c>
      <c r="I790" t="s">
        <v>46</v>
      </c>
      <c r="L790" t="s">
        <v>38</v>
      </c>
      <c r="Q790" t="s">
        <v>48</v>
      </c>
    </row>
    <row r="791" spans="1:17" hidden="1" x14ac:dyDescent="0.25">
      <c r="A791" t="s">
        <v>33</v>
      </c>
      <c r="B791" t="s">
        <v>3016</v>
      </c>
      <c r="C791" t="s">
        <v>21</v>
      </c>
      <c r="D791" t="s">
        <v>3016</v>
      </c>
      <c r="E791" t="s">
        <v>1015</v>
      </c>
      <c r="F791" t="s">
        <v>3017</v>
      </c>
      <c r="G791" t="s">
        <v>24</v>
      </c>
      <c r="H791" t="s">
        <v>3018</v>
      </c>
      <c r="I791" t="s">
        <v>73</v>
      </c>
      <c r="L791" t="s">
        <v>38</v>
      </c>
      <c r="Q791" t="s">
        <v>75</v>
      </c>
    </row>
    <row r="792" spans="1:17" hidden="1" x14ac:dyDescent="0.25">
      <c r="A792" t="s">
        <v>33</v>
      </c>
      <c r="B792" t="s">
        <v>3019</v>
      </c>
      <c r="C792" t="s">
        <v>21</v>
      </c>
      <c r="D792" t="s">
        <v>3019</v>
      </c>
      <c r="E792" t="s">
        <v>178</v>
      </c>
      <c r="F792" t="s">
        <v>3020</v>
      </c>
      <c r="G792" t="s">
        <v>24</v>
      </c>
      <c r="H792" t="s">
        <v>3021</v>
      </c>
      <c r="I792" t="s">
        <v>46</v>
      </c>
      <c r="L792" t="s">
        <v>3022</v>
      </c>
      <c r="Q792" t="s">
        <v>48</v>
      </c>
    </row>
    <row r="793" spans="1:17" hidden="1" x14ac:dyDescent="0.25">
      <c r="A793" t="s">
        <v>33</v>
      </c>
      <c r="B793" t="s">
        <v>3023</v>
      </c>
      <c r="C793" t="s">
        <v>21</v>
      </c>
      <c r="D793" t="s">
        <v>3023</v>
      </c>
      <c r="E793" t="s">
        <v>723</v>
      </c>
      <c r="F793" t="s">
        <v>3024</v>
      </c>
      <c r="G793" t="s">
        <v>24</v>
      </c>
      <c r="H793" t="s">
        <v>3025</v>
      </c>
      <c r="I793" t="s">
        <v>46</v>
      </c>
      <c r="L793" t="s">
        <v>207</v>
      </c>
      <c r="Q793" t="s">
        <v>48</v>
      </c>
    </row>
    <row r="794" spans="1:17" hidden="1" x14ac:dyDescent="0.25">
      <c r="A794" t="s">
        <v>33</v>
      </c>
      <c r="B794" t="s">
        <v>3026</v>
      </c>
      <c r="C794" t="s">
        <v>21</v>
      </c>
      <c r="D794" t="s">
        <v>3026</v>
      </c>
      <c r="E794" t="s">
        <v>135</v>
      </c>
      <c r="F794" t="s">
        <v>3027</v>
      </c>
      <c r="G794" t="s">
        <v>24</v>
      </c>
      <c r="H794" t="s">
        <v>3028</v>
      </c>
      <c r="I794" t="s">
        <v>46</v>
      </c>
      <c r="L794" t="s">
        <v>914</v>
      </c>
      <c r="Q794" t="s">
        <v>48</v>
      </c>
    </row>
    <row r="795" spans="1:17" hidden="1" x14ac:dyDescent="0.25">
      <c r="A795" t="s">
        <v>33</v>
      </c>
      <c r="B795" t="s">
        <v>3029</v>
      </c>
      <c r="C795" t="s">
        <v>21</v>
      </c>
      <c r="D795" t="s">
        <v>3030</v>
      </c>
      <c r="E795" t="s">
        <v>3031</v>
      </c>
      <c r="F795" t="s">
        <v>3032</v>
      </c>
      <c r="G795" t="s">
        <v>24</v>
      </c>
      <c r="H795" t="s">
        <v>3033</v>
      </c>
      <c r="I795" t="s">
        <v>46</v>
      </c>
      <c r="L795" t="s">
        <v>148</v>
      </c>
      <c r="Q795" t="s">
        <v>48</v>
      </c>
    </row>
    <row r="796" spans="1:17" hidden="1" x14ac:dyDescent="0.25">
      <c r="A796" t="s">
        <v>33</v>
      </c>
      <c r="B796" t="s">
        <v>3034</v>
      </c>
      <c r="C796" t="s">
        <v>21</v>
      </c>
      <c r="D796" t="s">
        <v>3035</v>
      </c>
      <c r="E796" t="s">
        <v>3036</v>
      </c>
      <c r="F796" t="s">
        <v>3037</v>
      </c>
      <c r="G796" t="s">
        <v>24</v>
      </c>
      <c r="H796" t="s">
        <v>3038</v>
      </c>
      <c r="I796" t="s">
        <v>46</v>
      </c>
      <c r="L796" t="s">
        <v>2014</v>
      </c>
      <c r="Q796" t="s">
        <v>48</v>
      </c>
    </row>
    <row r="797" spans="1:17" hidden="1" x14ac:dyDescent="0.25">
      <c r="A797" t="s">
        <v>33</v>
      </c>
      <c r="B797" t="s">
        <v>3039</v>
      </c>
      <c r="C797" t="s">
        <v>21</v>
      </c>
      <c r="D797" t="s">
        <v>3039</v>
      </c>
      <c r="E797" t="s">
        <v>3040</v>
      </c>
      <c r="F797" t="s">
        <v>3041</v>
      </c>
      <c r="G797" t="s">
        <v>24</v>
      </c>
      <c r="H797" t="s">
        <v>3042</v>
      </c>
      <c r="I797" t="s">
        <v>46</v>
      </c>
      <c r="L797" t="s">
        <v>38</v>
      </c>
      <c r="Q797" t="s">
        <v>48</v>
      </c>
    </row>
    <row r="798" spans="1:17" hidden="1" x14ac:dyDescent="0.25">
      <c r="A798" t="s">
        <v>33</v>
      </c>
      <c r="B798" t="s">
        <v>3043</v>
      </c>
      <c r="C798" t="s">
        <v>29</v>
      </c>
      <c r="D798" t="s">
        <v>3043</v>
      </c>
      <c r="E798" t="s">
        <v>660</v>
      </c>
      <c r="F798" t="s">
        <v>2901</v>
      </c>
      <c r="G798" t="s">
        <v>24</v>
      </c>
      <c r="H798" s="1" t="s">
        <v>3044</v>
      </c>
    </row>
    <row r="799" spans="1:17" hidden="1" x14ac:dyDescent="0.25">
      <c r="A799" t="s">
        <v>33</v>
      </c>
      <c r="B799" t="s">
        <v>3045</v>
      </c>
      <c r="C799" t="s">
        <v>21</v>
      </c>
      <c r="D799" t="s">
        <v>3045</v>
      </c>
      <c r="E799" t="s">
        <v>3046</v>
      </c>
      <c r="F799" t="s">
        <v>3047</v>
      </c>
      <c r="G799" t="s">
        <v>24</v>
      </c>
      <c r="H799" s="1" t="s">
        <v>3048</v>
      </c>
      <c r="I799" t="s">
        <v>46</v>
      </c>
      <c r="L799" t="s">
        <v>38</v>
      </c>
      <c r="Q799" t="s">
        <v>48</v>
      </c>
    </row>
    <row r="800" spans="1:17" hidden="1" x14ac:dyDescent="0.25">
      <c r="A800" t="s">
        <v>33</v>
      </c>
      <c r="B800" t="s">
        <v>3049</v>
      </c>
      <c r="C800" t="s">
        <v>21</v>
      </c>
      <c r="D800" t="s">
        <v>3049</v>
      </c>
      <c r="E800" t="s">
        <v>449</v>
      </c>
      <c r="F800" t="s">
        <v>3050</v>
      </c>
      <c r="G800" t="s">
        <v>24</v>
      </c>
      <c r="H800" t="s">
        <v>3051</v>
      </c>
      <c r="L800" t="s">
        <v>1433</v>
      </c>
    </row>
    <row r="801" spans="1:17" hidden="1" x14ac:dyDescent="0.25">
      <c r="A801" t="s">
        <v>33</v>
      </c>
      <c r="B801" t="s">
        <v>3052</v>
      </c>
      <c r="C801" t="s">
        <v>21</v>
      </c>
      <c r="D801" t="s">
        <v>3052</v>
      </c>
      <c r="E801" t="s">
        <v>3053</v>
      </c>
      <c r="F801" t="s">
        <v>822</v>
      </c>
      <c r="G801" t="s">
        <v>24</v>
      </c>
      <c r="H801" t="s">
        <v>3054</v>
      </c>
      <c r="I801" t="s">
        <v>46</v>
      </c>
      <c r="L801" t="s">
        <v>389</v>
      </c>
      <c r="Q801" t="s">
        <v>48</v>
      </c>
    </row>
    <row r="802" spans="1:17" hidden="1" x14ac:dyDescent="0.25">
      <c r="A802" t="s">
        <v>33</v>
      </c>
      <c r="B802" t="s">
        <v>3055</v>
      </c>
      <c r="C802" t="s">
        <v>29</v>
      </c>
      <c r="D802" t="s">
        <v>3055</v>
      </c>
      <c r="E802" t="s">
        <v>1738</v>
      </c>
      <c r="F802" t="s">
        <v>3056</v>
      </c>
      <c r="G802" t="s">
        <v>24</v>
      </c>
      <c r="H802" t="s">
        <v>3057</v>
      </c>
      <c r="L802" t="s">
        <v>246</v>
      </c>
    </row>
    <row r="803" spans="1:17" hidden="1" x14ac:dyDescent="0.25">
      <c r="A803" t="s">
        <v>33</v>
      </c>
      <c r="B803" t="s">
        <v>3058</v>
      </c>
      <c r="C803" t="s">
        <v>29</v>
      </c>
      <c r="D803" t="s">
        <v>3058</v>
      </c>
      <c r="E803" t="s">
        <v>3059</v>
      </c>
      <c r="F803" t="s">
        <v>111</v>
      </c>
      <c r="G803" t="s">
        <v>24</v>
      </c>
      <c r="H803" t="s">
        <v>3060</v>
      </c>
      <c r="I803" t="s">
        <v>46</v>
      </c>
      <c r="L803" t="s">
        <v>246</v>
      </c>
      <c r="Q803" t="s">
        <v>48</v>
      </c>
    </row>
    <row r="804" spans="1:17" hidden="1" x14ac:dyDescent="0.25">
      <c r="A804" t="s">
        <v>33</v>
      </c>
      <c r="B804" t="s">
        <v>3061</v>
      </c>
      <c r="C804" t="s">
        <v>21</v>
      </c>
      <c r="D804" t="s">
        <v>3061</v>
      </c>
      <c r="E804" t="s">
        <v>519</v>
      </c>
      <c r="F804" t="s">
        <v>3062</v>
      </c>
      <c r="G804" t="s">
        <v>24</v>
      </c>
      <c r="H804" t="s">
        <v>3063</v>
      </c>
      <c r="I804" t="s">
        <v>46</v>
      </c>
      <c r="L804" t="s">
        <v>148</v>
      </c>
      <c r="Q804" t="s">
        <v>48</v>
      </c>
    </row>
    <row r="805" spans="1:17" hidden="1" x14ac:dyDescent="0.25">
      <c r="A805" t="s">
        <v>33</v>
      </c>
      <c r="B805" t="s">
        <v>3064</v>
      </c>
      <c r="C805" t="s">
        <v>21</v>
      </c>
      <c r="D805" t="s">
        <v>3064</v>
      </c>
      <c r="E805" t="s">
        <v>1125</v>
      </c>
      <c r="F805" t="s">
        <v>792</v>
      </c>
      <c r="G805" t="s">
        <v>24</v>
      </c>
      <c r="H805" t="s">
        <v>3065</v>
      </c>
      <c r="I805" t="s">
        <v>46</v>
      </c>
      <c r="L805" t="s">
        <v>808</v>
      </c>
      <c r="Q805" t="s">
        <v>48</v>
      </c>
    </row>
    <row r="806" spans="1:17" hidden="1" x14ac:dyDescent="0.25">
      <c r="A806" t="s">
        <v>33</v>
      </c>
      <c r="B806" t="s">
        <v>3066</v>
      </c>
      <c r="C806" t="s">
        <v>21</v>
      </c>
      <c r="D806" t="s">
        <v>3066</v>
      </c>
      <c r="E806" t="s">
        <v>872</v>
      </c>
      <c r="F806" t="s">
        <v>3067</v>
      </c>
      <c r="G806" t="s">
        <v>24</v>
      </c>
      <c r="H806" t="s">
        <v>3068</v>
      </c>
      <c r="I806" t="s">
        <v>46</v>
      </c>
      <c r="L806" t="s">
        <v>273</v>
      </c>
      <c r="Q806" t="s">
        <v>48</v>
      </c>
    </row>
    <row r="807" spans="1:17" hidden="1" x14ac:dyDescent="0.25">
      <c r="A807" t="s">
        <v>33</v>
      </c>
      <c r="B807" t="s">
        <v>3069</v>
      </c>
      <c r="C807" t="s">
        <v>21</v>
      </c>
      <c r="D807" t="s">
        <v>3070</v>
      </c>
      <c r="E807" t="s">
        <v>3071</v>
      </c>
      <c r="F807" t="s">
        <v>3072</v>
      </c>
      <c r="G807" t="s">
        <v>24</v>
      </c>
      <c r="H807" t="s">
        <v>3073</v>
      </c>
      <c r="I807" t="s">
        <v>46</v>
      </c>
      <c r="L807" t="s">
        <v>273</v>
      </c>
      <c r="Q807" t="s">
        <v>48</v>
      </c>
    </row>
    <row r="808" spans="1:17" hidden="1" x14ac:dyDescent="0.25">
      <c r="A808" t="s">
        <v>33</v>
      </c>
      <c r="B808" t="s">
        <v>3074</v>
      </c>
      <c r="C808" t="s">
        <v>21</v>
      </c>
      <c r="D808" t="s">
        <v>3074</v>
      </c>
      <c r="E808" t="s">
        <v>275</v>
      </c>
      <c r="F808" t="s">
        <v>1538</v>
      </c>
      <c r="G808" t="s">
        <v>24</v>
      </c>
      <c r="H808" t="s">
        <v>3075</v>
      </c>
      <c r="I808" t="s">
        <v>46</v>
      </c>
      <c r="L808" t="s">
        <v>389</v>
      </c>
      <c r="Q808" t="s">
        <v>48</v>
      </c>
    </row>
    <row r="809" spans="1:17" hidden="1" x14ac:dyDescent="0.25">
      <c r="A809" t="s">
        <v>33</v>
      </c>
      <c r="B809" t="s">
        <v>3076</v>
      </c>
      <c r="C809" t="s">
        <v>21</v>
      </c>
      <c r="D809" t="s">
        <v>3076</v>
      </c>
      <c r="E809" t="s">
        <v>1883</v>
      </c>
      <c r="F809" t="s">
        <v>792</v>
      </c>
      <c r="G809" t="s">
        <v>24</v>
      </c>
      <c r="H809" t="s">
        <v>3077</v>
      </c>
      <c r="I809" t="s">
        <v>46</v>
      </c>
      <c r="J809" t="s">
        <v>26</v>
      </c>
      <c r="Q809" t="s">
        <v>48</v>
      </c>
    </row>
    <row r="810" spans="1:17" hidden="1" x14ac:dyDescent="0.25">
      <c r="A810" t="s">
        <v>33</v>
      </c>
      <c r="B810" t="s">
        <v>3078</v>
      </c>
      <c r="C810" t="s">
        <v>21</v>
      </c>
      <c r="D810" t="s">
        <v>3078</v>
      </c>
      <c r="E810" t="s">
        <v>1537</v>
      </c>
      <c r="F810" t="s">
        <v>3079</v>
      </c>
      <c r="G810" t="s">
        <v>24</v>
      </c>
      <c r="H810" t="s">
        <v>3080</v>
      </c>
      <c r="I810" t="s">
        <v>46</v>
      </c>
      <c r="L810" t="s">
        <v>309</v>
      </c>
      <c r="Q810" t="s">
        <v>48</v>
      </c>
    </row>
    <row r="811" spans="1:17" hidden="1" x14ac:dyDescent="0.25">
      <c r="A811" t="s">
        <v>33</v>
      </c>
      <c r="B811" t="s">
        <v>3081</v>
      </c>
      <c r="C811" t="s">
        <v>21</v>
      </c>
      <c r="D811" t="s">
        <v>3081</v>
      </c>
      <c r="E811" t="s">
        <v>159</v>
      </c>
      <c r="F811" t="s">
        <v>3082</v>
      </c>
      <c r="G811" t="s">
        <v>24</v>
      </c>
      <c r="H811" t="s">
        <v>3083</v>
      </c>
      <c r="L811" t="s">
        <v>620</v>
      </c>
    </row>
    <row r="812" spans="1:17" hidden="1" x14ac:dyDescent="0.25">
      <c r="A812" t="s">
        <v>33</v>
      </c>
      <c r="B812" t="s">
        <v>3084</v>
      </c>
      <c r="C812" t="s">
        <v>29</v>
      </c>
      <c r="D812" t="s">
        <v>3084</v>
      </c>
      <c r="E812" t="s">
        <v>77</v>
      </c>
      <c r="F812" t="s">
        <v>1431</v>
      </c>
      <c r="G812" t="s">
        <v>24</v>
      </c>
      <c r="H812" t="s">
        <v>3085</v>
      </c>
    </row>
    <row r="813" spans="1:17" hidden="1" x14ac:dyDescent="0.25">
      <c r="A813" t="s">
        <v>33</v>
      </c>
      <c r="B813" t="s">
        <v>3086</v>
      </c>
      <c r="C813" t="s">
        <v>92</v>
      </c>
      <c r="D813" t="s">
        <v>3087</v>
      </c>
      <c r="E813" t="s">
        <v>338</v>
      </c>
      <c r="F813" t="s">
        <v>3088</v>
      </c>
      <c r="G813" t="s">
        <v>24</v>
      </c>
      <c r="H813" t="s">
        <v>3089</v>
      </c>
      <c r="I813" t="s">
        <v>73</v>
      </c>
      <c r="L813" t="s">
        <v>1115</v>
      </c>
      <c r="Q813" t="s">
        <v>75</v>
      </c>
    </row>
    <row r="814" spans="1:17" hidden="1" x14ac:dyDescent="0.25">
      <c r="A814" t="s">
        <v>33</v>
      </c>
      <c r="B814" t="s">
        <v>3090</v>
      </c>
      <c r="C814" t="s">
        <v>21</v>
      </c>
      <c r="D814" t="s">
        <v>3090</v>
      </c>
      <c r="E814" t="s">
        <v>3091</v>
      </c>
      <c r="F814" t="s">
        <v>3092</v>
      </c>
      <c r="G814" t="s">
        <v>24</v>
      </c>
      <c r="H814" t="s">
        <v>3093</v>
      </c>
      <c r="I814" t="s">
        <v>46</v>
      </c>
      <c r="L814" t="s">
        <v>1061</v>
      </c>
      <c r="Q814" t="s">
        <v>48</v>
      </c>
    </row>
    <row r="815" spans="1:17" hidden="1" x14ac:dyDescent="0.25">
      <c r="A815" t="s">
        <v>33</v>
      </c>
      <c r="B815" t="s">
        <v>3094</v>
      </c>
      <c r="C815" t="s">
        <v>21</v>
      </c>
      <c r="D815" t="s">
        <v>3095</v>
      </c>
      <c r="E815" t="s">
        <v>213</v>
      </c>
      <c r="F815" t="s">
        <v>3096</v>
      </c>
      <c r="G815" t="s">
        <v>24</v>
      </c>
      <c r="H815" s="1" t="s">
        <v>3097</v>
      </c>
      <c r="L815" t="s">
        <v>273</v>
      </c>
    </row>
    <row r="816" spans="1:17" hidden="1" x14ac:dyDescent="0.25">
      <c r="A816" t="s">
        <v>33</v>
      </c>
      <c r="B816" t="s">
        <v>3098</v>
      </c>
      <c r="C816" t="s">
        <v>21</v>
      </c>
      <c r="D816" t="s">
        <v>3098</v>
      </c>
      <c r="E816" t="s">
        <v>3099</v>
      </c>
      <c r="F816" t="s">
        <v>3100</v>
      </c>
      <c r="G816" t="s">
        <v>24</v>
      </c>
      <c r="H816" s="1" t="s">
        <v>3101</v>
      </c>
      <c r="L816" t="s">
        <v>914</v>
      </c>
    </row>
    <row r="817" spans="1:17" hidden="1" x14ac:dyDescent="0.25">
      <c r="A817" t="s">
        <v>33</v>
      </c>
      <c r="B817" t="s">
        <v>3102</v>
      </c>
      <c r="C817" t="s">
        <v>21</v>
      </c>
      <c r="D817" t="s">
        <v>3102</v>
      </c>
      <c r="E817" t="s">
        <v>1076</v>
      </c>
      <c r="F817" t="s">
        <v>3103</v>
      </c>
      <c r="G817" t="s">
        <v>24</v>
      </c>
      <c r="H817" t="s">
        <v>3104</v>
      </c>
      <c r="I817" t="s">
        <v>46</v>
      </c>
      <c r="L817" t="s">
        <v>994</v>
      </c>
      <c r="Q817" t="s">
        <v>48</v>
      </c>
    </row>
    <row r="818" spans="1:17" hidden="1" x14ac:dyDescent="0.25">
      <c r="A818" t="s">
        <v>33</v>
      </c>
      <c r="B818" t="s">
        <v>3105</v>
      </c>
      <c r="C818" t="s">
        <v>21</v>
      </c>
      <c r="D818" t="s">
        <v>3105</v>
      </c>
      <c r="E818" t="s">
        <v>126</v>
      </c>
      <c r="F818" t="s">
        <v>78</v>
      </c>
      <c r="G818" t="s">
        <v>24</v>
      </c>
      <c r="H818" t="s">
        <v>3106</v>
      </c>
      <c r="I818" t="s">
        <v>46</v>
      </c>
      <c r="L818" t="s">
        <v>755</v>
      </c>
      <c r="Q818" t="s">
        <v>48</v>
      </c>
    </row>
    <row r="819" spans="1:17" hidden="1" x14ac:dyDescent="0.25">
      <c r="A819" t="s">
        <v>33</v>
      </c>
      <c r="B819" t="s">
        <v>3107</v>
      </c>
      <c r="C819" t="s">
        <v>21</v>
      </c>
      <c r="D819" t="s">
        <v>3107</v>
      </c>
      <c r="E819" t="s">
        <v>3108</v>
      </c>
      <c r="F819" t="s">
        <v>2445</v>
      </c>
      <c r="G819" t="s">
        <v>24</v>
      </c>
      <c r="H819" t="s">
        <v>3109</v>
      </c>
      <c r="I819" t="s">
        <v>46</v>
      </c>
      <c r="L819" t="s">
        <v>620</v>
      </c>
      <c r="Q819" t="s">
        <v>48</v>
      </c>
    </row>
    <row r="820" spans="1:17" hidden="1" x14ac:dyDescent="0.25">
      <c r="A820" t="s">
        <v>33</v>
      </c>
      <c r="B820" t="s">
        <v>3110</v>
      </c>
      <c r="C820" t="s">
        <v>21</v>
      </c>
      <c r="D820" t="s">
        <v>3111</v>
      </c>
      <c r="E820" t="s">
        <v>3112</v>
      </c>
      <c r="F820" t="s">
        <v>3113</v>
      </c>
      <c r="G820" t="s">
        <v>24</v>
      </c>
      <c r="H820" t="s">
        <v>3114</v>
      </c>
      <c r="L820" t="s">
        <v>878</v>
      </c>
    </row>
    <row r="821" spans="1:17" hidden="1" x14ac:dyDescent="0.25">
      <c r="A821" t="s">
        <v>33</v>
      </c>
      <c r="B821" t="s">
        <v>3115</v>
      </c>
      <c r="C821" t="s">
        <v>21</v>
      </c>
      <c r="D821" t="s">
        <v>3115</v>
      </c>
      <c r="E821" t="s">
        <v>626</v>
      </c>
      <c r="F821" t="s">
        <v>3116</v>
      </c>
      <c r="G821" t="s">
        <v>24</v>
      </c>
      <c r="H821" t="s">
        <v>3117</v>
      </c>
      <c r="L821" t="s">
        <v>27</v>
      </c>
    </row>
    <row r="822" spans="1:17" hidden="1" x14ac:dyDescent="0.25">
      <c r="A822" t="s">
        <v>33</v>
      </c>
      <c r="B822" t="s">
        <v>3118</v>
      </c>
      <c r="C822" t="s">
        <v>21</v>
      </c>
      <c r="D822" t="s">
        <v>3118</v>
      </c>
      <c r="E822" t="s">
        <v>2369</v>
      </c>
      <c r="F822" t="s">
        <v>3119</v>
      </c>
      <c r="G822" t="s">
        <v>24</v>
      </c>
      <c r="H822" t="s">
        <v>3120</v>
      </c>
      <c r="L822" t="s">
        <v>27</v>
      </c>
    </row>
    <row r="823" spans="1:17" hidden="1" x14ac:dyDescent="0.25">
      <c r="A823" t="s">
        <v>33</v>
      </c>
      <c r="B823" t="s">
        <v>3121</v>
      </c>
      <c r="C823" t="s">
        <v>21</v>
      </c>
      <c r="D823" t="s">
        <v>3122</v>
      </c>
      <c r="E823" t="s">
        <v>204</v>
      </c>
      <c r="F823" t="s">
        <v>3123</v>
      </c>
      <c r="G823" t="s">
        <v>24</v>
      </c>
      <c r="H823" t="s">
        <v>3124</v>
      </c>
      <c r="I823" t="s">
        <v>46</v>
      </c>
      <c r="L823" t="s">
        <v>309</v>
      </c>
      <c r="Q823" t="s">
        <v>48</v>
      </c>
    </row>
    <row r="824" spans="1:17" hidden="1" x14ac:dyDescent="0.25">
      <c r="A824" t="s">
        <v>33</v>
      </c>
      <c r="B824" t="s">
        <v>3125</v>
      </c>
      <c r="C824" t="s">
        <v>21</v>
      </c>
      <c r="D824" t="s">
        <v>3126</v>
      </c>
      <c r="E824" t="s">
        <v>778</v>
      </c>
      <c r="F824" t="s">
        <v>3127</v>
      </c>
      <c r="G824" t="s">
        <v>24</v>
      </c>
      <c r="H824" t="s">
        <v>3128</v>
      </c>
      <c r="I824" t="s">
        <v>46</v>
      </c>
      <c r="L824" t="s">
        <v>309</v>
      </c>
      <c r="Q824" t="s">
        <v>48</v>
      </c>
    </row>
    <row r="825" spans="1:17" hidden="1" x14ac:dyDescent="0.25">
      <c r="A825" t="s">
        <v>33</v>
      </c>
      <c r="B825" t="s">
        <v>3129</v>
      </c>
      <c r="C825" t="s">
        <v>21</v>
      </c>
      <c r="D825" t="s">
        <v>3129</v>
      </c>
      <c r="E825" t="s">
        <v>1557</v>
      </c>
      <c r="F825" t="s">
        <v>3130</v>
      </c>
      <c r="G825" t="s">
        <v>24</v>
      </c>
      <c r="H825" t="s">
        <v>3131</v>
      </c>
      <c r="I825" t="s">
        <v>46</v>
      </c>
      <c r="L825" t="s">
        <v>309</v>
      </c>
      <c r="Q825" t="s">
        <v>48</v>
      </c>
    </row>
    <row r="826" spans="1:17" hidden="1" x14ac:dyDescent="0.25">
      <c r="A826" t="s">
        <v>33</v>
      </c>
      <c r="B826" t="s">
        <v>3132</v>
      </c>
      <c r="C826" t="s">
        <v>21</v>
      </c>
      <c r="D826" t="s">
        <v>3133</v>
      </c>
      <c r="E826" t="s">
        <v>1189</v>
      </c>
      <c r="F826" t="s">
        <v>3134</v>
      </c>
      <c r="G826" t="s">
        <v>24</v>
      </c>
      <c r="H826" t="s">
        <v>3135</v>
      </c>
      <c r="I826" t="s">
        <v>46</v>
      </c>
      <c r="L826" t="s">
        <v>309</v>
      </c>
      <c r="Q826" t="s">
        <v>48</v>
      </c>
    </row>
    <row r="827" spans="1:17" hidden="1" x14ac:dyDescent="0.25">
      <c r="A827" t="s">
        <v>33</v>
      </c>
      <c r="B827" t="s">
        <v>3136</v>
      </c>
      <c r="C827" t="s">
        <v>21</v>
      </c>
      <c r="D827" t="s">
        <v>3137</v>
      </c>
      <c r="E827" t="s">
        <v>3138</v>
      </c>
      <c r="F827" t="s">
        <v>822</v>
      </c>
      <c r="G827" t="s">
        <v>24</v>
      </c>
      <c r="H827" t="s">
        <v>3139</v>
      </c>
      <c r="L827" t="s">
        <v>309</v>
      </c>
    </row>
    <row r="828" spans="1:17" hidden="1" x14ac:dyDescent="0.25">
      <c r="A828" t="s">
        <v>33</v>
      </c>
      <c r="B828" t="s">
        <v>3140</v>
      </c>
      <c r="C828" t="s">
        <v>21</v>
      </c>
      <c r="D828" t="s">
        <v>3141</v>
      </c>
      <c r="E828" t="s">
        <v>660</v>
      </c>
      <c r="F828" t="s">
        <v>3142</v>
      </c>
      <c r="G828" t="s">
        <v>24</v>
      </c>
      <c r="H828" t="s">
        <v>3143</v>
      </c>
    </row>
    <row r="829" spans="1:17" hidden="1" x14ac:dyDescent="0.25">
      <c r="A829" t="s">
        <v>33</v>
      </c>
      <c r="B829" t="s">
        <v>3144</v>
      </c>
      <c r="C829" t="s">
        <v>21</v>
      </c>
      <c r="D829" t="s">
        <v>3144</v>
      </c>
      <c r="E829" t="s">
        <v>1176</v>
      </c>
      <c r="F829" t="s">
        <v>3145</v>
      </c>
      <c r="G829" t="s">
        <v>24</v>
      </c>
      <c r="H829" t="s">
        <v>3146</v>
      </c>
      <c r="L829" t="s">
        <v>349</v>
      </c>
    </row>
    <row r="830" spans="1:17" hidden="1" x14ac:dyDescent="0.25">
      <c r="A830" t="s">
        <v>33</v>
      </c>
      <c r="B830" t="s">
        <v>3147</v>
      </c>
      <c r="C830" t="s">
        <v>21</v>
      </c>
      <c r="D830" t="s">
        <v>3147</v>
      </c>
      <c r="E830" t="s">
        <v>3148</v>
      </c>
      <c r="F830" t="s">
        <v>3149</v>
      </c>
      <c r="G830" t="s">
        <v>24</v>
      </c>
      <c r="H830" t="s">
        <v>3150</v>
      </c>
      <c r="I830" t="s">
        <v>46</v>
      </c>
      <c r="L830" t="s">
        <v>47</v>
      </c>
      <c r="Q830" t="s">
        <v>48</v>
      </c>
    </row>
    <row r="831" spans="1:17" hidden="1" x14ac:dyDescent="0.25">
      <c r="A831" t="s">
        <v>33</v>
      </c>
      <c r="B831" t="s">
        <v>3151</v>
      </c>
      <c r="C831" t="s">
        <v>21</v>
      </c>
      <c r="D831" t="s">
        <v>3152</v>
      </c>
      <c r="E831" t="s">
        <v>678</v>
      </c>
      <c r="F831" t="s">
        <v>3153</v>
      </c>
      <c r="G831" t="s">
        <v>24</v>
      </c>
      <c r="H831" t="s">
        <v>3154</v>
      </c>
      <c r="I831" t="s">
        <v>73</v>
      </c>
      <c r="L831" t="s">
        <v>914</v>
      </c>
      <c r="Q831" t="s">
        <v>75</v>
      </c>
    </row>
    <row r="832" spans="1:17" hidden="1" x14ac:dyDescent="0.25">
      <c r="A832" t="s">
        <v>33</v>
      </c>
      <c r="B832" t="s">
        <v>3155</v>
      </c>
      <c r="C832" t="s">
        <v>21</v>
      </c>
      <c r="D832" t="s">
        <v>3155</v>
      </c>
      <c r="E832" t="s">
        <v>3031</v>
      </c>
      <c r="F832" t="s">
        <v>3156</v>
      </c>
      <c r="G832" t="s">
        <v>24</v>
      </c>
      <c r="H832" t="s">
        <v>3157</v>
      </c>
      <c r="I832" t="s">
        <v>46</v>
      </c>
      <c r="L832" t="s">
        <v>914</v>
      </c>
      <c r="Q832" t="s">
        <v>48</v>
      </c>
    </row>
    <row r="833" spans="1:17" hidden="1" x14ac:dyDescent="0.25">
      <c r="A833" t="s">
        <v>33</v>
      </c>
      <c r="B833" t="s">
        <v>3158</v>
      </c>
      <c r="C833" t="s">
        <v>21</v>
      </c>
      <c r="D833" t="s">
        <v>3158</v>
      </c>
      <c r="E833" t="s">
        <v>894</v>
      </c>
      <c r="F833" t="s">
        <v>3159</v>
      </c>
      <c r="G833" t="s">
        <v>24</v>
      </c>
      <c r="H833" t="s">
        <v>3160</v>
      </c>
      <c r="I833" t="s">
        <v>46</v>
      </c>
      <c r="L833" t="s">
        <v>74</v>
      </c>
      <c r="Q833" t="s">
        <v>48</v>
      </c>
    </row>
    <row r="834" spans="1:17" hidden="1" x14ac:dyDescent="0.25">
      <c r="A834" t="s">
        <v>33</v>
      </c>
      <c r="B834" t="s">
        <v>3161</v>
      </c>
      <c r="C834" t="s">
        <v>21</v>
      </c>
      <c r="D834" t="s">
        <v>3161</v>
      </c>
      <c r="E834" t="s">
        <v>3162</v>
      </c>
      <c r="F834" t="s">
        <v>3163</v>
      </c>
      <c r="G834" t="s">
        <v>24</v>
      </c>
      <c r="H834" t="s">
        <v>3164</v>
      </c>
      <c r="I834" t="s">
        <v>46</v>
      </c>
      <c r="L834" t="s">
        <v>53</v>
      </c>
      <c r="Q834" t="s">
        <v>48</v>
      </c>
    </row>
    <row r="835" spans="1:17" hidden="1" x14ac:dyDescent="0.25">
      <c r="A835" t="s">
        <v>33</v>
      </c>
      <c r="B835" t="s">
        <v>3165</v>
      </c>
      <c r="C835" t="s">
        <v>29</v>
      </c>
      <c r="D835" t="s">
        <v>3165</v>
      </c>
      <c r="E835" t="s">
        <v>3166</v>
      </c>
      <c r="F835" t="s">
        <v>1565</v>
      </c>
      <c r="G835" t="s">
        <v>24</v>
      </c>
      <c r="H835" t="s">
        <v>3167</v>
      </c>
      <c r="I835" t="s">
        <v>46</v>
      </c>
      <c r="L835" t="s">
        <v>246</v>
      </c>
      <c r="Q835" t="s">
        <v>48</v>
      </c>
    </row>
    <row r="836" spans="1:17" hidden="1" x14ac:dyDescent="0.25">
      <c r="A836" t="s">
        <v>33</v>
      </c>
      <c r="B836" t="s">
        <v>3168</v>
      </c>
      <c r="C836" t="s">
        <v>21</v>
      </c>
      <c r="D836" t="s">
        <v>3168</v>
      </c>
      <c r="E836" t="s">
        <v>1357</v>
      </c>
      <c r="F836" t="s">
        <v>3169</v>
      </c>
      <c r="G836" t="s">
        <v>24</v>
      </c>
      <c r="H836" t="s">
        <v>3170</v>
      </c>
      <c r="I836" t="s">
        <v>46</v>
      </c>
      <c r="L836" t="s">
        <v>273</v>
      </c>
      <c r="Q836" t="s">
        <v>48</v>
      </c>
    </row>
    <row r="837" spans="1:17" hidden="1" x14ac:dyDescent="0.25">
      <c r="A837" t="s">
        <v>33</v>
      </c>
      <c r="B837" t="s">
        <v>3171</v>
      </c>
      <c r="C837" t="s">
        <v>21</v>
      </c>
      <c r="D837" t="s">
        <v>3171</v>
      </c>
      <c r="E837" t="s">
        <v>3172</v>
      </c>
      <c r="F837" t="s">
        <v>3173</v>
      </c>
      <c r="G837" t="s">
        <v>24</v>
      </c>
      <c r="H837" t="s">
        <v>3174</v>
      </c>
      <c r="I837" t="s">
        <v>46</v>
      </c>
      <c r="L837" t="s">
        <v>85</v>
      </c>
      <c r="Q837" t="s">
        <v>48</v>
      </c>
    </row>
    <row r="838" spans="1:17" hidden="1" x14ac:dyDescent="0.25">
      <c r="A838" t="s">
        <v>33</v>
      </c>
      <c r="B838" t="s">
        <v>3175</v>
      </c>
      <c r="C838" t="s">
        <v>21</v>
      </c>
      <c r="D838" t="s">
        <v>3176</v>
      </c>
      <c r="E838" t="s">
        <v>3177</v>
      </c>
      <c r="F838" t="s">
        <v>3178</v>
      </c>
      <c r="G838" t="s">
        <v>24</v>
      </c>
      <c r="H838" t="s">
        <v>3179</v>
      </c>
      <c r="I838" t="s">
        <v>73</v>
      </c>
      <c r="L838" t="s">
        <v>3180</v>
      </c>
      <c r="Q838" t="s">
        <v>75</v>
      </c>
    </row>
    <row r="839" spans="1:17" hidden="1" x14ac:dyDescent="0.25">
      <c r="A839" t="s">
        <v>33</v>
      </c>
      <c r="B839" t="s">
        <v>3181</v>
      </c>
      <c r="C839" t="s">
        <v>21</v>
      </c>
      <c r="D839" t="s">
        <v>3182</v>
      </c>
      <c r="E839" t="s">
        <v>3183</v>
      </c>
      <c r="F839" t="s">
        <v>3184</v>
      </c>
      <c r="G839" t="s">
        <v>24</v>
      </c>
      <c r="H839" t="s">
        <v>3185</v>
      </c>
      <c r="I839" t="s">
        <v>46</v>
      </c>
      <c r="L839" t="s">
        <v>1061</v>
      </c>
      <c r="Q839" t="s">
        <v>48</v>
      </c>
    </row>
    <row r="840" spans="1:17" hidden="1" x14ac:dyDescent="0.25">
      <c r="A840" t="s">
        <v>33</v>
      </c>
      <c r="B840" t="s">
        <v>3186</v>
      </c>
      <c r="C840" t="s">
        <v>21</v>
      </c>
      <c r="D840" t="s">
        <v>3186</v>
      </c>
      <c r="E840" t="s">
        <v>735</v>
      </c>
      <c r="F840" t="s">
        <v>3187</v>
      </c>
      <c r="G840" t="s">
        <v>24</v>
      </c>
      <c r="H840" t="s">
        <v>3188</v>
      </c>
      <c r="I840" t="s">
        <v>46</v>
      </c>
      <c r="L840" t="s">
        <v>697</v>
      </c>
      <c r="Q840" t="s">
        <v>48</v>
      </c>
    </row>
    <row r="841" spans="1:17" hidden="1" x14ac:dyDescent="0.25">
      <c r="A841" t="s">
        <v>19</v>
      </c>
      <c r="B841" t="s">
        <v>3189</v>
      </c>
      <c r="C841" t="s">
        <v>3190</v>
      </c>
      <c r="D841" t="s">
        <v>3189</v>
      </c>
      <c r="E841" t="s">
        <v>626</v>
      </c>
      <c r="F841" t="s">
        <v>3116</v>
      </c>
      <c r="G841" t="s">
        <v>2391</v>
      </c>
      <c r="H841" t="s">
        <v>3191</v>
      </c>
      <c r="L841" t="s">
        <v>27</v>
      </c>
    </row>
    <row r="842" spans="1:17" hidden="1" x14ac:dyDescent="0.25">
      <c r="A842" t="s">
        <v>33</v>
      </c>
      <c r="B842" t="s">
        <v>3192</v>
      </c>
      <c r="C842" t="s">
        <v>21</v>
      </c>
      <c r="D842" t="s">
        <v>3192</v>
      </c>
      <c r="E842" t="s">
        <v>324</v>
      </c>
      <c r="F842" t="s">
        <v>3193</v>
      </c>
      <c r="G842" t="s">
        <v>24</v>
      </c>
      <c r="H842" t="s">
        <v>3194</v>
      </c>
      <c r="I842" t="s">
        <v>46</v>
      </c>
      <c r="L842" t="s">
        <v>273</v>
      </c>
      <c r="Q842" t="s">
        <v>48</v>
      </c>
    </row>
    <row r="843" spans="1:17" hidden="1" x14ac:dyDescent="0.25">
      <c r="A843" t="s">
        <v>33</v>
      </c>
      <c r="B843" t="s">
        <v>3195</v>
      </c>
      <c r="C843" t="s">
        <v>21</v>
      </c>
      <c r="D843" t="s">
        <v>3195</v>
      </c>
      <c r="E843" t="s">
        <v>126</v>
      </c>
      <c r="F843" t="s">
        <v>3196</v>
      </c>
      <c r="G843" t="s">
        <v>24</v>
      </c>
      <c r="H843" t="s">
        <v>3197</v>
      </c>
      <c r="I843" t="s">
        <v>46</v>
      </c>
      <c r="L843" t="s">
        <v>1061</v>
      </c>
      <c r="Q843" t="s">
        <v>48</v>
      </c>
    </row>
    <row r="844" spans="1:17" hidden="1" x14ac:dyDescent="0.25">
      <c r="A844" t="s">
        <v>33</v>
      </c>
      <c r="B844" t="s">
        <v>3198</v>
      </c>
      <c r="C844" t="s">
        <v>21</v>
      </c>
      <c r="D844" t="s">
        <v>3198</v>
      </c>
      <c r="E844" t="s">
        <v>3199</v>
      </c>
      <c r="F844" t="s">
        <v>3200</v>
      </c>
      <c r="G844" t="s">
        <v>24</v>
      </c>
      <c r="H844" t="s">
        <v>3201</v>
      </c>
      <c r="I844" t="s">
        <v>46</v>
      </c>
      <c r="L844" t="s">
        <v>2329</v>
      </c>
      <c r="Q844" t="s">
        <v>48</v>
      </c>
    </row>
    <row r="845" spans="1:17" hidden="1" x14ac:dyDescent="0.25">
      <c r="A845" t="s">
        <v>33</v>
      </c>
      <c r="B845" t="s">
        <v>3202</v>
      </c>
      <c r="C845" t="s">
        <v>21</v>
      </c>
      <c r="D845" t="s">
        <v>3202</v>
      </c>
      <c r="E845" t="s">
        <v>3203</v>
      </c>
      <c r="F845" t="s">
        <v>3204</v>
      </c>
      <c r="G845" t="s">
        <v>24</v>
      </c>
      <c r="H845" t="s">
        <v>3205</v>
      </c>
      <c r="I845" t="s">
        <v>3206</v>
      </c>
      <c r="L845" t="s">
        <v>38</v>
      </c>
      <c r="Q845" t="s">
        <v>3207</v>
      </c>
    </row>
    <row r="846" spans="1:17" hidden="1" x14ac:dyDescent="0.25">
      <c r="A846" t="s">
        <v>33</v>
      </c>
      <c r="B846" t="s">
        <v>3208</v>
      </c>
      <c r="C846" t="s">
        <v>21</v>
      </c>
      <c r="D846" t="s">
        <v>3209</v>
      </c>
      <c r="E846" t="s">
        <v>3210</v>
      </c>
      <c r="F846" t="s">
        <v>1565</v>
      </c>
      <c r="G846" t="s">
        <v>24</v>
      </c>
      <c r="H846" t="s">
        <v>3211</v>
      </c>
      <c r="L846" t="s">
        <v>1402</v>
      </c>
    </row>
    <row r="847" spans="1:17" hidden="1" x14ac:dyDescent="0.25">
      <c r="A847" t="s">
        <v>33</v>
      </c>
      <c r="B847" t="s">
        <v>3212</v>
      </c>
      <c r="C847" t="s">
        <v>21</v>
      </c>
      <c r="D847" t="s">
        <v>3212</v>
      </c>
      <c r="E847" t="s">
        <v>3213</v>
      </c>
      <c r="F847" t="s">
        <v>3214</v>
      </c>
      <c r="G847" t="s">
        <v>24</v>
      </c>
      <c r="H847" t="s">
        <v>3215</v>
      </c>
      <c r="I847" t="s">
        <v>46</v>
      </c>
      <c r="L847" t="s">
        <v>273</v>
      </c>
      <c r="Q847" t="s">
        <v>48</v>
      </c>
    </row>
    <row r="848" spans="1:17" hidden="1" x14ac:dyDescent="0.25">
      <c r="A848" t="s">
        <v>33</v>
      </c>
      <c r="B848" t="s">
        <v>3216</v>
      </c>
      <c r="C848" t="s">
        <v>29</v>
      </c>
      <c r="D848" t="s">
        <v>3216</v>
      </c>
      <c r="E848" t="s">
        <v>3217</v>
      </c>
      <c r="F848" t="s">
        <v>3218</v>
      </c>
      <c r="G848" t="s">
        <v>24</v>
      </c>
      <c r="H848" t="s">
        <v>3219</v>
      </c>
      <c r="I848" t="s">
        <v>46</v>
      </c>
      <c r="L848" t="s">
        <v>511</v>
      </c>
      <c r="Q848" t="s">
        <v>48</v>
      </c>
    </row>
    <row r="849" spans="1:17" hidden="1" x14ac:dyDescent="0.25">
      <c r="A849" t="s">
        <v>33</v>
      </c>
      <c r="B849" t="s">
        <v>3220</v>
      </c>
      <c r="C849" t="s">
        <v>29</v>
      </c>
      <c r="D849" t="s">
        <v>3221</v>
      </c>
      <c r="E849" t="s">
        <v>3222</v>
      </c>
      <c r="F849" t="s">
        <v>3223</v>
      </c>
      <c r="G849" t="s">
        <v>24</v>
      </c>
      <c r="H849" t="s">
        <v>3224</v>
      </c>
      <c r="I849" t="s">
        <v>46</v>
      </c>
      <c r="L849" t="s">
        <v>246</v>
      </c>
      <c r="Q849" t="s">
        <v>48</v>
      </c>
    </row>
    <row r="850" spans="1:17" hidden="1" x14ac:dyDescent="0.25">
      <c r="A850" t="s">
        <v>33</v>
      </c>
      <c r="B850" t="s">
        <v>3225</v>
      </c>
      <c r="C850" t="s">
        <v>21</v>
      </c>
      <c r="D850" t="s">
        <v>3225</v>
      </c>
      <c r="E850" t="s">
        <v>3226</v>
      </c>
      <c r="F850" t="s">
        <v>78</v>
      </c>
      <c r="G850" t="s">
        <v>24</v>
      </c>
      <c r="H850" t="s">
        <v>3227</v>
      </c>
      <c r="I850" t="s">
        <v>46</v>
      </c>
      <c r="L850" t="s">
        <v>620</v>
      </c>
      <c r="Q850" t="s">
        <v>48</v>
      </c>
    </row>
    <row r="851" spans="1:17" hidden="1" x14ac:dyDescent="0.25">
      <c r="A851" t="s">
        <v>33</v>
      </c>
      <c r="B851" t="s">
        <v>3228</v>
      </c>
      <c r="C851" t="s">
        <v>29</v>
      </c>
      <c r="D851" t="s">
        <v>3228</v>
      </c>
      <c r="E851" t="s">
        <v>3229</v>
      </c>
      <c r="F851" t="s">
        <v>3230</v>
      </c>
      <c r="G851" t="s">
        <v>24</v>
      </c>
      <c r="H851" t="s">
        <v>3231</v>
      </c>
      <c r="I851" t="s">
        <v>46</v>
      </c>
      <c r="L851" t="s">
        <v>601</v>
      </c>
      <c r="Q851" t="s">
        <v>48</v>
      </c>
    </row>
    <row r="852" spans="1:17" hidden="1" x14ac:dyDescent="0.25">
      <c r="A852" t="s">
        <v>33</v>
      </c>
      <c r="B852" t="s">
        <v>3232</v>
      </c>
      <c r="C852" t="s">
        <v>21</v>
      </c>
      <c r="D852" t="s">
        <v>3232</v>
      </c>
      <c r="E852" t="s">
        <v>351</v>
      </c>
      <c r="F852" t="s">
        <v>295</v>
      </c>
      <c r="G852" t="s">
        <v>24</v>
      </c>
      <c r="H852" t="s">
        <v>3233</v>
      </c>
      <c r="L852" t="s">
        <v>389</v>
      </c>
    </row>
    <row r="853" spans="1:17" hidden="1" x14ac:dyDescent="0.25">
      <c r="A853" t="s">
        <v>33</v>
      </c>
      <c r="B853" t="s">
        <v>3234</v>
      </c>
      <c r="C853" t="s">
        <v>21</v>
      </c>
      <c r="D853" t="s">
        <v>3234</v>
      </c>
      <c r="E853" t="s">
        <v>3235</v>
      </c>
      <c r="F853" t="s">
        <v>3236</v>
      </c>
      <c r="G853" t="s">
        <v>2391</v>
      </c>
      <c r="H853" t="s">
        <v>3237</v>
      </c>
      <c r="I853" t="s">
        <v>73</v>
      </c>
      <c r="L853" t="s">
        <v>97</v>
      </c>
      <c r="Q853" t="s">
        <v>75</v>
      </c>
    </row>
    <row r="854" spans="1:17" hidden="1" x14ac:dyDescent="0.25">
      <c r="A854" t="s">
        <v>33</v>
      </c>
      <c r="B854" t="s">
        <v>3238</v>
      </c>
      <c r="C854" t="s">
        <v>21</v>
      </c>
      <c r="D854" t="s">
        <v>3238</v>
      </c>
      <c r="E854" t="s">
        <v>1146</v>
      </c>
      <c r="F854" t="s">
        <v>3239</v>
      </c>
      <c r="G854" t="s">
        <v>24</v>
      </c>
      <c r="H854" t="s">
        <v>3240</v>
      </c>
      <c r="I854" t="s">
        <v>46</v>
      </c>
      <c r="L854" t="s">
        <v>273</v>
      </c>
      <c r="Q854" t="s">
        <v>48</v>
      </c>
    </row>
    <row r="855" spans="1:17" hidden="1" x14ac:dyDescent="0.25">
      <c r="A855" t="s">
        <v>33</v>
      </c>
      <c r="B855" t="s">
        <v>3241</v>
      </c>
      <c r="C855" t="s">
        <v>21</v>
      </c>
      <c r="D855" t="s">
        <v>3242</v>
      </c>
      <c r="E855" t="s">
        <v>342</v>
      </c>
      <c r="F855" t="s">
        <v>1806</v>
      </c>
      <c r="G855" t="s">
        <v>24</v>
      </c>
      <c r="H855" t="s">
        <v>3243</v>
      </c>
      <c r="I855" t="s">
        <v>46</v>
      </c>
      <c r="L855" t="s">
        <v>53</v>
      </c>
      <c r="Q855" t="s">
        <v>48</v>
      </c>
    </row>
    <row r="856" spans="1:17" hidden="1" x14ac:dyDescent="0.25">
      <c r="A856" t="s">
        <v>33</v>
      </c>
      <c r="B856" t="s">
        <v>3244</v>
      </c>
      <c r="C856" t="s">
        <v>21</v>
      </c>
      <c r="D856" t="s">
        <v>3244</v>
      </c>
      <c r="E856" t="s">
        <v>424</v>
      </c>
      <c r="F856" t="s">
        <v>3245</v>
      </c>
      <c r="G856" t="s">
        <v>24</v>
      </c>
      <c r="H856" t="s">
        <v>3246</v>
      </c>
      <c r="I856" t="s">
        <v>46</v>
      </c>
      <c r="L856" t="s">
        <v>80</v>
      </c>
      <c r="Q856" t="s">
        <v>48</v>
      </c>
    </row>
    <row r="857" spans="1:17" hidden="1" x14ac:dyDescent="0.25">
      <c r="A857" t="s">
        <v>33</v>
      </c>
      <c r="B857" t="s">
        <v>3247</v>
      </c>
      <c r="C857" t="s">
        <v>29</v>
      </c>
      <c r="D857" t="s">
        <v>3248</v>
      </c>
      <c r="E857" t="s">
        <v>3249</v>
      </c>
      <c r="F857" t="s">
        <v>3250</v>
      </c>
      <c r="G857" t="s">
        <v>24</v>
      </c>
      <c r="H857" t="s">
        <v>3251</v>
      </c>
      <c r="I857" t="s">
        <v>46</v>
      </c>
      <c r="L857" t="s">
        <v>246</v>
      </c>
      <c r="Q857" t="s">
        <v>48</v>
      </c>
    </row>
    <row r="858" spans="1:17" hidden="1" x14ac:dyDescent="0.25">
      <c r="A858" t="s">
        <v>33</v>
      </c>
      <c r="B858" t="s">
        <v>3252</v>
      </c>
      <c r="C858" t="s">
        <v>21</v>
      </c>
      <c r="D858" t="s">
        <v>3252</v>
      </c>
      <c r="E858" t="s">
        <v>2104</v>
      </c>
      <c r="F858" t="s">
        <v>2041</v>
      </c>
      <c r="G858" t="s">
        <v>24</v>
      </c>
      <c r="H858" t="s">
        <v>3253</v>
      </c>
      <c r="I858" t="s">
        <v>73</v>
      </c>
      <c r="L858" t="s">
        <v>3254</v>
      </c>
      <c r="Q858" t="s">
        <v>75</v>
      </c>
    </row>
    <row r="859" spans="1:17" hidden="1" x14ac:dyDescent="0.25">
      <c r="A859" t="s">
        <v>33</v>
      </c>
      <c r="B859" t="s">
        <v>3255</v>
      </c>
      <c r="C859" t="s">
        <v>21</v>
      </c>
      <c r="D859" t="s">
        <v>3255</v>
      </c>
      <c r="E859" t="s">
        <v>660</v>
      </c>
      <c r="F859" t="s">
        <v>3256</v>
      </c>
      <c r="G859" t="s">
        <v>24</v>
      </c>
      <c r="H859" t="s">
        <v>3257</v>
      </c>
      <c r="I859" t="s">
        <v>46</v>
      </c>
      <c r="L859" t="s">
        <v>3258</v>
      </c>
      <c r="Q859" t="s">
        <v>48</v>
      </c>
    </row>
    <row r="860" spans="1:17" hidden="1" x14ac:dyDescent="0.25">
      <c r="A860" t="s">
        <v>33</v>
      </c>
      <c r="B860" t="s">
        <v>3259</v>
      </c>
      <c r="C860" t="s">
        <v>21</v>
      </c>
      <c r="D860" t="s">
        <v>3259</v>
      </c>
      <c r="E860" t="s">
        <v>275</v>
      </c>
      <c r="F860" t="s">
        <v>3260</v>
      </c>
      <c r="G860" t="s">
        <v>24</v>
      </c>
      <c r="H860" t="s">
        <v>3261</v>
      </c>
      <c r="I860" t="s">
        <v>46</v>
      </c>
      <c r="L860" t="s">
        <v>484</v>
      </c>
      <c r="Q860" t="s">
        <v>48</v>
      </c>
    </row>
    <row r="861" spans="1:17" hidden="1" x14ac:dyDescent="0.25">
      <c r="A861" t="s">
        <v>33</v>
      </c>
      <c r="B861" t="s">
        <v>3262</v>
      </c>
      <c r="C861" t="s">
        <v>21</v>
      </c>
      <c r="D861" t="s">
        <v>3262</v>
      </c>
      <c r="E861" t="s">
        <v>610</v>
      </c>
      <c r="F861" t="s">
        <v>3263</v>
      </c>
      <c r="G861" t="s">
        <v>24</v>
      </c>
      <c r="H861" t="s">
        <v>3264</v>
      </c>
      <c r="I861" t="s">
        <v>46</v>
      </c>
      <c r="L861" t="s">
        <v>1042</v>
      </c>
      <c r="Q861" t="s">
        <v>48</v>
      </c>
    </row>
    <row r="862" spans="1:17" hidden="1" x14ac:dyDescent="0.25">
      <c r="A862" t="s">
        <v>33</v>
      </c>
      <c r="B862" t="s">
        <v>3265</v>
      </c>
      <c r="C862" t="s">
        <v>21</v>
      </c>
      <c r="D862" t="s">
        <v>3265</v>
      </c>
      <c r="E862" t="s">
        <v>3266</v>
      </c>
      <c r="F862" t="s">
        <v>3267</v>
      </c>
      <c r="G862" t="s">
        <v>24</v>
      </c>
      <c r="H862" t="s">
        <v>3268</v>
      </c>
      <c r="I862" t="s">
        <v>46</v>
      </c>
      <c r="L862" t="s">
        <v>47</v>
      </c>
      <c r="Q862" t="s">
        <v>48</v>
      </c>
    </row>
    <row r="863" spans="1:17" hidden="1" x14ac:dyDescent="0.25">
      <c r="A863" t="s">
        <v>33</v>
      </c>
      <c r="B863" t="s">
        <v>3269</v>
      </c>
      <c r="C863" t="s">
        <v>21</v>
      </c>
      <c r="D863" t="s">
        <v>3269</v>
      </c>
      <c r="E863" t="s">
        <v>306</v>
      </c>
      <c r="F863" t="s">
        <v>3270</v>
      </c>
      <c r="G863" t="s">
        <v>24</v>
      </c>
      <c r="H863" t="s">
        <v>3271</v>
      </c>
      <c r="I863" t="s">
        <v>46</v>
      </c>
      <c r="L863" t="s">
        <v>80</v>
      </c>
      <c r="Q863" t="s">
        <v>48</v>
      </c>
    </row>
    <row r="864" spans="1:17" hidden="1" x14ac:dyDescent="0.25">
      <c r="A864" t="s">
        <v>33</v>
      </c>
      <c r="B864" t="s">
        <v>3272</v>
      </c>
      <c r="C864" t="s">
        <v>21</v>
      </c>
      <c r="D864" t="s">
        <v>3272</v>
      </c>
      <c r="E864" t="s">
        <v>1542</v>
      </c>
      <c r="F864" t="s">
        <v>3273</v>
      </c>
      <c r="G864" t="s">
        <v>24</v>
      </c>
      <c r="H864" t="s">
        <v>3274</v>
      </c>
      <c r="I864" t="s">
        <v>46</v>
      </c>
      <c r="L864" t="s">
        <v>484</v>
      </c>
      <c r="Q864" t="s">
        <v>48</v>
      </c>
    </row>
    <row r="865" spans="1:17" hidden="1" x14ac:dyDescent="0.25">
      <c r="A865" t="s">
        <v>33</v>
      </c>
      <c r="B865" t="s">
        <v>3275</v>
      </c>
      <c r="C865" t="s">
        <v>21</v>
      </c>
      <c r="D865" t="s">
        <v>3276</v>
      </c>
      <c r="E865" t="s">
        <v>1520</v>
      </c>
      <c r="F865" t="s">
        <v>3277</v>
      </c>
      <c r="G865" t="s">
        <v>24</v>
      </c>
      <c r="H865" t="s">
        <v>3278</v>
      </c>
      <c r="I865" t="s">
        <v>46</v>
      </c>
      <c r="L865" t="s">
        <v>2329</v>
      </c>
      <c r="Q865" t="s">
        <v>48</v>
      </c>
    </row>
    <row r="866" spans="1:17" hidden="1" x14ac:dyDescent="0.25">
      <c r="A866" t="s">
        <v>33</v>
      </c>
      <c r="B866" t="s">
        <v>3279</v>
      </c>
      <c r="C866" t="s">
        <v>21</v>
      </c>
      <c r="D866" t="s">
        <v>3279</v>
      </c>
      <c r="E866" t="s">
        <v>2910</v>
      </c>
      <c r="F866" t="s">
        <v>3280</v>
      </c>
      <c r="G866" t="s">
        <v>24</v>
      </c>
      <c r="H866" t="s">
        <v>3281</v>
      </c>
      <c r="I866" t="s">
        <v>46</v>
      </c>
      <c r="L866" t="s">
        <v>181</v>
      </c>
      <c r="Q866" t="s">
        <v>48</v>
      </c>
    </row>
    <row r="867" spans="1:17" hidden="1" x14ac:dyDescent="0.25">
      <c r="A867" t="s">
        <v>33</v>
      </c>
      <c r="B867" t="s">
        <v>3282</v>
      </c>
      <c r="C867" t="s">
        <v>21</v>
      </c>
      <c r="D867" t="s">
        <v>3282</v>
      </c>
      <c r="E867" t="s">
        <v>3283</v>
      </c>
      <c r="F867" t="s">
        <v>3284</v>
      </c>
      <c r="G867" t="s">
        <v>24</v>
      </c>
      <c r="H867" s="1" t="s">
        <v>3285</v>
      </c>
      <c r="I867" t="s">
        <v>46</v>
      </c>
      <c r="L867" t="s">
        <v>743</v>
      </c>
      <c r="Q867" t="s">
        <v>48</v>
      </c>
    </row>
    <row r="868" spans="1:17" hidden="1" x14ac:dyDescent="0.25">
      <c r="A868" t="s">
        <v>33</v>
      </c>
      <c r="B868" t="s">
        <v>3286</v>
      </c>
      <c r="C868" t="s">
        <v>21</v>
      </c>
      <c r="D868" t="s">
        <v>3286</v>
      </c>
      <c r="E868" t="s">
        <v>55</v>
      </c>
      <c r="F868" t="s">
        <v>3287</v>
      </c>
      <c r="G868" t="s">
        <v>24</v>
      </c>
      <c r="H868" t="s">
        <v>3288</v>
      </c>
      <c r="I868" t="s">
        <v>46</v>
      </c>
      <c r="L868" t="s">
        <v>819</v>
      </c>
      <c r="Q868" t="s">
        <v>48</v>
      </c>
    </row>
    <row r="869" spans="1:17" hidden="1" x14ac:dyDescent="0.25">
      <c r="A869" t="s">
        <v>33</v>
      </c>
      <c r="B869" t="s">
        <v>3289</v>
      </c>
      <c r="C869" t="s">
        <v>21</v>
      </c>
      <c r="D869" t="s">
        <v>3289</v>
      </c>
      <c r="E869" t="s">
        <v>284</v>
      </c>
      <c r="F869" t="s">
        <v>3290</v>
      </c>
      <c r="G869" t="s">
        <v>24</v>
      </c>
      <c r="H869" t="s">
        <v>3291</v>
      </c>
      <c r="I869" t="s">
        <v>46</v>
      </c>
      <c r="L869" t="s">
        <v>63</v>
      </c>
      <c r="Q869" t="s">
        <v>48</v>
      </c>
    </row>
    <row r="870" spans="1:17" hidden="1" x14ac:dyDescent="0.25">
      <c r="A870" t="s">
        <v>33</v>
      </c>
      <c r="B870" t="s">
        <v>3292</v>
      </c>
      <c r="C870" t="s">
        <v>21</v>
      </c>
      <c r="D870" t="s">
        <v>3292</v>
      </c>
      <c r="E870" t="s">
        <v>2044</v>
      </c>
      <c r="F870" t="s">
        <v>3293</v>
      </c>
      <c r="G870" t="s">
        <v>24</v>
      </c>
      <c r="H870" t="s">
        <v>3294</v>
      </c>
      <c r="I870" t="s">
        <v>46</v>
      </c>
      <c r="L870" t="s">
        <v>292</v>
      </c>
      <c r="Q870" t="s">
        <v>48</v>
      </c>
    </row>
    <row r="871" spans="1:17" hidden="1" x14ac:dyDescent="0.25">
      <c r="A871" t="s">
        <v>33</v>
      </c>
      <c r="B871" t="s">
        <v>3295</v>
      </c>
      <c r="C871" t="s">
        <v>21</v>
      </c>
      <c r="D871" t="s">
        <v>3295</v>
      </c>
      <c r="E871" t="s">
        <v>3296</v>
      </c>
      <c r="F871" t="s">
        <v>3297</v>
      </c>
      <c r="G871" t="s">
        <v>24</v>
      </c>
      <c r="H871" t="s">
        <v>3298</v>
      </c>
      <c r="I871" t="s">
        <v>46</v>
      </c>
      <c r="L871" t="s">
        <v>878</v>
      </c>
      <c r="Q871" t="s">
        <v>48</v>
      </c>
    </row>
    <row r="872" spans="1:17" hidden="1" x14ac:dyDescent="0.25">
      <c r="A872" t="s">
        <v>33</v>
      </c>
      <c r="B872" t="s">
        <v>3299</v>
      </c>
      <c r="C872" t="s">
        <v>21</v>
      </c>
      <c r="D872" t="s">
        <v>3299</v>
      </c>
      <c r="E872" t="s">
        <v>3300</v>
      </c>
      <c r="F872" t="s">
        <v>3301</v>
      </c>
      <c r="G872" t="s">
        <v>24</v>
      </c>
      <c r="H872" t="s">
        <v>3302</v>
      </c>
      <c r="I872" t="s">
        <v>73</v>
      </c>
      <c r="L872" t="s">
        <v>702</v>
      </c>
      <c r="Q872" t="s">
        <v>75</v>
      </c>
    </row>
    <row r="873" spans="1:17" hidden="1" x14ac:dyDescent="0.25">
      <c r="A873" t="s">
        <v>33</v>
      </c>
      <c r="B873" t="s">
        <v>3303</v>
      </c>
      <c r="C873" t="s">
        <v>29</v>
      </c>
      <c r="D873" t="s">
        <v>3303</v>
      </c>
      <c r="E873" t="s">
        <v>699</v>
      </c>
      <c r="F873" t="s">
        <v>3304</v>
      </c>
      <c r="G873" t="s">
        <v>24</v>
      </c>
      <c r="H873" t="s">
        <v>3305</v>
      </c>
      <c r="I873" t="s">
        <v>46</v>
      </c>
      <c r="L873" t="s">
        <v>190</v>
      </c>
      <c r="Q873" t="s">
        <v>48</v>
      </c>
    </row>
    <row r="874" spans="1:17" hidden="1" x14ac:dyDescent="0.25">
      <c r="A874" t="s">
        <v>33</v>
      </c>
      <c r="B874" t="s">
        <v>3306</v>
      </c>
      <c r="C874" t="s">
        <v>21</v>
      </c>
      <c r="D874" t="s">
        <v>3306</v>
      </c>
      <c r="E874" t="s">
        <v>363</v>
      </c>
      <c r="F874" t="s">
        <v>3307</v>
      </c>
      <c r="G874" t="s">
        <v>24</v>
      </c>
      <c r="H874" t="s">
        <v>3308</v>
      </c>
      <c r="I874" t="s">
        <v>73</v>
      </c>
      <c r="L874" t="s">
        <v>2507</v>
      </c>
      <c r="Q874" t="s">
        <v>75</v>
      </c>
    </row>
    <row r="875" spans="1:17" hidden="1" x14ac:dyDescent="0.25">
      <c r="A875" t="s">
        <v>33</v>
      </c>
      <c r="B875" t="s">
        <v>3309</v>
      </c>
      <c r="C875" t="s">
        <v>21</v>
      </c>
      <c r="D875" t="s">
        <v>3309</v>
      </c>
      <c r="E875" t="s">
        <v>126</v>
      </c>
      <c r="F875" t="s">
        <v>3310</v>
      </c>
      <c r="G875" t="s">
        <v>24</v>
      </c>
      <c r="H875" t="s">
        <v>3311</v>
      </c>
      <c r="I875" t="s">
        <v>73</v>
      </c>
      <c r="L875" t="s">
        <v>2507</v>
      </c>
      <c r="Q875" t="s">
        <v>75</v>
      </c>
    </row>
    <row r="876" spans="1:17" hidden="1" x14ac:dyDescent="0.25">
      <c r="A876" t="s">
        <v>33</v>
      </c>
      <c r="B876" t="s">
        <v>3312</v>
      </c>
      <c r="C876" t="s">
        <v>21</v>
      </c>
      <c r="D876" t="s">
        <v>3312</v>
      </c>
      <c r="E876" t="s">
        <v>3313</v>
      </c>
      <c r="F876" t="s">
        <v>3314</v>
      </c>
      <c r="G876" t="s">
        <v>24</v>
      </c>
      <c r="H876" t="s">
        <v>3315</v>
      </c>
      <c r="I876" t="s">
        <v>73</v>
      </c>
      <c r="L876" t="s">
        <v>2507</v>
      </c>
      <c r="Q876" t="s">
        <v>75</v>
      </c>
    </row>
    <row r="877" spans="1:17" hidden="1" x14ac:dyDescent="0.25">
      <c r="A877" t="s">
        <v>33</v>
      </c>
      <c r="B877" t="s">
        <v>3316</v>
      </c>
      <c r="C877" t="s">
        <v>29</v>
      </c>
      <c r="D877" t="s">
        <v>3316</v>
      </c>
      <c r="E877" t="s">
        <v>3317</v>
      </c>
      <c r="F877" t="s">
        <v>1758</v>
      </c>
      <c r="G877" t="s">
        <v>24</v>
      </c>
      <c r="H877" t="s">
        <v>3318</v>
      </c>
      <c r="L877" t="s">
        <v>2851</v>
      </c>
    </row>
    <row r="878" spans="1:17" hidden="1" x14ac:dyDescent="0.25">
      <c r="A878" t="s">
        <v>33</v>
      </c>
      <c r="B878" t="s">
        <v>3319</v>
      </c>
      <c r="C878" t="s">
        <v>21</v>
      </c>
      <c r="D878" t="s">
        <v>3319</v>
      </c>
      <c r="E878" t="s">
        <v>2277</v>
      </c>
      <c r="F878" t="s">
        <v>3320</v>
      </c>
      <c r="G878" t="s">
        <v>24</v>
      </c>
      <c r="H878" t="s">
        <v>3321</v>
      </c>
      <c r="I878" t="s">
        <v>46</v>
      </c>
      <c r="L878" t="s">
        <v>1115</v>
      </c>
      <c r="Q878" t="s">
        <v>48</v>
      </c>
    </row>
    <row r="879" spans="1:17" hidden="1" x14ac:dyDescent="0.25">
      <c r="A879" t="s">
        <v>33</v>
      </c>
      <c r="B879" t="s">
        <v>3322</v>
      </c>
      <c r="C879" t="s">
        <v>21</v>
      </c>
      <c r="D879" t="s">
        <v>3322</v>
      </c>
      <c r="E879" t="s">
        <v>3323</v>
      </c>
      <c r="F879" t="s">
        <v>3324</v>
      </c>
      <c r="G879" t="s">
        <v>24</v>
      </c>
      <c r="H879" t="s">
        <v>3325</v>
      </c>
      <c r="I879" t="s">
        <v>46</v>
      </c>
      <c r="L879" t="s">
        <v>317</v>
      </c>
      <c r="Q879" t="s">
        <v>48</v>
      </c>
    </row>
    <row r="880" spans="1:17" hidden="1" x14ac:dyDescent="0.25">
      <c r="A880" t="s">
        <v>33</v>
      </c>
      <c r="B880" t="s">
        <v>3326</v>
      </c>
      <c r="C880" t="s">
        <v>21</v>
      </c>
      <c r="D880" t="s">
        <v>3326</v>
      </c>
      <c r="E880" t="s">
        <v>3327</v>
      </c>
      <c r="F880" t="s">
        <v>3328</v>
      </c>
      <c r="G880" t="s">
        <v>24</v>
      </c>
      <c r="H880" t="s">
        <v>3329</v>
      </c>
      <c r="I880" t="s">
        <v>46</v>
      </c>
      <c r="L880" t="s">
        <v>1252</v>
      </c>
      <c r="Q880" t="s">
        <v>48</v>
      </c>
    </row>
    <row r="881" spans="1:17" hidden="1" x14ac:dyDescent="0.25">
      <c r="A881" t="s">
        <v>33</v>
      </c>
      <c r="B881" t="s">
        <v>3330</v>
      </c>
      <c r="C881" t="s">
        <v>29</v>
      </c>
      <c r="D881" t="s">
        <v>3330</v>
      </c>
      <c r="E881" t="s">
        <v>200</v>
      </c>
      <c r="F881" t="s">
        <v>3331</v>
      </c>
      <c r="G881" t="s">
        <v>24</v>
      </c>
      <c r="H881" t="s">
        <v>3332</v>
      </c>
      <c r="I881" t="s">
        <v>46</v>
      </c>
      <c r="L881" t="s">
        <v>246</v>
      </c>
      <c r="Q881" t="s">
        <v>48</v>
      </c>
    </row>
    <row r="882" spans="1:17" hidden="1" x14ac:dyDescent="0.25">
      <c r="A882" t="s">
        <v>33</v>
      </c>
      <c r="B882" t="s">
        <v>3333</v>
      </c>
      <c r="C882" t="s">
        <v>29</v>
      </c>
      <c r="D882" t="s">
        <v>3333</v>
      </c>
      <c r="E882" t="s">
        <v>1961</v>
      </c>
      <c r="F882" t="s">
        <v>3334</v>
      </c>
      <c r="G882" t="s">
        <v>24</v>
      </c>
      <c r="H882" t="s">
        <v>3335</v>
      </c>
      <c r="I882" t="s">
        <v>46</v>
      </c>
      <c r="L882" t="s">
        <v>176</v>
      </c>
      <c r="Q882" t="s">
        <v>48</v>
      </c>
    </row>
    <row r="883" spans="1:17" hidden="1" x14ac:dyDescent="0.25">
      <c r="A883" t="s">
        <v>33</v>
      </c>
      <c r="B883" t="s">
        <v>3336</v>
      </c>
      <c r="C883" t="s">
        <v>21</v>
      </c>
      <c r="D883" t="s">
        <v>3336</v>
      </c>
      <c r="E883" t="s">
        <v>898</v>
      </c>
      <c r="F883" t="s">
        <v>465</v>
      </c>
      <c r="G883" t="s">
        <v>24</v>
      </c>
      <c r="H883" t="s">
        <v>3337</v>
      </c>
      <c r="I883" t="s">
        <v>46</v>
      </c>
      <c r="L883" t="s">
        <v>629</v>
      </c>
      <c r="Q883" t="s">
        <v>48</v>
      </c>
    </row>
    <row r="884" spans="1:17" hidden="1" x14ac:dyDescent="0.25">
      <c r="A884" t="s">
        <v>33</v>
      </c>
      <c r="B884" t="s">
        <v>3338</v>
      </c>
      <c r="C884" t="s">
        <v>21</v>
      </c>
      <c r="D884" t="s">
        <v>3338</v>
      </c>
      <c r="E884" t="s">
        <v>1003</v>
      </c>
      <c r="F884" t="s">
        <v>3339</v>
      </c>
      <c r="G884" t="s">
        <v>24</v>
      </c>
      <c r="H884" t="s">
        <v>3340</v>
      </c>
      <c r="L884" t="s">
        <v>74</v>
      </c>
    </row>
    <row r="885" spans="1:17" hidden="1" x14ac:dyDescent="0.25">
      <c r="A885" t="s">
        <v>33</v>
      </c>
      <c r="B885" t="s">
        <v>3341</v>
      </c>
      <c r="C885" t="s">
        <v>21</v>
      </c>
      <c r="D885" t="s">
        <v>3341</v>
      </c>
      <c r="E885" t="s">
        <v>204</v>
      </c>
      <c r="F885" t="s">
        <v>3342</v>
      </c>
      <c r="G885" t="s">
        <v>24</v>
      </c>
      <c r="H885" t="s">
        <v>3343</v>
      </c>
      <c r="I885" t="s">
        <v>46</v>
      </c>
      <c r="L885" t="s">
        <v>2014</v>
      </c>
      <c r="Q885" t="s">
        <v>48</v>
      </c>
    </row>
    <row r="886" spans="1:17" hidden="1" x14ac:dyDescent="0.25">
      <c r="A886" t="s">
        <v>33</v>
      </c>
      <c r="B886" t="s">
        <v>3344</v>
      </c>
      <c r="C886" t="s">
        <v>21</v>
      </c>
      <c r="D886" t="s">
        <v>3344</v>
      </c>
      <c r="E886" t="s">
        <v>3345</v>
      </c>
      <c r="F886" t="s">
        <v>3346</v>
      </c>
      <c r="G886" t="s">
        <v>24</v>
      </c>
      <c r="H886" t="s">
        <v>3347</v>
      </c>
      <c r="I886" t="s">
        <v>73</v>
      </c>
      <c r="L886" t="s">
        <v>2329</v>
      </c>
      <c r="Q886" t="s">
        <v>75</v>
      </c>
    </row>
    <row r="887" spans="1:17" hidden="1" x14ac:dyDescent="0.25">
      <c r="A887" t="s">
        <v>33</v>
      </c>
      <c r="B887" t="s">
        <v>3348</v>
      </c>
      <c r="C887" t="s">
        <v>21</v>
      </c>
      <c r="D887" t="s">
        <v>3349</v>
      </c>
      <c r="E887" t="s">
        <v>3350</v>
      </c>
      <c r="F887" t="s">
        <v>3351</v>
      </c>
      <c r="G887" t="s">
        <v>24</v>
      </c>
      <c r="H887" t="s">
        <v>3352</v>
      </c>
      <c r="I887" t="s">
        <v>46</v>
      </c>
      <c r="L887" t="s">
        <v>332</v>
      </c>
      <c r="Q887" t="s">
        <v>48</v>
      </c>
    </row>
    <row r="888" spans="1:17" hidden="1" x14ac:dyDescent="0.25">
      <c r="A888" t="s">
        <v>33</v>
      </c>
      <c r="B888" t="s">
        <v>3353</v>
      </c>
      <c r="C888" t="s">
        <v>21</v>
      </c>
      <c r="D888" t="s">
        <v>3353</v>
      </c>
      <c r="E888" t="s">
        <v>966</v>
      </c>
      <c r="F888" t="s">
        <v>3354</v>
      </c>
      <c r="G888" t="s">
        <v>24</v>
      </c>
      <c r="H888" t="s">
        <v>3355</v>
      </c>
      <c r="I888" t="s">
        <v>46</v>
      </c>
      <c r="L888" t="s">
        <v>185</v>
      </c>
      <c r="Q888" t="s">
        <v>48</v>
      </c>
    </row>
    <row r="889" spans="1:17" hidden="1" x14ac:dyDescent="0.25">
      <c r="A889" t="s">
        <v>33</v>
      </c>
      <c r="B889" t="s">
        <v>3356</v>
      </c>
      <c r="C889" t="s">
        <v>21</v>
      </c>
      <c r="D889" t="s">
        <v>3356</v>
      </c>
      <c r="E889" t="s">
        <v>204</v>
      </c>
      <c r="F889" t="s">
        <v>3357</v>
      </c>
      <c r="G889" t="s">
        <v>24</v>
      </c>
      <c r="H889" t="s">
        <v>3358</v>
      </c>
      <c r="I889" t="s">
        <v>73</v>
      </c>
      <c r="L889" t="s">
        <v>824</v>
      </c>
      <c r="Q889" t="s">
        <v>75</v>
      </c>
    </row>
    <row r="890" spans="1:17" x14ac:dyDescent="0.25">
      <c r="A890" t="s">
        <v>33</v>
      </c>
      <c r="B890" t="s">
        <v>3359</v>
      </c>
      <c r="C890" t="s">
        <v>21</v>
      </c>
      <c r="D890" t="s">
        <v>3359</v>
      </c>
      <c r="E890" t="s">
        <v>2066</v>
      </c>
      <c r="F890" t="s">
        <v>3360</v>
      </c>
      <c r="G890" t="s">
        <v>24</v>
      </c>
      <c r="H890" t="s">
        <v>3361</v>
      </c>
      <c r="I890" t="s">
        <v>3362</v>
      </c>
      <c r="L890" t="s">
        <v>349</v>
      </c>
      <c r="Q890" t="s">
        <v>3363</v>
      </c>
    </row>
    <row r="891" spans="1:17" hidden="1" x14ac:dyDescent="0.25">
      <c r="A891" t="s">
        <v>33</v>
      </c>
      <c r="B891" t="s">
        <v>3364</v>
      </c>
      <c r="C891" t="s">
        <v>21</v>
      </c>
      <c r="D891" t="s">
        <v>3364</v>
      </c>
      <c r="E891" t="s">
        <v>610</v>
      </c>
      <c r="F891" t="s">
        <v>1371</v>
      </c>
      <c r="G891" t="s">
        <v>24</v>
      </c>
      <c r="H891" t="s">
        <v>3365</v>
      </c>
      <c r="I891" t="s">
        <v>46</v>
      </c>
      <c r="L891" t="s">
        <v>692</v>
      </c>
      <c r="Q891" t="s">
        <v>48</v>
      </c>
    </row>
    <row r="892" spans="1:17" hidden="1" x14ac:dyDescent="0.25">
      <c r="A892" t="s">
        <v>33</v>
      </c>
      <c r="B892" t="s">
        <v>3366</v>
      </c>
      <c r="C892" t="s">
        <v>21</v>
      </c>
      <c r="D892" t="s">
        <v>3366</v>
      </c>
      <c r="E892" t="s">
        <v>988</v>
      </c>
      <c r="F892" t="s">
        <v>3367</v>
      </c>
      <c r="G892" t="s">
        <v>24</v>
      </c>
      <c r="H892" t="s">
        <v>3368</v>
      </c>
      <c r="L892" t="s">
        <v>38</v>
      </c>
    </row>
    <row r="893" spans="1:17" x14ac:dyDescent="0.25">
      <c r="A893" t="s">
        <v>33</v>
      </c>
      <c r="B893" t="s">
        <v>3369</v>
      </c>
      <c r="C893" t="s">
        <v>21</v>
      </c>
      <c r="D893" t="s">
        <v>3369</v>
      </c>
      <c r="E893" t="s">
        <v>3031</v>
      </c>
      <c r="F893" t="s">
        <v>3370</v>
      </c>
      <c r="G893" t="s">
        <v>24</v>
      </c>
      <c r="H893" t="s">
        <v>3371</v>
      </c>
      <c r="I893" t="s">
        <v>2398</v>
      </c>
      <c r="L893" t="s">
        <v>53</v>
      </c>
      <c r="Q893" t="s">
        <v>2399</v>
      </c>
    </row>
    <row r="894" spans="1:17" hidden="1" x14ac:dyDescent="0.25">
      <c r="A894" t="s">
        <v>33</v>
      </c>
      <c r="B894" t="s">
        <v>3372</v>
      </c>
      <c r="C894" t="s">
        <v>21</v>
      </c>
      <c r="D894" t="s">
        <v>3372</v>
      </c>
      <c r="E894" t="s">
        <v>284</v>
      </c>
      <c r="F894" t="s">
        <v>3367</v>
      </c>
      <c r="G894" t="s">
        <v>24</v>
      </c>
      <c r="H894" t="s">
        <v>3373</v>
      </c>
      <c r="I894" t="s">
        <v>96</v>
      </c>
      <c r="L894" t="s">
        <v>38</v>
      </c>
      <c r="Q894" t="s">
        <v>98</v>
      </c>
    </row>
    <row r="895" spans="1:17" hidden="1" x14ac:dyDescent="0.25">
      <c r="A895" t="s">
        <v>33</v>
      </c>
      <c r="B895" t="s">
        <v>3374</v>
      </c>
      <c r="C895" t="s">
        <v>21</v>
      </c>
      <c r="D895" t="s">
        <v>3374</v>
      </c>
      <c r="E895" t="s">
        <v>284</v>
      </c>
      <c r="F895" t="s">
        <v>3375</v>
      </c>
      <c r="G895" t="s">
        <v>24</v>
      </c>
      <c r="H895" t="s">
        <v>3376</v>
      </c>
      <c r="J895" t="s">
        <v>26</v>
      </c>
      <c r="L895" t="s">
        <v>27</v>
      </c>
    </row>
    <row r="896" spans="1:17" hidden="1" x14ac:dyDescent="0.25">
      <c r="A896" t="s">
        <v>33</v>
      </c>
      <c r="B896" t="s">
        <v>3377</v>
      </c>
      <c r="C896" t="s">
        <v>21</v>
      </c>
      <c r="D896" t="s">
        <v>3377</v>
      </c>
      <c r="E896" t="s">
        <v>284</v>
      </c>
      <c r="F896" t="s">
        <v>3375</v>
      </c>
      <c r="G896" t="s">
        <v>24</v>
      </c>
      <c r="H896" t="s">
        <v>3378</v>
      </c>
      <c r="J896" t="s">
        <v>26</v>
      </c>
      <c r="L896" t="s">
        <v>27</v>
      </c>
    </row>
    <row r="897" spans="1:17" hidden="1" x14ac:dyDescent="0.25">
      <c r="A897" t="s">
        <v>33</v>
      </c>
      <c r="B897" t="s">
        <v>3379</v>
      </c>
      <c r="C897" t="s">
        <v>21</v>
      </c>
      <c r="D897" t="s">
        <v>3379</v>
      </c>
      <c r="E897" t="s">
        <v>204</v>
      </c>
      <c r="F897" t="s">
        <v>3380</v>
      </c>
      <c r="G897" t="s">
        <v>24</v>
      </c>
      <c r="H897" t="s">
        <v>3381</v>
      </c>
      <c r="I897" t="s">
        <v>46</v>
      </c>
      <c r="L897" t="s">
        <v>309</v>
      </c>
      <c r="Q897" t="s">
        <v>48</v>
      </c>
    </row>
    <row r="898" spans="1:17" hidden="1" x14ac:dyDescent="0.25">
      <c r="A898" t="s">
        <v>33</v>
      </c>
      <c r="B898" t="s">
        <v>3382</v>
      </c>
      <c r="C898" t="s">
        <v>21</v>
      </c>
      <c r="D898" t="s">
        <v>3382</v>
      </c>
      <c r="E898" t="s">
        <v>2258</v>
      </c>
      <c r="F898" t="s">
        <v>3383</v>
      </c>
      <c r="G898" t="s">
        <v>24</v>
      </c>
      <c r="H898" t="s">
        <v>3384</v>
      </c>
      <c r="I898" t="s">
        <v>46</v>
      </c>
      <c r="L898" t="s">
        <v>108</v>
      </c>
      <c r="Q898" t="s">
        <v>48</v>
      </c>
    </row>
    <row r="899" spans="1:17" hidden="1" x14ac:dyDescent="0.25">
      <c r="A899" t="s">
        <v>33</v>
      </c>
      <c r="B899" t="s">
        <v>3385</v>
      </c>
      <c r="C899" t="s">
        <v>21</v>
      </c>
      <c r="D899" t="s">
        <v>3386</v>
      </c>
      <c r="E899" t="s">
        <v>3387</v>
      </c>
      <c r="F899" t="s">
        <v>3388</v>
      </c>
      <c r="G899" t="s">
        <v>24</v>
      </c>
      <c r="H899" t="s">
        <v>3389</v>
      </c>
      <c r="L899" t="s">
        <v>287</v>
      </c>
    </row>
    <row r="900" spans="1:17" hidden="1" x14ac:dyDescent="0.25">
      <c r="A900" t="s">
        <v>33</v>
      </c>
      <c r="B900" t="s">
        <v>3390</v>
      </c>
      <c r="C900" t="s">
        <v>21</v>
      </c>
      <c r="D900" t="s">
        <v>3390</v>
      </c>
      <c r="E900" t="s">
        <v>3162</v>
      </c>
      <c r="F900" t="s">
        <v>3391</v>
      </c>
      <c r="G900" t="s">
        <v>24</v>
      </c>
      <c r="H900" t="s">
        <v>3392</v>
      </c>
      <c r="I900" t="s">
        <v>46</v>
      </c>
      <c r="L900" t="s">
        <v>2758</v>
      </c>
      <c r="Q900" t="s">
        <v>48</v>
      </c>
    </row>
    <row r="901" spans="1:17" hidden="1" x14ac:dyDescent="0.25">
      <c r="A901" t="s">
        <v>33</v>
      </c>
      <c r="B901" t="s">
        <v>3393</v>
      </c>
      <c r="C901" t="s">
        <v>21</v>
      </c>
      <c r="D901" t="s">
        <v>3393</v>
      </c>
      <c r="E901" t="s">
        <v>3394</v>
      </c>
      <c r="F901" t="s">
        <v>3395</v>
      </c>
      <c r="G901" t="s">
        <v>24</v>
      </c>
      <c r="H901" t="s">
        <v>3396</v>
      </c>
      <c r="I901" t="s">
        <v>46</v>
      </c>
      <c r="L901" t="s">
        <v>38</v>
      </c>
      <c r="Q901" t="s">
        <v>48</v>
      </c>
    </row>
    <row r="902" spans="1:17" hidden="1" x14ac:dyDescent="0.25">
      <c r="A902" t="s">
        <v>33</v>
      </c>
      <c r="B902" t="s">
        <v>3397</v>
      </c>
      <c r="C902" t="s">
        <v>92</v>
      </c>
      <c r="D902" t="s">
        <v>3398</v>
      </c>
      <c r="E902" t="s">
        <v>3323</v>
      </c>
      <c r="F902" t="s">
        <v>741</v>
      </c>
      <c r="G902" t="s">
        <v>24</v>
      </c>
      <c r="H902" t="s">
        <v>3399</v>
      </c>
      <c r="I902" t="s">
        <v>46</v>
      </c>
      <c r="L902" t="s">
        <v>1577</v>
      </c>
      <c r="Q902" t="s">
        <v>48</v>
      </c>
    </row>
    <row r="903" spans="1:17" hidden="1" x14ac:dyDescent="0.25">
      <c r="A903" t="s">
        <v>33</v>
      </c>
      <c r="B903" t="s">
        <v>3400</v>
      </c>
      <c r="C903" t="s">
        <v>21</v>
      </c>
      <c r="D903" t="s">
        <v>3400</v>
      </c>
      <c r="E903" t="s">
        <v>3401</v>
      </c>
      <c r="F903" t="s">
        <v>3402</v>
      </c>
      <c r="G903" t="s">
        <v>24</v>
      </c>
      <c r="H903" t="s">
        <v>3403</v>
      </c>
      <c r="I903" t="s">
        <v>46</v>
      </c>
      <c r="L903" t="s">
        <v>246</v>
      </c>
      <c r="Q903" t="s">
        <v>48</v>
      </c>
    </row>
    <row r="904" spans="1:17" hidden="1" x14ac:dyDescent="0.25">
      <c r="A904" t="s">
        <v>33</v>
      </c>
      <c r="B904" t="s">
        <v>3404</v>
      </c>
      <c r="C904" t="s">
        <v>21</v>
      </c>
      <c r="D904" t="s">
        <v>3404</v>
      </c>
      <c r="E904" t="s">
        <v>3405</v>
      </c>
      <c r="F904" t="s">
        <v>3406</v>
      </c>
      <c r="G904" t="s">
        <v>24</v>
      </c>
      <c r="H904" t="s">
        <v>3407</v>
      </c>
      <c r="I904" t="s">
        <v>73</v>
      </c>
      <c r="L904" t="s">
        <v>207</v>
      </c>
      <c r="Q904" t="s">
        <v>75</v>
      </c>
    </row>
    <row r="905" spans="1:17" hidden="1" x14ac:dyDescent="0.25">
      <c r="A905" t="s">
        <v>33</v>
      </c>
      <c r="B905" t="s">
        <v>3408</v>
      </c>
      <c r="C905" t="s">
        <v>21</v>
      </c>
      <c r="D905" t="s">
        <v>3409</v>
      </c>
      <c r="E905" t="s">
        <v>3410</v>
      </c>
      <c r="F905" t="s">
        <v>3411</v>
      </c>
      <c r="G905" t="s">
        <v>24</v>
      </c>
      <c r="H905" t="s">
        <v>3412</v>
      </c>
      <c r="I905" t="s">
        <v>46</v>
      </c>
      <c r="L905" t="s">
        <v>2925</v>
      </c>
      <c r="Q905" t="s">
        <v>48</v>
      </c>
    </row>
    <row r="906" spans="1:17" hidden="1" x14ac:dyDescent="0.25">
      <c r="A906" t="s">
        <v>33</v>
      </c>
      <c r="B906" t="s">
        <v>3413</v>
      </c>
      <c r="C906" t="s">
        <v>29</v>
      </c>
      <c r="D906" t="s">
        <v>3413</v>
      </c>
      <c r="E906" t="s">
        <v>2295</v>
      </c>
      <c r="F906" t="s">
        <v>3414</v>
      </c>
      <c r="G906" t="s">
        <v>24</v>
      </c>
      <c r="H906" t="s">
        <v>3415</v>
      </c>
      <c r="I906" t="s">
        <v>46</v>
      </c>
      <c r="L906" t="s">
        <v>246</v>
      </c>
      <c r="Q906" t="s">
        <v>48</v>
      </c>
    </row>
    <row r="907" spans="1:17" hidden="1" x14ac:dyDescent="0.25">
      <c r="A907" t="s">
        <v>33</v>
      </c>
      <c r="B907" t="s">
        <v>3416</v>
      </c>
      <c r="C907" t="s">
        <v>21</v>
      </c>
      <c r="D907" t="s">
        <v>3416</v>
      </c>
      <c r="E907" t="s">
        <v>3417</v>
      </c>
      <c r="F907" t="s">
        <v>3418</v>
      </c>
      <c r="G907" t="s">
        <v>24</v>
      </c>
      <c r="H907" t="s">
        <v>3419</v>
      </c>
      <c r="L907" t="s">
        <v>1013</v>
      </c>
    </row>
    <row r="908" spans="1:17" hidden="1" x14ac:dyDescent="0.25">
      <c r="A908" t="s">
        <v>33</v>
      </c>
      <c r="B908" t="s">
        <v>3420</v>
      </c>
      <c r="C908" t="s">
        <v>21</v>
      </c>
      <c r="D908" t="s">
        <v>3421</v>
      </c>
      <c r="E908" t="s">
        <v>3422</v>
      </c>
      <c r="F908" t="s">
        <v>3423</v>
      </c>
      <c r="G908" t="s">
        <v>24</v>
      </c>
      <c r="H908" t="s">
        <v>3424</v>
      </c>
      <c r="L908" t="s">
        <v>878</v>
      </c>
    </row>
    <row r="909" spans="1:17" hidden="1" x14ac:dyDescent="0.25">
      <c r="A909" t="s">
        <v>33</v>
      </c>
      <c r="B909" t="s">
        <v>3425</v>
      </c>
      <c r="C909" t="s">
        <v>29</v>
      </c>
      <c r="D909" t="s">
        <v>3425</v>
      </c>
      <c r="E909" t="s">
        <v>380</v>
      </c>
      <c r="F909" t="s">
        <v>3426</v>
      </c>
      <c r="G909" t="s">
        <v>24</v>
      </c>
      <c r="H909" t="s">
        <v>3427</v>
      </c>
      <c r="I909" t="s">
        <v>46</v>
      </c>
      <c r="L909" t="s">
        <v>861</v>
      </c>
      <c r="Q909" t="s">
        <v>48</v>
      </c>
    </row>
    <row r="910" spans="1:17" hidden="1" x14ac:dyDescent="0.25">
      <c r="A910" t="s">
        <v>33</v>
      </c>
      <c r="B910" t="s">
        <v>3428</v>
      </c>
      <c r="C910" t="s">
        <v>29</v>
      </c>
      <c r="D910" t="s">
        <v>3428</v>
      </c>
      <c r="E910" t="s">
        <v>3429</v>
      </c>
      <c r="F910" t="s">
        <v>3430</v>
      </c>
      <c r="G910" t="s">
        <v>24</v>
      </c>
      <c r="H910" t="s">
        <v>3431</v>
      </c>
      <c r="I910" t="s">
        <v>46</v>
      </c>
      <c r="L910" t="s">
        <v>861</v>
      </c>
      <c r="Q910" t="s">
        <v>48</v>
      </c>
    </row>
    <row r="911" spans="1:17" hidden="1" x14ac:dyDescent="0.25">
      <c r="A911" t="s">
        <v>33</v>
      </c>
      <c r="B911" t="s">
        <v>3432</v>
      </c>
      <c r="C911" t="s">
        <v>21</v>
      </c>
      <c r="D911" t="s">
        <v>3432</v>
      </c>
      <c r="E911" t="s">
        <v>424</v>
      </c>
      <c r="F911" t="s">
        <v>3079</v>
      </c>
      <c r="G911" t="s">
        <v>24</v>
      </c>
      <c r="H911" t="s">
        <v>3433</v>
      </c>
      <c r="L911" t="s">
        <v>397</v>
      </c>
    </row>
    <row r="912" spans="1:17" hidden="1" x14ac:dyDescent="0.25">
      <c r="A912" t="s">
        <v>33</v>
      </c>
      <c r="B912" t="s">
        <v>3434</v>
      </c>
      <c r="C912" t="s">
        <v>29</v>
      </c>
      <c r="D912" t="s">
        <v>3434</v>
      </c>
      <c r="E912" t="s">
        <v>3435</v>
      </c>
      <c r="F912" t="s">
        <v>3436</v>
      </c>
      <c r="G912" t="s">
        <v>24</v>
      </c>
      <c r="H912" t="s">
        <v>3437</v>
      </c>
      <c r="L912" t="s">
        <v>861</v>
      </c>
    </row>
    <row r="913" spans="1:17" hidden="1" x14ac:dyDescent="0.25">
      <c r="A913" t="s">
        <v>33</v>
      </c>
      <c r="B913" t="s">
        <v>3438</v>
      </c>
      <c r="C913" t="s">
        <v>21</v>
      </c>
      <c r="D913" t="s">
        <v>3438</v>
      </c>
      <c r="E913" t="s">
        <v>22</v>
      </c>
      <c r="F913" t="s">
        <v>3439</v>
      </c>
      <c r="G913" t="s">
        <v>24</v>
      </c>
      <c r="H913" t="s">
        <v>3440</v>
      </c>
      <c r="I913" t="s">
        <v>46</v>
      </c>
      <c r="L913" t="s">
        <v>692</v>
      </c>
      <c r="Q913" t="s">
        <v>48</v>
      </c>
    </row>
    <row r="914" spans="1:17" hidden="1" x14ac:dyDescent="0.25">
      <c r="A914" t="s">
        <v>33</v>
      </c>
      <c r="B914" t="s">
        <v>3441</v>
      </c>
      <c r="C914" t="s">
        <v>21</v>
      </c>
      <c r="D914" t="s">
        <v>3442</v>
      </c>
      <c r="E914" t="s">
        <v>3443</v>
      </c>
      <c r="F914" t="s">
        <v>3444</v>
      </c>
      <c r="G914" t="s">
        <v>24</v>
      </c>
      <c r="H914" t="s">
        <v>3445</v>
      </c>
      <c r="I914" t="s">
        <v>46</v>
      </c>
      <c r="L914" t="s">
        <v>181</v>
      </c>
      <c r="Q914" t="s">
        <v>48</v>
      </c>
    </row>
    <row r="915" spans="1:17" hidden="1" x14ac:dyDescent="0.25">
      <c r="A915" t="s">
        <v>33</v>
      </c>
      <c r="B915" t="s">
        <v>3446</v>
      </c>
      <c r="C915" t="s">
        <v>21</v>
      </c>
      <c r="D915" t="s">
        <v>3446</v>
      </c>
      <c r="E915" t="s">
        <v>1520</v>
      </c>
      <c r="F915" t="s">
        <v>3447</v>
      </c>
      <c r="G915" t="s">
        <v>24</v>
      </c>
      <c r="H915" t="s">
        <v>3448</v>
      </c>
      <c r="L915" t="s">
        <v>2925</v>
      </c>
    </row>
    <row r="916" spans="1:17" hidden="1" x14ac:dyDescent="0.25">
      <c r="A916" t="s">
        <v>33</v>
      </c>
      <c r="B916" t="s">
        <v>3449</v>
      </c>
      <c r="C916" t="s">
        <v>29</v>
      </c>
      <c r="D916" t="s">
        <v>3449</v>
      </c>
      <c r="E916" t="s">
        <v>3450</v>
      </c>
      <c r="F916" t="s">
        <v>694</v>
      </c>
      <c r="G916" t="s">
        <v>24</v>
      </c>
      <c r="H916" t="s">
        <v>3451</v>
      </c>
      <c r="L916" t="s">
        <v>861</v>
      </c>
    </row>
    <row r="917" spans="1:17" hidden="1" x14ac:dyDescent="0.25">
      <c r="A917" t="s">
        <v>33</v>
      </c>
      <c r="B917" t="s">
        <v>3452</v>
      </c>
      <c r="C917" t="s">
        <v>29</v>
      </c>
      <c r="D917" t="s">
        <v>3452</v>
      </c>
      <c r="E917" t="s">
        <v>226</v>
      </c>
      <c r="F917" t="s">
        <v>3453</v>
      </c>
      <c r="G917" t="s">
        <v>24</v>
      </c>
      <c r="H917" t="s">
        <v>3454</v>
      </c>
      <c r="L917" t="s">
        <v>246</v>
      </c>
    </row>
    <row r="918" spans="1:17" hidden="1" x14ac:dyDescent="0.25">
      <c r="A918" t="s">
        <v>33</v>
      </c>
      <c r="B918" t="s">
        <v>3455</v>
      </c>
      <c r="C918" t="s">
        <v>21</v>
      </c>
      <c r="D918" t="s">
        <v>3455</v>
      </c>
      <c r="E918" t="s">
        <v>3456</v>
      </c>
      <c r="F918" t="s">
        <v>3457</v>
      </c>
      <c r="G918" t="s">
        <v>24</v>
      </c>
      <c r="H918" t="s">
        <v>3458</v>
      </c>
      <c r="I918" t="s">
        <v>46</v>
      </c>
      <c r="L918" t="s">
        <v>74</v>
      </c>
      <c r="Q918" t="s">
        <v>48</v>
      </c>
    </row>
    <row r="919" spans="1:17" hidden="1" x14ac:dyDescent="0.25">
      <c r="A919" t="s">
        <v>33</v>
      </c>
      <c r="B919" t="s">
        <v>3459</v>
      </c>
      <c r="C919" t="s">
        <v>21</v>
      </c>
      <c r="D919" t="s">
        <v>3459</v>
      </c>
      <c r="E919" t="s">
        <v>2910</v>
      </c>
      <c r="F919" t="s">
        <v>1069</v>
      </c>
      <c r="G919" t="s">
        <v>24</v>
      </c>
      <c r="H919" t="s">
        <v>3460</v>
      </c>
      <c r="I919" t="s">
        <v>46</v>
      </c>
      <c r="L919" t="s">
        <v>389</v>
      </c>
      <c r="Q919" t="s">
        <v>48</v>
      </c>
    </row>
    <row r="920" spans="1:17" hidden="1" x14ac:dyDescent="0.25">
      <c r="A920" t="s">
        <v>33</v>
      </c>
      <c r="B920" t="s">
        <v>3461</v>
      </c>
      <c r="C920" t="s">
        <v>29</v>
      </c>
      <c r="D920" t="s">
        <v>3461</v>
      </c>
      <c r="E920" t="s">
        <v>3462</v>
      </c>
      <c r="F920" t="s">
        <v>3463</v>
      </c>
      <c r="G920" t="s">
        <v>24</v>
      </c>
      <c r="H920" t="s">
        <v>3464</v>
      </c>
      <c r="I920" t="s">
        <v>46</v>
      </c>
      <c r="L920" t="s">
        <v>861</v>
      </c>
      <c r="Q920" t="s">
        <v>48</v>
      </c>
    </row>
    <row r="921" spans="1:17" hidden="1" x14ac:dyDescent="0.25">
      <c r="A921" t="s">
        <v>33</v>
      </c>
      <c r="B921" t="s">
        <v>3465</v>
      </c>
      <c r="C921" t="s">
        <v>21</v>
      </c>
      <c r="D921" t="s">
        <v>3465</v>
      </c>
      <c r="E921" t="s">
        <v>3466</v>
      </c>
      <c r="F921" t="s">
        <v>3467</v>
      </c>
      <c r="G921" t="s">
        <v>24</v>
      </c>
      <c r="H921" t="s">
        <v>3468</v>
      </c>
      <c r="I921" t="s">
        <v>73</v>
      </c>
      <c r="L921" t="s">
        <v>38</v>
      </c>
      <c r="Q921" t="s">
        <v>75</v>
      </c>
    </row>
    <row r="922" spans="1:17" hidden="1" x14ac:dyDescent="0.25">
      <c r="A922" t="s">
        <v>33</v>
      </c>
      <c r="B922" t="s">
        <v>3469</v>
      </c>
      <c r="C922" t="s">
        <v>21</v>
      </c>
      <c r="D922" t="s">
        <v>3470</v>
      </c>
      <c r="E922" t="s">
        <v>727</v>
      </c>
      <c r="F922" t="s">
        <v>3471</v>
      </c>
      <c r="G922" t="s">
        <v>24</v>
      </c>
      <c r="H922" t="s">
        <v>3472</v>
      </c>
      <c r="L922" t="s">
        <v>2806</v>
      </c>
    </row>
    <row r="923" spans="1:17" hidden="1" x14ac:dyDescent="0.25">
      <c r="A923" t="s">
        <v>33</v>
      </c>
      <c r="B923" t="s">
        <v>3473</v>
      </c>
      <c r="C923" t="s">
        <v>29</v>
      </c>
      <c r="D923" t="s">
        <v>3473</v>
      </c>
      <c r="E923" t="s">
        <v>449</v>
      </c>
      <c r="F923" t="s">
        <v>515</v>
      </c>
      <c r="G923" t="s">
        <v>24</v>
      </c>
      <c r="H923" t="s">
        <v>3474</v>
      </c>
      <c r="I923" t="s">
        <v>46</v>
      </c>
      <c r="L923" t="s">
        <v>861</v>
      </c>
      <c r="Q923" t="s">
        <v>48</v>
      </c>
    </row>
    <row r="924" spans="1:17" hidden="1" x14ac:dyDescent="0.25">
      <c r="A924" t="s">
        <v>33</v>
      </c>
      <c r="B924" t="s">
        <v>3475</v>
      </c>
      <c r="C924" t="s">
        <v>92</v>
      </c>
      <c r="D924" t="s">
        <v>3475</v>
      </c>
      <c r="E924" t="s">
        <v>3476</v>
      </c>
      <c r="F924" t="s">
        <v>3477</v>
      </c>
      <c r="G924" t="s">
        <v>24</v>
      </c>
      <c r="H924" t="s">
        <v>3478</v>
      </c>
      <c r="L924" t="s">
        <v>1577</v>
      </c>
    </row>
    <row r="925" spans="1:17" hidden="1" x14ac:dyDescent="0.25">
      <c r="A925" t="s">
        <v>33</v>
      </c>
      <c r="B925" t="s">
        <v>3479</v>
      </c>
      <c r="C925" t="s">
        <v>21</v>
      </c>
      <c r="D925" t="s">
        <v>3479</v>
      </c>
      <c r="E925" t="s">
        <v>979</v>
      </c>
      <c r="F925" t="s">
        <v>3480</v>
      </c>
      <c r="G925" t="s">
        <v>24</v>
      </c>
      <c r="H925" t="s">
        <v>3481</v>
      </c>
      <c r="I925" t="s">
        <v>46</v>
      </c>
      <c r="L925" t="s">
        <v>878</v>
      </c>
      <c r="Q925" t="s">
        <v>48</v>
      </c>
    </row>
    <row r="926" spans="1:17" hidden="1" x14ac:dyDescent="0.25">
      <c r="A926" t="s">
        <v>33</v>
      </c>
      <c r="B926" t="s">
        <v>3482</v>
      </c>
      <c r="C926" t="s">
        <v>21</v>
      </c>
      <c r="D926" t="s">
        <v>3482</v>
      </c>
      <c r="E926" t="s">
        <v>3483</v>
      </c>
      <c r="F926" t="s">
        <v>3484</v>
      </c>
      <c r="G926" t="s">
        <v>24</v>
      </c>
      <c r="H926" t="s">
        <v>3485</v>
      </c>
      <c r="L926" t="s">
        <v>2925</v>
      </c>
    </row>
    <row r="927" spans="1:17" hidden="1" x14ac:dyDescent="0.25">
      <c r="A927" t="s">
        <v>33</v>
      </c>
      <c r="B927" t="s">
        <v>3486</v>
      </c>
      <c r="C927" t="s">
        <v>21</v>
      </c>
      <c r="D927" t="s">
        <v>3486</v>
      </c>
      <c r="E927" t="s">
        <v>835</v>
      </c>
      <c r="F927" t="s">
        <v>3487</v>
      </c>
      <c r="G927" t="s">
        <v>24</v>
      </c>
      <c r="H927" t="s">
        <v>3488</v>
      </c>
      <c r="I927" t="s">
        <v>46</v>
      </c>
      <c r="L927" t="s">
        <v>565</v>
      </c>
      <c r="Q927" t="s">
        <v>48</v>
      </c>
    </row>
    <row r="928" spans="1:17" hidden="1" x14ac:dyDescent="0.25">
      <c r="A928" t="s">
        <v>33</v>
      </c>
      <c r="B928" t="s">
        <v>3489</v>
      </c>
      <c r="C928" t="s">
        <v>29</v>
      </c>
      <c r="D928" t="s">
        <v>3489</v>
      </c>
      <c r="E928" t="s">
        <v>3490</v>
      </c>
      <c r="F928" t="s">
        <v>3491</v>
      </c>
      <c r="G928" t="s">
        <v>24</v>
      </c>
      <c r="H928" t="s">
        <v>3492</v>
      </c>
      <c r="I928" t="s">
        <v>46</v>
      </c>
      <c r="L928" t="s">
        <v>861</v>
      </c>
      <c r="Q928" t="s">
        <v>48</v>
      </c>
    </row>
    <row r="929" spans="1:17" hidden="1" x14ac:dyDescent="0.25">
      <c r="A929" t="s">
        <v>33</v>
      </c>
      <c r="B929" t="s">
        <v>3493</v>
      </c>
      <c r="C929" t="s">
        <v>21</v>
      </c>
      <c r="D929" t="s">
        <v>3494</v>
      </c>
      <c r="E929" t="s">
        <v>3495</v>
      </c>
      <c r="F929" t="s">
        <v>3496</v>
      </c>
      <c r="G929" t="s">
        <v>24</v>
      </c>
      <c r="H929" t="s">
        <v>3497</v>
      </c>
      <c r="L929" t="s">
        <v>565</v>
      </c>
    </row>
    <row r="930" spans="1:17" hidden="1" x14ac:dyDescent="0.25">
      <c r="A930" t="s">
        <v>33</v>
      </c>
      <c r="B930" t="s">
        <v>3498</v>
      </c>
      <c r="C930" t="s">
        <v>21</v>
      </c>
      <c r="D930" t="s">
        <v>3498</v>
      </c>
      <c r="E930" t="s">
        <v>476</v>
      </c>
      <c r="F930" t="s">
        <v>606</v>
      </c>
      <c r="G930" t="s">
        <v>24</v>
      </c>
      <c r="H930" t="s">
        <v>3499</v>
      </c>
      <c r="L930" t="s">
        <v>47</v>
      </c>
    </row>
    <row r="931" spans="1:17" hidden="1" x14ac:dyDescent="0.25">
      <c r="A931" t="s">
        <v>33</v>
      </c>
      <c r="B931" t="s">
        <v>3500</v>
      </c>
      <c r="C931" t="s">
        <v>21</v>
      </c>
      <c r="D931" t="s">
        <v>3500</v>
      </c>
      <c r="E931" t="s">
        <v>3283</v>
      </c>
      <c r="F931" t="s">
        <v>3501</v>
      </c>
      <c r="G931" t="s">
        <v>24</v>
      </c>
      <c r="H931" t="s">
        <v>3502</v>
      </c>
      <c r="L931" t="s">
        <v>2925</v>
      </c>
    </row>
    <row r="932" spans="1:17" hidden="1" x14ac:dyDescent="0.25">
      <c r="A932" t="s">
        <v>33</v>
      </c>
      <c r="B932" t="s">
        <v>3503</v>
      </c>
      <c r="C932" t="s">
        <v>21</v>
      </c>
      <c r="D932" t="s">
        <v>3503</v>
      </c>
      <c r="E932" t="s">
        <v>835</v>
      </c>
      <c r="F932" t="s">
        <v>3504</v>
      </c>
      <c r="G932" t="s">
        <v>24</v>
      </c>
      <c r="H932" t="s">
        <v>3505</v>
      </c>
      <c r="I932" t="s">
        <v>73</v>
      </c>
      <c r="L932" t="s">
        <v>292</v>
      </c>
      <c r="Q932" t="s">
        <v>75</v>
      </c>
    </row>
    <row r="933" spans="1:17" hidden="1" x14ac:dyDescent="0.25">
      <c r="A933" t="s">
        <v>33</v>
      </c>
      <c r="B933" t="s">
        <v>3506</v>
      </c>
      <c r="C933" t="s">
        <v>21</v>
      </c>
      <c r="D933" t="s">
        <v>3506</v>
      </c>
      <c r="E933" t="s">
        <v>1961</v>
      </c>
      <c r="F933" t="s">
        <v>3507</v>
      </c>
      <c r="G933" t="s">
        <v>24</v>
      </c>
      <c r="H933" t="s">
        <v>3508</v>
      </c>
      <c r="I933" t="s">
        <v>46</v>
      </c>
      <c r="L933" t="s">
        <v>2925</v>
      </c>
      <c r="Q933" t="s">
        <v>48</v>
      </c>
    </row>
    <row r="934" spans="1:17" hidden="1" x14ac:dyDescent="0.25">
      <c r="A934" t="s">
        <v>33</v>
      </c>
      <c r="B934" t="s">
        <v>3509</v>
      </c>
      <c r="C934" t="s">
        <v>21</v>
      </c>
      <c r="D934" t="s">
        <v>3509</v>
      </c>
      <c r="E934" t="s">
        <v>284</v>
      </c>
      <c r="F934" t="s">
        <v>3510</v>
      </c>
      <c r="G934" t="s">
        <v>24</v>
      </c>
      <c r="H934" t="s">
        <v>3511</v>
      </c>
      <c r="I934" t="s">
        <v>46</v>
      </c>
      <c r="L934" t="s">
        <v>53</v>
      </c>
      <c r="Q934" t="s">
        <v>48</v>
      </c>
    </row>
    <row r="935" spans="1:17" hidden="1" x14ac:dyDescent="0.25">
      <c r="A935" t="s">
        <v>33</v>
      </c>
      <c r="B935" t="s">
        <v>3512</v>
      </c>
      <c r="C935" t="s">
        <v>21</v>
      </c>
      <c r="D935" t="s">
        <v>3512</v>
      </c>
      <c r="E935" t="s">
        <v>1488</v>
      </c>
      <c r="F935" t="s">
        <v>3513</v>
      </c>
      <c r="G935" t="s">
        <v>24</v>
      </c>
      <c r="H935" t="s">
        <v>3514</v>
      </c>
      <c r="I935" t="s">
        <v>73</v>
      </c>
      <c r="L935" t="s">
        <v>171</v>
      </c>
      <c r="Q935" t="s">
        <v>75</v>
      </c>
    </row>
    <row r="936" spans="1:17" hidden="1" x14ac:dyDescent="0.25">
      <c r="A936" t="s">
        <v>33</v>
      </c>
      <c r="B936" t="s">
        <v>3515</v>
      </c>
      <c r="C936" t="s">
        <v>21</v>
      </c>
      <c r="D936" t="s">
        <v>3515</v>
      </c>
      <c r="E936" t="s">
        <v>3516</v>
      </c>
      <c r="F936" t="s">
        <v>3517</v>
      </c>
      <c r="G936" t="s">
        <v>24</v>
      </c>
      <c r="H936" t="s">
        <v>3518</v>
      </c>
      <c r="I936" t="s">
        <v>46</v>
      </c>
      <c r="L936" t="s">
        <v>90</v>
      </c>
      <c r="Q936" t="s">
        <v>48</v>
      </c>
    </row>
    <row r="937" spans="1:17" hidden="1" x14ac:dyDescent="0.25">
      <c r="A937" t="s">
        <v>33</v>
      </c>
      <c r="B937" t="s">
        <v>3519</v>
      </c>
      <c r="C937" t="s">
        <v>21</v>
      </c>
      <c r="D937" t="s">
        <v>3520</v>
      </c>
      <c r="E937" t="s">
        <v>778</v>
      </c>
      <c r="F937" t="s">
        <v>3521</v>
      </c>
      <c r="G937" t="s">
        <v>24</v>
      </c>
      <c r="H937" t="s">
        <v>3522</v>
      </c>
      <c r="I937" t="s">
        <v>46</v>
      </c>
      <c r="L937" t="s">
        <v>317</v>
      </c>
      <c r="Q937" t="s">
        <v>48</v>
      </c>
    </row>
    <row r="938" spans="1:17" hidden="1" x14ac:dyDescent="0.25">
      <c r="A938" t="s">
        <v>33</v>
      </c>
      <c r="B938" t="s">
        <v>3523</v>
      </c>
      <c r="C938" t="s">
        <v>21</v>
      </c>
      <c r="D938" t="s">
        <v>3523</v>
      </c>
      <c r="E938" t="s">
        <v>894</v>
      </c>
      <c r="F938" t="s">
        <v>3524</v>
      </c>
      <c r="G938" t="s">
        <v>24</v>
      </c>
      <c r="H938" t="s">
        <v>3525</v>
      </c>
      <c r="I938" t="s">
        <v>46</v>
      </c>
      <c r="L938" t="s">
        <v>389</v>
      </c>
      <c r="Q938" t="s">
        <v>48</v>
      </c>
    </row>
    <row r="939" spans="1:17" hidden="1" x14ac:dyDescent="0.25">
      <c r="A939" t="s">
        <v>33</v>
      </c>
      <c r="B939" t="s">
        <v>3526</v>
      </c>
      <c r="C939" t="s">
        <v>21</v>
      </c>
      <c r="D939" t="s">
        <v>3526</v>
      </c>
      <c r="E939" t="s">
        <v>3527</v>
      </c>
      <c r="F939" t="s">
        <v>3528</v>
      </c>
      <c r="G939" t="s">
        <v>24</v>
      </c>
      <c r="H939" t="s">
        <v>3529</v>
      </c>
      <c r="L939" t="s">
        <v>38</v>
      </c>
    </row>
    <row r="940" spans="1:17" hidden="1" x14ac:dyDescent="0.25">
      <c r="A940" t="s">
        <v>33</v>
      </c>
      <c r="B940" t="s">
        <v>3530</v>
      </c>
      <c r="C940" t="s">
        <v>29</v>
      </c>
      <c r="D940" t="s">
        <v>3530</v>
      </c>
      <c r="E940" t="s">
        <v>778</v>
      </c>
      <c r="F940" t="s">
        <v>3531</v>
      </c>
      <c r="G940" t="s">
        <v>24</v>
      </c>
      <c r="H940" t="s">
        <v>3532</v>
      </c>
      <c r="I940" t="s">
        <v>46</v>
      </c>
      <c r="L940" t="s">
        <v>1389</v>
      </c>
      <c r="Q940" t="s">
        <v>48</v>
      </c>
    </row>
    <row r="941" spans="1:17" hidden="1" x14ac:dyDescent="0.25">
      <c r="A941" t="s">
        <v>33</v>
      </c>
      <c r="B941" t="s">
        <v>3533</v>
      </c>
      <c r="C941" t="s">
        <v>92</v>
      </c>
      <c r="D941" t="s">
        <v>3533</v>
      </c>
      <c r="E941" t="s">
        <v>3534</v>
      </c>
      <c r="F941" t="s">
        <v>2712</v>
      </c>
      <c r="G941" t="s">
        <v>24</v>
      </c>
      <c r="H941" t="s">
        <v>3535</v>
      </c>
      <c r="L941" t="s">
        <v>1402</v>
      </c>
    </row>
    <row r="942" spans="1:17" hidden="1" x14ac:dyDescent="0.25">
      <c r="A942" t="s">
        <v>33</v>
      </c>
      <c r="B942" t="s">
        <v>3536</v>
      </c>
      <c r="C942" t="s">
        <v>21</v>
      </c>
      <c r="D942" t="s">
        <v>3536</v>
      </c>
      <c r="E942" t="s">
        <v>3537</v>
      </c>
      <c r="F942" t="s">
        <v>429</v>
      </c>
      <c r="G942" t="s">
        <v>24</v>
      </c>
      <c r="H942" t="s">
        <v>3538</v>
      </c>
      <c r="I942" t="s">
        <v>46</v>
      </c>
      <c r="L942" t="s">
        <v>38</v>
      </c>
      <c r="Q942" t="s">
        <v>48</v>
      </c>
    </row>
    <row r="943" spans="1:17" hidden="1" x14ac:dyDescent="0.25">
      <c r="A943" t="s">
        <v>33</v>
      </c>
      <c r="B943" t="s">
        <v>3539</v>
      </c>
      <c r="C943" t="s">
        <v>21</v>
      </c>
      <c r="D943" t="s">
        <v>3539</v>
      </c>
      <c r="E943" t="s">
        <v>3540</v>
      </c>
      <c r="F943" t="s">
        <v>829</v>
      </c>
      <c r="G943" t="s">
        <v>24</v>
      </c>
      <c r="H943" t="s">
        <v>3541</v>
      </c>
      <c r="I943" t="s">
        <v>73</v>
      </c>
      <c r="L943" t="s">
        <v>3542</v>
      </c>
      <c r="Q943" t="s">
        <v>75</v>
      </c>
    </row>
    <row r="944" spans="1:17" hidden="1" x14ac:dyDescent="0.25">
      <c r="A944" t="s">
        <v>33</v>
      </c>
      <c r="B944" t="s">
        <v>3543</v>
      </c>
      <c r="C944" t="s">
        <v>21</v>
      </c>
      <c r="D944" t="s">
        <v>3544</v>
      </c>
      <c r="E944" t="s">
        <v>3545</v>
      </c>
      <c r="F944" t="s">
        <v>3546</v>
      </c>
      <c r="G944" t="s">
        <v>24</v>
      </c>
      <c r="H944" t="s">
        <v>3547</v>
      </c>
      <c r="I944" t="s">
        <v>46</v>
      </c>
      <c r="L944" t="s">
        <v>914</v>
      </c>
      <c r="Q944" t="s">
        <v>48</v>
      </c>
    </row>
    <row r="945" spans="1:17" hidden="1" x14ac:dyDescent="0.25">
      <c r="A945" t="s">
        <v>33</v>
      </c>
      <c r="B945" t="s">
        <v>3548</v>
      </c>
      <c r="C945" t="s">
        <v>21</v>
      </c>
      <c r="D945" t="s">
        <v>3548</v>
      </c>
      <c r="E945" t="s">
        <v>3549</v>
      </c>
      <c r="F945" t="s">
        <v>3550</v>
      </c>
      <c r="G945" t="s">
        <v>24</v>
      </c>
      <c r="H945" t="s">
        <v>3551</v>
      </c>
      <c r="I945" t="s">
        <v>46</v>
      </c>
      <c r="Q945" t="s">
        <v>48</v>
      </c>
    </row>
    <row r="946" spans="1:17" hidden="1" x14ac:dyDescent="0.25">
      <c r="A946" t="s">
        <v>33</v>
      </c>
      <c r="B946" t="s">
        <v>3552</v>
      </c>
      <c r="C946" t="s">
        <v>21</v>
      </c>
      <c r="D946" t="s">
        <v>3552</v>
      </c>
      <c r="E946" t="s">
        <v>3553</v>
      </c>
      <c r="F946" t="s">
        <v>3554</v>
      </c>
      <c r="G946" t="s">
        <v>24</v>
      </c>
      <c r="H946" t="s">
        <v>3555</v>
      </c>
      <c r="I946" t="s">
        <v>46</v>
      </c>
      <c r="L946" t="s">
        <v>38</v>
      </c>
      <c r="Q946" t="s">
        <v>48</v>
      </c>
    </row>
    <row r="947" spans="1:17" hidden="1" x14ac:dyDescent="0.25">
      <c r="A947" t="s">
        <v>33</v>
      </c>
      <c r="B947" t="s">
        <v>3556</v>
      </c>
      <c r="C947" t="s">
        <v>21</v>
      </c>
      <c r="D947" t="s">
        <v>3556</v>
      </c>
      <c r="E947" t="s">
        <v>626</v>
      </c>
      <c r="F947" t="s">
        <v>2875</v>
      </c>
      <c r="G947" t="s">
        <v>24</v>
      </c>
      <c r="H947" t="s">
        <v>3557</v>
      </c>
      <c r="I947" t="s">
        <v>46</v>
      </c>
      <c r="L947" t="s">
        <v>1013</v>
      </c>
      <c r="Q947" t="s">
        <v>48</v>
      </c>
    </row>
    <row r="948" spans="1:17" hidden="1" x14ac:dyDescent="0.25">
      <c r="A948" t="s">
        <v>33</v>
      </c>
      <c r="B948" t="s">
        <v>3558</v>
      </c>
      <c r="C948" t="s">
        <v>21</v>
      </c>
      <c r="D948" t="s">
        <v>3559</v>
      </c>
      <c r="E948" t="s">
        <v>306</v>
      </c>
      <c r="F948" t="s">
        <v>3560</v>
      </c>
      <c r="G948" t="s">
        <v>24</v>
      </c>
      <c r="H948" t="s">
        <v>3561</v>
      </c>
      <c r="I948" t="s">
        <v>46</v>
      </c>
      <c r="L948" t="s">
        <v>349</v>
      </c>
      <c r="Q948" t="s">
        <v>48</v>
      </c>
    </row>
    <row r="949" spans="1:17" hidden="1" x14ac:dyDescent="0.25">
      <c r="A949" t="s">
        <v>33</v>
      </c>
      <c r="B949" t="s">
        <v>3562</v>
      </c>
      <c r="C949" t="s">
        <v>21</v>
      </c>
      <c r="D949" t="s">
        <v>3562</v>
      </c>
      <c r="E949" t="s">
        <v>2172</v>
      </c>
      <c r="F949" t="s">
        <v>3563</v>
      </c>
      <c r="G949" t="s">
        <v>24</v>
      </c>
      <c r="H949" t="s">
        <v>3564</v>
      </c>
      <c r="I949" t="s">
        <v>3565</v>
      </c>
      <c r="L949" t="s">
        <v>38</v>
      </c>
      <c r="Q949" t="s">
        <v>3566</v>
      </c>
    </row>
    <row r="950" spans="1:17" hidden="1" x14ac:dyDescent="0.25">
      <c r="A950" t="s">
        <v>33</v>
      </c>
      <c r="B950" t="s">
        <v>3567</v>
      </c>
      <c r="C950" t="s">
        <v>21</v>
      </c>
      <c r="D950" t="s">
        <v>3567</v>
      </c>
      <c r="E950" t="s">
        <v>1933</v>
      </c>
      <c r="F950" t="s">
        <v>3568</v>
      </c>
      <c r="G950" t="s">
        <v>24</v>
      </c>
      <c r="H950" t="s">
        <v>3569</v>
      </c>
      <c r="I950" t="s">
        <v>46</v>
      </c>
      <c r="L950" t="s">
        <v>601</v>
      </c>
      <c r="Q950" t="s">
        <v>48</v>
      </c>
    </row>
    <row r="951" spans="1:17" hidden="1" x14ac:dyDescent="0.25">
      <c r="A951" t="s">
        <v>33</v>
      </c>
      <c r="B951" t="s">
        <v>3570</v>
      </c>
      <c r="C951" t="s">
        <v>21</v>
      </c>
      <c r="D951" t="s">
        <v>3571</v>
      </c>
      <c r="E951" t="s">
        <v>3572</v>
      </c>
      <c r="F951" t="s">
        <v>3573</v>
      </c>
      <c r="G951" t="s">
        <v>24</v>
      </c>
      <c r="H951" t="s">
        <v>3574</v>
      </c>
      <c r="L951" t="s">
        <v>273</v>
      </c>
    </row>
    <row r="952" spans="1:17" hidden="1" x14ac:dyDescent="0.25">
      <c r="A952" t="s">
        <v>33</v>
      </c>
      <c r="B952" t="s">
        <v>3575</v>
      </c>
      <c r="C952" t="s">
        <v>21</v>
      </c>
      <c r="D952" t="s">
        <v>3575</v>
      </c>
      <c r="E952" t="s">
        <v>1484</v>
      </c>
      <c r="F952" t="s">
        <v>3576</v>
      </c>
      <c r="G952" t="s">
        <v>24</v>
      </c>
      <c r="H952" t="s">
        <v>3577</v>
      </c>
      <c r="I952" t="s">
        <v>46</v>
      </c>
      <c r="L952" t="s">
        <v>273</v>
      </c>
      <c r="Q952" t="s">
        <v>48</v>
      </c>
    </row>
    <row r="953" spans="1:17" hidden="1" x14ac:dyDescent="0.25">
      <c r="A953" t="s">
        <v>33</v>
      </c>
      <c r="B953" t="s">
        <v>3578</v>
      </c>
      <c r="C953" t="s">
        <v>21</v>
      </c>
      <c r="D953" t="s">
        <v>3578</v>
      </c>
      <c r="E953" t="s">
        <v>178</v>
      </c>
      <c r="F953" t="s">
        <v>3579</v>
      </c>
      <c r="G953" t="s">
        <v>24</v>
      </c>
      <c r="H953" t="s">
        <v>3580</v>
      </c>
      <c r="I953" t="s">
        <v>3565</v>
      </c>
      <c r="L953" t="s">
        <v>138</v>
      </c>
      <c r="Q953" t="s">
        <v>3566</v>
      </c>
    </row>
    <row r="954" spans="1:17" hidden="1" x14ac:dyDescent="0.25">
      <c r="A954" t="s">
        <v>33</v>
      </c>
      <c r="B954" t="s">
        <v>3581</v>
      </c>
      <c r="C954" t="s">
        <v>21</v>
      </c>
      <c r="D954" t="s">
        <v>3582</v>
      </c>
      <c r="E954" t="s">
        <v>2708</v>
      </c>
      <c r="F954" t="s">
        <v>1019</v>
      </c>
      <c r="G954" t="s">
        <v>24</v>
      </c>
      <c r="H954" t="s">
        <v>3583</v>
      </c>
      <c r="I954" t="s">
        <v>46</v>
      </c>
      <c r="L954" t="s">
        <v>148</v>
      </c>
      <c r="Q954" t="s">
        <v>48</v>
      </c>
    </row>
    <row r="955" spans="1:17" hidden="1" x14ac:dyDescent="0.25">
      <c r="A955" t="s">
        <v>33</v>
      </c>
      <c r="B955" t="s">
        <v>3584</v>
      </c>
      <c r="C955" t="s">
        <v>21</v>
      </c>
      <c r="D955" t="s">
        <v>3584</v>
      </c>
      <c r="E955" t="s">
        <v>435</v>
      </c>
      <c r="F955" t="s">
        <v>3585</v>
      </c>
      <c r="G955" t="s">
        <v>24</v>
      </c>
      <c r="H955" t="s">
        <v>3586</v>
      </c>
      <c r="I955" t="s">
        <v>46</v>
      </c>
      <c r="L955" t="s">
        <v>808</v>
      </c>
      <c r="Q955" t="s">
        <v>48</v>
      </c>
    </row>
    <row r="956" spans="1:17" hidden="1" x14ac:dyDescent="0.25">
      <c r="A956" t="s">
        <v>33</v>
      </c>
      <c r="B956" t="s">
        <v>3587</v>
      </c>
      <c r="C956" t="s">
        <v>21</v>
      </c>
      <c r="D956" t="s">
        <v>3587</v>
      </c>
      <c r="E956" t="s">
        <v>568</v>
      </c>
      <c r="F956" t="s">
        <v>3560</v>
      </c>
      <c r="G956" t="s">
        <v>24</v>
      </c>
      <c r="H956" t="s">
        <v>3588</v>
      </c>
      <c r="I956" t="s">
        <v>46</v>
      </c>
      <c r="L956" t="s">
        <v>166</v>
      </c>
      <c r="Q956" t="s">
        <v>48</v>
      </c>
    </row>
    <row r="957" spans="1:17" hidden="1" x14ac:dyDescent="0.25">
      <c r="A957" t="s">
        <v>33</v>
      </c>
      <c r="B957" t="s">
        <v>3589</v>
      </c>
      <c r="C957" t="s">
        <v>21</v>
      </c>
      <c r="D957" t="s">
        <v>3589</v>
      </c>
      <c r="E957" t="s">
        <v>3590</v>
      </c>
      <c r="F957" t="s">
        <v>3591</v>
      </c>
      <c r="G957" t="s">
        <v>24</v>
      </c>
      <c r="H957" t="s">
        <v>3592</v>
      </c>
      <c r="L957" t="s">
        <v>994</v>
      </c>
    </row>
    <row r="958" spans="1:17" hidden="1" x14ac:dyDescent="0.25">
      <c r="A958" t="s">
        <v>33</v>
      </c>
      <c r="B958" t="s">
        <v>3593</v>
      </c>
      <c r="C958" t="s">
        <v>21</v>
      </c>
      <c r="D958" t="s">
        <v>3593</v>
      </c>
      <c r="E958" t="s">
        <v>1424</v>
      </c>
      <c r="F958" t="s">
        <v>3594</v>
      </c>
      <c r="G958" t="s">
        <v>24</v>
      </c>
      <c r="H958" t="s">
        <v>3595</v>
      </c>
      <c r="I958" t="s">
        <v>46</v>
      </c>
      <c r="L958" t="s">
        <v>697</v>
      </c>
      <c r="Q958" t="s">
        <v>48</v>
      </c>
    </row>
    <row r="959" spans="1:17" x14ac:dyDescent="0.25">
      <c r="A959" t="s">
        <v>33</v>
      </c>
      <c r="B959" t="s">
        <v>3596</v>
      </c>
      <c r="C959" t="s">
        <v>21</v>
      </c>
      <c r="D959" t="s">
        <v>3596</v>
      </c>
      <c r="E959" t="s">
        <v>3597</v>
      </c>
      <c r="F959" t="s">
        <v>3598</v>
      </c>
      <c r="G959" t="s">
        <v>24</v>
      </c>
      <c r="H959" t="s">
        <v>3599</v>
      </c>
      <c r="I959" t="s">
        <v>3600</v>
      </c>
      <c r="L959" t="s">
        <v>2925</v>
      </c>
      <c r="Q959" t="s">
        <v>3601</v>
      </c>
    </row>
    <row r="960" spans="1:17" hidden="1" x14ac:dyDescent="0.25">
      <c r="A960" t="s">
        <v>33</v>
      </c>
      <c r="B960" t="s">
        <v>3602</v>
      </c>
      <c r="C960" t="s">
        <v>21</v>
      </c>
      <c r="D960" t="s">
        <v>3602</v>
      </c>
      <c r="E960" t="s">
        <v>3603</v>
      </c>
      <c r="F960" t="s">
        <v>3604</v>
      </c>
      <c r="G960" t="s">
        <v>24</v>
      </c>
      <c r="H960" t="s">
        <v>3605</v>
      </c>
      <c r="I960" t="s">
        <v>46</v>
      </c>
      <c r="L960" t="s">
        <v>224</v>
      </c>
      <c r="Q960" t="s">
        <v>48</v>
      </c>
    </row>
    <row r="961" spans="1:17" hidden="1" x14ac:dyDescent="0.25">
      <c r="A961" t="s">
        <v>33</v>
      </c>
      <c r="B961" t="s">
        <v>3606</v>
      </c>
      <c r="C961" t="s">
        <v>29</v>
      </c>
      <c r="D961" t="s">
        <v>3606</v>
      </c>
      <c r="E961" t="s">
        <v>1738</v>
      </c>
      <c r="F961" t="s">
        <v>432</v>
      </c>
      <c r="G961" t="s">
        <v>24</v>
      </c>
      <c r="H961" t="s">
        <v>3607</v>
      </c>
      <c r="I961" t="s">
        <v>46</v>
      </c>
      <c r="L961" t="s">
        <v>246</v>
      </c>
      <c r="Q961" t="s">
        <v>48</v>
      </c>
    </row>
    <row r="962" spans="1:17" hidden="1" x14ac:dyDescent="0.25">
      <c r="A962" t="s">
        <v>33</v>
      </c>
      <c r="B962" t="s">
        <v>3608</v>
      </c>
      <c r="C962" t="s">
        <v>21</v>
      </c>
      <c r="D962" t="s">
        <v>3608</v>
      </c>
      <c r="E962" t="s">
        <v>3609</v>
      </c>
      <c r="F962" t="s">
        <v>3610</v>
      </c>
      <c r="G962" t="s">
        <v>24</v>
      </c>
      <c r="H962" t="s">
        <v>3611</v>
      </c>
      <c r="I962" t="s">
        <v>46</v>
      </c>
      <c r="L962" t="s">
        <v>171</v>
      </c>
      <c r="Q962" t="s">
        <v>48</v>
      </c>
    </row>
    <row r="963" spans="1:17" hidden="1" x14ac:dyDescent="0.25">
      <c r="A963" t="s">
        <v>33</v>
      </c>
      <c r="B963" t="s">
        <v>3612</v>
      </c>
      <c r="C963" t="s">
        <v>21</v>
      </c>
      <c r="D963" t="s">
        <v>3612</v>
      </c>
      <c r="E963" t="s">
        <v>338</v>
      </c>
      <c r="F963" t="s">
        <v>3613</v>
      </c>
      <c r="G963" t="s">
        <v>24</v>
      </c>
      <c r="H963" t="s">
        <v>3614</v>
      </c>
      <c r="I963" t="s">
        <v>46</v>
      </c>
      <c r="L963" t="s">
        <v>171</v>
      </c>
      <c r="Q963" t="s">
        <v>48</v>
      </c>
    </row>
    <row r="964" spans="1:17" hidden="1" x14ac:dyDescent="0.25">
      <c r="A964" t="s">
        <v>33</v>
      </c>
      <c r="B964" t="s">
        <v>3615</v>
      </c>
      <c r="C964" t="s">
        <v>21</v>
      </c>
      <c r="D964" t="s">
        <v>3615</v>
      </c>
      <c r="E964" t="s">
        <v>3616</v>
      </c>
      <c r="F964" t="s">
        <v>2774</v>
      </c>
      <c r="G964" t="s">
        <v>24</v>
      </c>
      <c r="H964" t="s">
        <v>3617</v>
      </c>
      <c r="L964" t="s">
        <v>171</v>
      </c>
    </row>
    <row r="965" spans="1:17" hidden="1" x14ac:dyDescent="0.25">
      <c r="A965" t="s">
        <v>33</v>
      </c>
      <c r="B965" t="s">
        <v>3618</v>
      </c>
      <c r="C965" t="s">
        <v>21</v>
      </c>
      <c r="D965" t="s">
        <v>3618</v>
      </c>
      <c r="E965" t="s">
        <v>568</v>
      </c>
      <c r="F965" t="s">
        <v>3619</v>
      </c>
      <c r="G965" t="s">
        <v>24</v>
      </c>
      <c r="H965" t="s">
        <v>3620</v>
      </c>
      <c r="I965" t="s">
        <v>46</v>
      </c>
      <c r="L965" t="s">
        <v>171</v>
      </c>
      <c r="Q965" t="s">
        <v>48</v>
      </c>
    </row>
    <row r="966" spans="1:17" hidden="1" x14ac:dyDescent="0.25">
      <c r="A966" t="s">
        <v>33</v>
      </c>
      <c r="B966" t="s">
        <v>3621</v>
      </c>
      <c r="C966" t="s">
        <v>21</v>
      </c>
      <c r="D966" t="s">
        <v>3621</v>
      </c>
      <c r="E966" t="s">
        <v>192</v>
      </c>
      <c r="F966" t="s">
        <v>3622</v>
      </c>
      <c r="G966" t="s">
        <v>24</v>
      </c>
      <c r="H966" t="s">
        <v>3623</v>
      </c>
      <c r="I966" t="s">
        <v>46</v>
      </c>
      <c r="L966" t="s">
        <v>171</v>
      </c>
      <c r="Q966" t="s">
        <v>48</v>
      </c>
    </row>
    <row r="967" spans="1:17" hidden="1" x14ac:dyDescent="0.25">
      <c r="A967" t="s">
        <v>33</v>
      </c>
      <c r="B967" t="s">
        <v>3624</v>
      </c>
      <c r="C967" t="s">
        <v>21</v>
      </c>
      <c r="D967" t="s">
        <v>3624</v>
      </c>
      <c r="E967" t="s">
        <v>1858</v>
      </c>
      <c r="F967" t="s">
        <v>2053</v>
      </c>
      <c r="G967" t="s">
        <v>24</v>
      </c>
      <c r="H967" t="s">
        <v>3625</v>
      </c>
      <c r="I967" t="s">
        <v>46</v>
      </c>
      <c r="L967" t="s">
        <v>166</v>
      </c>
      <c r="Q967" t="s">
        <v>48</v>
      </c>
    </row>
    <row r="968" spans="1:17" hidden="1" x14ac:dyDescent="0.25">
      <c r="A968" t="s">
        <v>33</v>
      </c>
      <c r="B968" t="s">
        <v>3626</v>
      </c>
      <c r="C968" t="s">
        <v>92</v>
      </c>
      <c r="D968" t="s">
        <v>3626</v>
      </c>
      <c r="E968" t="s">
        <v>3627</v>
      </c>
      <c r="F968" t="s">
        <v>3628</v>
      </c>
      <c r="G968" t="s">
        <v>24</v>
      </c>
      <c r="H968" t="s">
        <v>3629</v>
      </c>
      <c r="I968" t="s">
        <v>46</v>
      </c>
      <c r="L968" t="s">
        <v>3630</v>
      </c>
      <c r="Q968" t="s">
        <v>48</v>
      </c>
    </row>
    <row r="969" spans="1:17" hidden="1" x14ac:dyDescent="0.25">
      <c r="A969" t="s">
        <v>33</v>
      </c>
      <c r="B969" t="s">
        <v>3631</v>
      </c>
      <c r="C969" t="s">
        <v>21</v>
      </c>
      <c r="D969" t="s">
        <v>3631</v>
      </c>
      <c r="E969" t="s">
        <v>3632</v>
      </c>
      <c r="F969" t="s">
        <v>3633</v>
      </c>
      <c r="G969" t="s">
        <v>24</v>
      </c>
      <c r="H969" t="s">
        <v>3634</v>
      </c>
      <c r="I969" t="s">
        <v>73</v>
      </c>
      <c r="L969" t="s">
        <v>1042</v>
      </c>
      <c r="Q969" t="s">
        <v>75</v>
      </c>
    </row>
    <row r="970" spans="1:17" hidden="1" x14ac:dyDescent="0.25">
      <c r="A970" t="s">
        <v>33</v>
      </c>
      <c r="B970" t="s">
        <v>3635</v>
      </c>
      <c r="C970" t="s">
        <v>21</v>
      </c>
      <c r="D970" t="s">
        <v>3635</v>
      </c>
      <c r="E970" t="s">
        <v>187</v>
      </c>
      <c r="F970" t="s">
        <v>3636</v>
      </c>
      <c r="G970" t="s">
        <v>24</v>
      </c>
      <c r="H970" s="1" t="s">
        <v>3637</v>
      </c>
      <c r="I970" t="s">
        <v>46</v>
      </c>
      <c r="L970" t="s">
        <v>309</v>
      </c>
      <c r="Q970" t="s">
        <v>48</v>
      </c>
    </row>
    <row r="971" spans="1:17" hidden="1" x14ac:dyDescent="0.25">
      <c r="A971" t="s">
        <v>33</v>
      </c>
      <c r="B971" t="s">
        <v>3638</v>
      </c>
      <c r="C971" t="s">
        <v>21</v>
      </c>
      <c r="D971" t="s">
        <v>3638</v>
      </c>
      <c r="E971" t="s">
        <v>2466</v>
      </c>
      <c r="F971" t="s">
        <v>588</v>
      </c>
      <c r="G971" t="s">
        <v>24</v>
      </c>
      <c r="H971" t="s">
        <v>3639</v>
      </c>
      <c r="I971" t="s">
        <v>46</v>
      </c>
      <c r="L971" t="s">
        <v>171</v>
      </c>
      <c r="Q971" t="s">
        <v>48</v>
      </c>
    </row>
    <row r="972" spans="1:17" hidden="1" x14ac:dyDescent="0.25">
      <c r="A972" t="s">
        <v>33</v>
      </c>
      <c r="B972" t="s">
        <v>3640</v>
      </c>
      <c r="C972" t="s">
        <v>21</v>
      </c>
      <c r="D972" t="s">
        <v>3640</v>
      </c>
      <c r="E972" t="s">
        <v>3641</v>
      </c>
      <c r="F972" t="s">
        <v>3642</v>
      </c>
      <c r="G972" t="s">
        <v>24</v>
      </c>
      <c r="H972" t="s">
        <v>3643</v>
      </c>
      <c r="I972" t="s">
        <v>46</v>
      </c>
      <c r="L972" t="s">
        <v>349</v>
      </c>
      <c r="Q972" t="s">
        <v>48</v>
      </c>
    </row>
    <row r="973" spans="1:17" hidden="1" x14ac:dyDescent="0.25">
      <c r="A973" t="s">
        <v>33</v>
      </c>
      <c r="B973" t="s">
        <v>3644</v>
      </c>
      <c r="C973" t="s">
        <v>21</v>
      </c>
      <c r="D973" t="s">
        <v>3644</v>
      </c>
      <c r="E973" t="s">
        <v>3645</v>
      </c>
      <c r="F973" t="s">
        <v>3646</v>
      </c>
      <c r="G973" t="s">
        <v>24</v>
      </c>
      <c r="H973" t="s">
        <v>3647</v>
      </c>
      <c r="I973" t="s">
        <v>46</v>
      </c>
      <c r="L973" t="s">
        <v>171</v>
      </c>
      <c r="Q973" t="s">
        <v>48</v>
      </c>
    </row>
    <row r="974" spans="1:17" x14ac:dyDescent="0.25">
      <c r="A974" t="s">
        <v>33</v>
      </c>
      <c r="B974" t="s">
        <v>3648</v>
      </c>
      <c r="C974" t="s">
        <v>21</v>
      </c>
      <c r="D974" t="s">
        <v>3649</v>
      </c>
      <c r="E974" t="s">
        <v>2864</v>
      </c>
      <c r="F974" t="s">
        <v>3650</v>
      </c>
      <c r="G974" t="s">
        <v>24</v>
      </c>
      <c r="H974" t="s">
        <v>3651</v>
      </c>
      <c r="I974" t="s">
        <v>3652</v>
      </c>
      <c r="L974" t="s">
        <v>3653</v>
      </c>
      <c r="Q974" t="s">
        <v>3654</v>
      </c>
    </row>
    <row r="975" spans="1:17" hidden="1" x14ac:dyDescent="0.25">
      <c r="A975" t="s">
        <v>33</v>
      </c>
      <c r="B975" t="s">
        <v>3655</v>
      </c>
      <c r="C975" t="s">
        <v>21</v>
      </c>
      <c r="D975" t="s">
        <v>3655</v>
      </c>
      <c r="E975" t="s">
        <v>302</v>
      </c>
      <c r="F975" t="s">
        <v>3656</v>
      </c>
      <c r="G975" t="s">
        <v>24</v>
      </c>
      <c r="H975" t="s">
        <v>3657</v>
      </c>
      <c r="I975" t="s">
        <v>46</v>
      </c>
      <c r="L975" t="s">
        <v>53</v>
      </c>
      <c r="Q975" t="s">
        <v>48</v>
      </c>
    </row>
    <row r="976" spans="1:17" hidden="1" x14ac:dyDescent="0.25">
      <c r="A976" t="s">
        <v>33</v>
      </c>
      <c r="B976" t="s">
        <v>3658</v>
      </c>
      <c r="C976" t="s">
        <v>21</v>
      </c>
      <c r="D976" t="s">
        <v>3658</v>
      </c>
      <c r="E976" t="s">
        <v>1813</v>
      </c>
      <c r="F976" t="s">
        <v>3659</v>
      </c>
      <c r="G976" t="s">
        <v>24</v>
      </c>
      <c r="H976" t="s">
        <v>3660</v>
      </c>
      <c r="L976" t="s">
        <v>484</v>
      </c>
    </row>
    <row r="977" spans="1:17" x14ac:dyDescent="0.25">
      <c r="A977" t="s">
        <v>33</v>
      </c>
      <c r="B977" t="s">
        <v>3661</v>
      </c>
      <c r="C977" t="s">
        <v>21</v>
      </c>
      <c r="D977" t="s">
        <v>3661</v>
      </c>
      <c r="E977" t="s">
        <v>1706</v>
      </c>
      <c r="F977" t="s">
        <v>3662</v>
      </c>
      <c r="G977" t="s">
        <v>24</v>
      </c>
      <c r="H977" t="s">
        <v>3663</v>
      </c>
      <c r="I977" t="s">
        <v>3600</v>
      </c>
      <c r="L977" t="s">
        <v>2925</v>
      </c>
      <c r="Q977" t="s">
        <v>3601</v>
      </c>
    </row>
    <row r="978" spans="1:17" hidden="1" x14ac:dyDescent="0.25">
      <c r="A978" t="s">
        <v>33</v>
      </c>
      <c r="B978" t="s">
        <v>3664</v>
      </c>
      <c r="C978" t="s">
        <v>29</v>
      </c>
      <c r="D978" t="s">
        <v>3664</v>
      </c>
      <c r="E978" t="s">
        <v>3665</v>
      </c>
      <c r="F978" t="s">
        <v>3666</v>
      </c>
      <c r="G978" t="s">
        <v>24</v>
      </c>
      <c r="H978" t="s">
        <v>3667</v>
      </c>
      <c r="I978" t="s">
        <v>46</v>
      </c>
      <c r="L978" t="s">
        <v>511</v>
      </c>
      <c r="Q978" t="s">
        <v>48</v>
      </c>
    </row>
    <row r="979" spans="1:17" x14ac:dyDescent="0.25">
      <c r="A979" t="s">
        <v>33</v>
      </c>
      <c r="B979" t="s">
        <v>3668</v>
      </c>
      <c r="C979" t="s">
        <v>21</v>
      </c>
      <c r="D979" t="s">
        <v>3669</v>
      </c>
      <c r="E979" t="s">
        <v>3670</v>
      </c>
      <c r="F979" t="s">
        <v>330</v>
      </c>
      <c r="G979" t="s">
        <v>24</v>
      </c>
      <c r="H979" t="s">
        <v>3671</v>
      </c>
      <c r="I979" t="s">
        <v>452</v>
      </c>
      <c r="L979" t="s">
        <v>3653</v>
      </c>
      <c r="Q979" t="s">
        <v>454</v>
      </c>
    </row>
    <row r="980" spans="1:17" hidden="1" x14ac:dyDescent="0.25">
      <c r="A980" t="s">
        <v>33</v>
      </c>
      <c r="B980" t="s">
        <v>3672</v>
      </c>
      <c r="C980" t="s">
        <v>21</v>
      </c>
      <c r="D980" t="s">
        <v>3672</v>
      </c>
      <c r="E980" t="s">
        <v>3673</v>
      </c>
      <c r="F980" t="s">
        <v>3674</v>
      </c>
      <c r="G980" t="s">
        <v>24</v>
      </c>
      <c r="H980" t="s">
        <v>3675</v>
      </c>
      <c r="I980" t="s">
        <v>73</v>
      </c>
      <c r="L980" t="s">
        <v>292</v>
      </c>
      <c r="Q980" t="s">
        <v>75</v>
      </c>
    </row>
    <row r="981" spans="1:17" hidden="1" x14ac:dyDescent="0.25">
      <c r="A981" t="s">
        <v>33</v>
      </c>
      <c r="B981" t="s">
        <v>3676</v>
      </c>
      <c r="C981" t="s">
        <v>21</v>
      </c>
      <c r="D981" t="s">
        <v>3676</v>
      </c>
      <c r="E981" t="s">
        <v>723</v>
      </c>
      <c r="F981" t="s">
        <v>3677</v>
      </c>
      <c r="G981" t="s">
        <v>24</v>
      </c>
      <c r="H981" t="s">
        <v>3678</v>
      </c>
      <c r="I981" t="s">
        <v>46</v>
      </c>
      <c r="L981" t="s">
        <v>1981</v>
      </c>
      <c r="Q981" t="s">
        <v>48</v>
      </c>
    </row>
    <row r="982" spans="1:17" hidden="1" x14ac:dyDescent="0.25">
      <c r="A982" t="s">
        <v>33</v>
      </c>
      <c r="B982" t="s">
        <v>3679</v>
      </c>
      <c r="C982" t="s">
        <v>21</v>
      </c>
      <c r="D982" t="s">
        <v>3679</v>
      </c>
      <c r="E982" t="s">
        <v>3680</v>
      </c>
      <c r="F982" t="s">
        <v>330</v>
      </c>
      <c r="G982" t="s">
        <v>24</v>
      </c>
      <c r="H982" t="s">
        <v>3681</v>
      </c>
      <c r="I982" t="s">
        <v>46</v>
      </c>
      <c r="L982" t="s">
        <v>1042</v>
      </c>
      <c r="Q982" t="s">
        <v>48</v>
      </c>
    </row>
    <row r="983" spans="1:17" hidden="1" x14ac:dyDescent="0.25">
      <c r="A983" t="s">
        <v>33</v>
      </c>
      <c r="B983" t="s">
        <v>3682</v>
      </c>
      <c r="C983" t="s">
        <v>21</v>
      </c>
      <c r="D983" t="s">
        <v>3682</v>
      </c>
      <c r="E983" t="s">
        <v>87</v>
      </c>
      <c r="F983" t="s">
        <v>436</v>
      </c>
      <c r="G983" t="s">
        <v>24</v>
      </c>
      <c r="H983" t="s">
        <v>3683</v>
      </c>
      <c r="I983" t="s">
        <v>73</v>
      </c>
      <c r="L983" t="s">
        <v>3684</v>
      </c>
      <c r="Q983" t="s">
        <v>75</v>
      </c>
    </row>
    <row r="984" spans="1:17" hidden="1" x14ac:dyDescent="0.25">
      <c r="A984" t="s">
        <v>33</v>
      </c>
      <c r="B984" t="s">
        <v>3685</v>
      </c>
      <c r="C984" t="s">
        <v>21</v>
      </c>
      <c r="D984" t="s">
        <v>3685</v>
      </c>
      <c r="E984" t="s">
        <v>3686</v>
      </c>
      <c r="F984" t="s">
        <v>3687</v>
      </c>
      <c r="G984" t="s">
        <v>24</v>
      </c>
      <c r="H984" t="s">
        <v>3688</v>
      </c>
      <c r="L984" t="s">
        <v>90</v>
      </c>
    </row>
    <row r="985" spans="1:17" hidden="1" x14ac:dyDescent="0.25">
      <c r="A985" t="s">
        <v>33</v>
      </c>
      <c r="B985" t="s">
        <v>3689</v>
      </c>
      <c r="C985" t="s">
        <v>21</v>
      </c>
      <c r="D985" t="s">
        <v>3689</v>
      </c>
      <c r="E985" t="s">
        <v>367</v>
      </c>
      <c r="F985" t="s">
        <v>3690</v>
      </c>
      <c r="G985" t="s">
        <v>24</v>
      </c>
      <c r="H985" t="s">
        <v>3691</v>
      </c>
      <c r="L985" t="s">
        <v>171</v>
      </c>
    </row>
    <row r="986" spans="1:17" hidden="1" x14ac:dyDescent="0.25">
      <c r="A986" t="s">
        <v>33</v>
      </c>
      <c r="B986" t="s">
        <v>3692</v>
      </c>
      <c r="C986" t="s">
        <v>21</v>
      </c>
      <c r="D986" t="s">
        <v>3692</v>
      </c>
      <c r="E986" t="s">
        <v>3693</v>
      </c>
      <c r="F986" t="s">
        <v>3694</v>
      </c>
      <c r="G986" t="s">
        <v>24</v>
      </c>
      <c r="H986" t="s">
        <v>3695</v>
      </c>
      <c r="I986" t="s">
        <v>73</v>
      </c>
      <c r="L986" t="s">
        <v>349</v>
      </c>
      <c r="Q986" t="s">
        <v>75</v>
      </c>
    </row>
    <row r="987" spans="1:17" hidden="1" x14ac:dyDescent="0.25">
      <c r="A987" t="s">
        <v>33</v>
      </c>
      <c r="B987" t="s">
        <v>3696</v>
      </c>
      <c r="C987" t="s">
        <v>21</v>
      </c>
      <c r="D987" t="s">
        <v>3696</v>
      </c>
      <c r="E987" t="s">
        <v>894</v>
      </c>
      <c r="F987" t="s">
        <v>3697</v>
      </c>
      <c r="G987" t="s">
        <v>24</v>
      </c>
      <c r="H987" t="s">
        <v>3698</v>
      </c>
      <c r="I987" t="s">
        <v>46</v>
      </c>
      <c r="L987" t="s">
        <v>1923</v>
      </c>
      <c r="Q987" t="s">
        <v>48</v>
      </c>
    </row>
    <row r="988" spans="1:17" hidden="1" x14ac:dyDescent="0.25">
      <c r="A988" t="s">
        <v>33</v>
      </c>
      <c r="B988" t="s">
        <v>3699</v>
      </c>
      <c r="C988" t="s">
        <v>21</v>
      </c>
      <c r="D988" t="s">
        <v>3699</v>
      </c>
      <c r="E988" t="s">
        <v>3700</v>
      </c>
      <c r="F988" t="s">
        <v>3701</v>
      </c>
      <c r="G988" t="s">
        <v>24</v>
      </c>
      <c r="H988" t="s">
        <v>3702</v>
      </c>
      <c r="I988" t="s">
        <v>46</v>
      </c>
      <c r="L988" t="s">
        <v>38</v>
      </c>
      <c r="Q988" t="s">
        <v>48</v>
      </c>
    </row>
    <row r="989" spans="1:17" hidden="1" x14ac:dyDescent="0.25">
      <c r="A989" t="s">
        <v>33</v>
      </c>
      <c r="B989" t="s">
        <v>3703</v>
      </c>
      <c r="C989" t="s">
        <v>21</v>
      </c>
      <c r="D989" t="s">
        <v>3703</v>
      </c>
      <c r="E989" t="s">
        <v>70</v>
      </c>
      <c r="F989" t="s">
        <v>822</v>
      </c>
      <c r="G989" t="s">
        <v>24</v>
      </c>
      <c r="H989" t="s">
        <v>3704</v>
      </c>
      <c r="I989" t="s">
        <v>46</v>
      </c>
      <c r="L989" t="s">
        <v>171</v>
      </c>
      <c r="Q989" t="s">
        <v>48</v>
      </c>
    </row>
    <row r="990" spans="1:17" hidden="1" x14ac:dyDescent="0.25">
      <c r="A990" t="s">
        <v>33</v>
      </c>
      <c r="B990" t="s">
        <v>3705</v>
      </c>
      <c r="C990" t="s">
        <v>21</v>
      </c>
      <c r="D990" t="s">
        <v>3705</v>
      </c>
      <c r="E990" t="s">
        <v>2480</v>
      </c>
      <c r="F990" t="s">
        <v>3706</v>
      </c>
      <c r="G990" t="s">
        <v>24</v>
      </c>
      <c r="H990" t="s">
        <v>3707</v>
      </c>
      <c r="I990" t="s">
        <v>73</v>
      </c>
      <c r="L990" t="s">
        <v>697</v>
      </c>
      <c r="Q990" t="s">
        <v>75</v>
      </c>
    </row>
    <row r="991" spans="1:17" hidden="1" x14ac:dyDescent="0.25">
      <c r="A991" t="s">
        <v>33</v>
      </c>
      <c r="B991" t="s">
        <v>3708</v>
      </c>
      <c r="C991" t="s">
        <v>29</v>
      </c>
      <c r="D991" t="s">
        <v>3708</v>
      </c>
      <c r="E991" t="s">
        <v>187</v>
      </c>
      <c r="F991" t="s">
        <v>3709</v>
      </c>
      <c r="G991" t="s">
        <v>24</v>
      </c>
      <c r="H991" t="s">
        <v>3710</v>
      </c>
      <c r="I991" t="s">
        <v>46</v>
      </c>
      <c r="L991" t="s">
        <v>246</v>
      </c>
      <c r="Q991" t="s">
        <v>48</v>
      </c>
    </row>
    <row r="992" spans="1:17" hidden="1" x14ac:dyDescent="0.25">
      <c r="A992" t="s">
        <v>33</v>
      </c>
      <c r="B992" t="s">
        <v>3711</v>
      </c>
      <c r="C992" t="s">
        <v>21</v>
      </c>
      <c r="D992" t="s">
        <v>3712</v>
      </c>
      <c r="E992" t="s">
        <v>2864</v>
      </c>
      <c r="F992" t="s">
        <v>3713</v>
      </c>
      <c r="G992" t="s">
        <v>24</v>
      </c>
      <c r="H992" t="s">
        <v>3714</v>
      </c>
      <c r="L992" t="s">
        <v>2329</v>
      </c>
    </row>
    <row r="993" spans="1:17" hidden="1" x14ac:dyDescent="0.25">
      <c r="A993" t="s">
        <v>33</v>
      </c>
      <c r="B993" t="s">
        <v>3715</v>
      </c>
      <c r="C993" t="s">
        <v>21</v>
      </c>
      <c r="D993" t="s">
        <v>3715</v>
      </c>
      <c r="E993" t="s">
        <v>3716</v>
      </c>
      <c r="F993" t="s">
        <v>3717</v>
      </c>
      <c r="G993" t="s">
        <v>24</v>
      </c>
      <c r="H993" t="s">
        <v>3718</v>
      </c>
      <c r="L993" t="s">
        <v>273</v>
      </c>
    </row>
    <row r="994" spans="1:17" hidden="1" x14ac:dyDescent="0.25">
      <c r="A994" t="s">
        <v>33</v>
      </c>
      <c r="B994" t="s">
        <v>3719</v>
      </c>
      <c r="C994" t="s">
        <v>21</v>
      </c>
      <c r="D994" t="s">
        <v>3719</v>
      </c>
      <c r="E994" t="s">
        <v>140</v>
      </c>
      <c r="F994" t="s">
        <v>3720</v>
      </c>
      <c r="G994" t="s">
        <v>24</v>
      </c>
      <c r="H994" t="s">
        <v>3721</v>
      </c>
      <c r="I994" t="s">
        <v>46</v>
      </c>
      <c r="L994" t="s">
        <v>389</v>
      </c>
      <c r="Q994" t="s">
        <v>48</v>
      </c>
    </row>
    <row r="995" spans="1:17" hidden="1" x14ac:dyDescent="0.25">
      <c r="A995" t="s">
        <v>33</v>
      </c>
      <c r="B995" t="s">
        <v>3722</v>
      </c>
      <c r="C995" t="s">
        <v>21</v>
      </c>
      <c r="D995" t="s">
        <v>3722</v>
      </c>
      <c r="E995" t="s">
        <v>3723</v>
      </c>
      <c r="F995" t="s">
        <v>3724</v>
      </c>
      <c r="G995" t="s">
        <v>24</v>
      </c>
      <c r="H995" t="s">
        <v>3725</v>
      </c>
      <c r="I995" t="s">
        <v>46</v>
      </c>
      <c r="L995" t="s">
        <v>90</v>
      </c>
      <c r="Q995" t="s">
        <v>48</v>
      </c>
    </row>
    <row r="996" spans="1:17" hidden="1" x14ac:dyDescent="0.25">
      <c r="A996" t="s">
        <v>33</v>
      </c>
      <c r="B996" t="s">
        <v>3726</v>
      </c>
      <c r="C996" t="s">
        <v>21</v>
      </c>
      <c r="D996" t="s">
        <v>3726</v>
      </c>
      <c r="E996" t="s">
        <v>2941</v>
      </c>
      <c r="F996" t="s">
        <v>3727</v>
      </c>
      <c r="G996" t="s">
        <v>24</v>
      </c>
      <c r="H996" t="s">
        <v>3728</v>
      </c>
      <c r="I996" t="s">
        <v>46</v>
      </c>
      <c r="L996" t="s">
        <v>90</v>
      </c>
      <c r="Q996" t="s">
        <v>48</v>
      </c>
    </row>
    <row r="997" spans="1:17" hidden="1" x14ac:dyDescent="0.25">
      <c r="A997" t="s">
        <v>33</v>
      </c>
      <c r="B997" t="s">
        <v>3729</v>
      </c>
      <c r="C997" t="s">
        <v>21</v>
      </c>
      <c r="D997" t="s">
        <v>3729</v>
      </c>
      <c r="E997" t="s">
        <v>3730</v>
      </c>
      <c r="F997" t="s">
        <v>515</v>
      </c>
      <c r="G997" t="s">
        <v>24</v>
      </c>
      <c r="H997" t="s">
        <v>3731</v>
      </c>
      <c r="I997" t="s">
        <v>46</v>
      </c>
      <c r="L997" t="s">
        <v>90</v>
      </c>
      <c r="Q997" t="s">
        <v>48</v>
      </c>
    </row>
    <row r="998" spans="1:17" hidden="1" x14ac:dyDescent="0.25">
      <c r="A998" t="s">
        <v>33</v>
      </c>
      <c r="B998" t="s">
        <v>3732</v>
      </c>
      <c r="C998" t="s">
        <v>21</v>
      </c>
      <c r="D998" t="s">
        <v>3732</v>
      </c>
      <c r="E998" t="s">
        <v>400</v>
      </c>
      <c r="F998" t="s">
        <v>3733</v>
      </c>
      <c r="G998" t="s">
        <v>24</v>
      </c>
      <c r="H998" t="s">
        <v>3734</v>
      </c>
      <c r="I998" t="s">
        <v>46</v>
      </c>
      <c r="L998" t="s">
        <v>90</v>
      </c>
      <c r="Q998" t="s">
        <v>48</v>
      </c>
    </row>
    <row r="999" spans="1:17" hidden="1" x14ac:dyDescent="0.25">
      <c r="A999" t="s">
        <v>33</v>
      </c>
      <c r="B999" t="s">
        <v>3735</v>
      </c>
      <c r="C999" t="s">
        <v>21</v>
      </c>
      <c r="D999" t="s">
        <v>3735</v>
      </c>
      <c r="E999" t="s">
        <v>3736</v>
      </c>
      <c r="F999" t="s">
        <v>3737</v>
      </c>
      <c r="G999" t="s">
        <v>24</v>
      </c>
      <c r="H999" t="s">
        <v>3738</v>
      </c>
      <c r="L999" t="s">
        <v>90</v>
      </c>
    </row>
    <row r="1000" spans="1:17" hidden="1" x14ac:dyDescent="0.25">
      <c r="A1000" t="s">
        <v>33</v>
      </c>
      <c r="B1000" t="s">
        <v>3739</v>
      </c>
      <c r="C1000" t="s">
        <v>21</v>
      </c>
      <c r="D1000" t="s">
        <v>3739</v>
      </c>
      <c r="E1000" t="s">
        <v>178</v>
      </c>
      <c r="F1000" t="s">
        <v>3740</v>
      </c>
      <c r="G1000" t="s">
        <v>24</v>
      </c>
      <c r="H1000" t="s">
        <v>3741</v>
      </c>
      <c r="I1000" t="s">
        <v>46</v>
      </c>
      <c r="L1000" t="s">
        <v>90</v>
      </c>
      <c r="Q1000" t="s">
        <v>48</v>
      </c>
    </row>
    <row r="1001" spans="1:17" hidden="1" x14ac:dyDescent="0.25">
      <c r="A1001" t="s">
        <v>33</v>
      </c>
      <c r="B1001" t="s">
        <v>3742</v>
      </c>
      <c r="C1001" t="s">
        <v>21</v>
      </c>
      <c r="D1001" t="s">
        <v>3742</v>
      </c>
      <c r="E1001" t="s">
        <v>3422</v>
      </c>
      <c r="F1001" t="s">
        <v>295</v>
      </c>
      <c r="G1001" t="s">
        <v>24</v>
      </c>
      <c r="H1001" t="s">
        <v>3743</v>
      </c>
      <c r="I1001" t="s">
        <v>46</v>
      </c>
      <c r="L1001" t="s">
        <v>620</v>
      </c>
      <c r="Q1001" t="s">
        <v>48</v>
      </c>
    </row>
    <row r="1002" spans="1:17" hidden="1" x14ac:dyDescent="0.25">
      <c r="A1002" t="s">
        <v>33</v>
      </c>
      <c r="B1002" t="s">
        <v>3744</v>
      </c>
      <c r="C1002" t="s">
        <v>21</v>
      </c>
      <c r="D1002" t="s">
        <v>3744</v>
      </c>
      <c r="E1002" t="s">
        <v>568</v>
      </c>
      <c r="F1002" t="s">
        <v>3745</v>
      </c>
      <c r="G1002" t="s">
        <v>24</v>
      </c>
      <c r="H1002" t="s">
        <v>3746</v>
      </c>
      <c r="I1002" t="s">
        <v>46</v>
      </c>
      <c r="L1002" t="s">
        <v>273</v>
      </c>
      <c r="Q1002" t="s">
        <v>48</v>
      </c>
    </row>
    <row r="1003" spans="1:17" hidden="1" x14ac:dyDescent="0.25">
      <c r="A1003" t="s">
        <v>33</v>
      </c>
      <c r="B1003" t="s">
        <v>3747</v>
      </c>
      <c r="C1003" t="s">
        <v>21</v>
      </c>
      <c r="D1003" t="s">
        <v>3747</v>
      </c>
      <c r="E1003" t="s">
        <v>3748</v>
      </c>
      <c r="F1003" t="s">
        <v>3749</v>
      </c>
      <c r="G1003" t="s">
        <v>24</v>
      </c>
      <c r="H1003" t="s">
        <v>3750</v>
      </c>
      <c r="I1003" t="s">
        <v>46</v>
      </c>
      <c r="L1003" t="s">
        <v>185</v>
      </c>
      <c r="Q1003" t="s">
        <v>48</v>
      </c>
    </row>
    <row r="1004" spans="1:17" hidden="1" x14ac:dyDescent="0.25">
      <c r="A1004" t="s">
        <v>33</v>
      </c>
      <c r="B1004" t="s">
        <v>3751</v>
      </c>
      <c r="C1004" t="s">
        <v>21</v>
      </c>
      <c r="D1004" t="s">
        <v>3751</v>
      </c>
      <c r="E1004" t="s">
        <v>226</v>
      </c>
      <c r="F1004" t="s">
        <v>3752</v>
      </c>
      <c r="G1004" t="s">
        <v>24</v>
      </c>
      <c r="H1004" t="s">
        <v>3753</v>
      </c>
      <c r="I1004" t="s">
        <v>46</v>
      </c>
      <c r="L1004" t="s">
        <v>166</v>
      </c>
      <c r="Q1004" t="s">
        <v>48</v>
      </c>
    </row>
    <row r="1005" spans="1:17" hidden="1" x14ac:dyDescent="0.25">
      <c r="A1005" t="s">
        <v>33</v>
      </c>
      <c r="B1005" t="s">
        <v>3754</v>
      </c>
      <c r="C1005" t="s">
        <v>21</v>
      </c>
      <c r="D1005" t="s">
        <v>3755</v>
      </c>
      <c r="E1005" t="s">
        <v>3756</v>
      </c>
      <c r="F1005" t="s">
        <v>3757</v>
      </c>
      <c r="G1005" t="s">
        <v>24</v>
      </c>
      <c r="H1005" t="s">
        <v>3758</v>
      </c>
      <c r="I1005" t="s">
        <v>73</v>
      </c>
      <c r="L1005" t="s">
        <v>166</v>
      </c>
      <c r="Q1005" t="s">
        <v>75</v>
      </c>
    </row>
    <row r="1006" spans="1:17" hidden="1" x14ac:dyDescent="0.25">
      <c r="A1006" t="s">
        <v>33</v>
      </c>
      <c r="B1006" t="s">
        <v>3759</v>
      </c>
      <c r="C1006" t="s">
        <v>21</v>
      </c>
      <c r="D1006" t="s">
        <v>3759</v>
      </c>
      <c r="E1006" t="s">
        <v>872</v>
      </c>
      <c r="F1006" t="s">
        <v>3760</v>
      </c>
      <c r="G1006" t="s">
        <v>24</v>
      </c>
      <c r="H1006" t="s">
        <v>3761</v>
      </c>
      <c r="I1006" t="s">
        <v>46</v>
      </c>
      <c r="L1006" t="s">
        <v>166</v>
      </c>
      <c r="Q1006" t="s">
        <v>48</v>
      </c>
    </row>
    <row r="1007" spans="1:17" hidden="1" x14ac:dyDescent="0.25">
      <c r="A1007" t="s">
        <v>33</v>
      </c>
      <c r="B1007" t="s">
        <v>3762</v>
      </c>
      <c r="C1007" t="s">
        <v>21</v>
      </c>
      <c r="D1007" t="s">
        <v>3762</v>
      </c>
      <c r="E1007" t="s">
        <v>3763</v>
      </c>
      <c r="F1007" t="s">
        <v>3764</v>
      </c>
      <c r="G1007" t="s">
        <v>24</v>
      </c>
      <c r="H1007" t="s">
        <v>3765</v>
      </c>
      <c r="I1007" t="s">
        <v>46</v>
      </c>
      <c r="L1007" t="s">
        <v>273</v>
      </c>
      <c r="Q1007" t="s">
        <v>48</v>
      </c>
    </row>
    <row r="1008" spans="1:17" hidden="1" x14ac:dyDescent="0.25">
      <c r="A1008" t="s">
        <v>33</v>
      </c>
      <c r="B1008" t="s">
        <v>3766</v>
      </c>
      <c r="C1008" t="s">
        <v>21</v>
      </c>
      <c r="D1008" t="s">
        <v>3766</v>
      </c>
      <c r="E1008" t="s">
        <v>3767</v>
      </c>
      <c r="F1008" t="s">
        <v>3768</v>
      </c>
      <c r="G1008" t="s">
        <v>24</v>
      </c>
      <c r="H1008" t="s">
        <v>3769</v>
      </c>
      <c r="L1008" t="s">
        <v>224</v>
      </c>
    </row>
    <row r="1009" spans="1:17" hidden="1" x14ac:dyDescent="0.25">
      <c r="A1009" t="s">
        <v>33</v>
      </c>
      <c r="B1009" t="s">
        <v>3770</v>
      </c>
      <c r="C1009" t="s">
        <v>21</v>
      </c>
      <c r="D1009" t="s">
        <v>3770</v>
      </c>
      <c r="E1009" t="s">
        <v>3771</v>
      </c>
      <c r="F1009" t="s">
        <v>3496</v>
      </c>
      <c r="G1009" t="s">
        <v>24</v>
      </c>
      <c r="H1009" t="s">
        <v>3772</v>
      </c>
      <c r="I1009" t="s">
        <v>46</v>
      </c>
      <c r="L1009" t="s">
        <v>3773</v>
      </c>
      <c r="Q1009" t="s">
        <v>48</v>
      </c>
    </row>
    <row r="1010" spans="1:17" hidden="1" x14ac:dyDescent="0.25">
      <c r="A1010" t="s">
        <v>33</v>
      </c>
      <c r="B1010" t="s">
        <v>3774</v>
      </c>
      <c r="C1010" t="s">
        <v>21</v>
      </c>
      <c r="D1010" t="s">
        <v>3774</v>
      </c>
      <c r="E1010" t="s">
        <v>568</v>
      </c>
      <c r="F1010" t="s">
        <v>3775</v>
      </c>
      <c r="G1010" t="s">
        <v>24</v>
      </c>
      <c r="H1010" t="s">
        <v>3776</v>
      </c>
      <c r="I1010" t="s">
        <v>46</v>
      </c>
      <c r="L1010" t="s">
        <v>309</v>
      </c>
      <c r="Q1010" t="s">
        <v>48</v>
      </c>
    </row>
    <row r="1011" spans="1:17" hidden="1" x14ac:dyDescent="0.25">
      <c r="A1011" t="s">
        <v>33</v>
      </c>
      <c r="B1011" t="s">
        <v>3777</v>
      </c>
      <c r="C1011" t="s">
        <v>21</v>
      </c>
      <c r="D1011" t="s">
        <v>3777</v>
      </c>
      <c r="E1011" t="s">
        <v>3778</v>
      </c>
      <c r="F1011" t="s">
        <v>3779</v>
      </c>
      <c r="G1011" t="s">
        <v>24</v>
      </c>
      <c r="H1011" t="s">
        <v>3780</v>
      </c>
      <c r="I1011" t="s">
        <v>73</v>
      </c>
      <c r="L1011" t="s">
        <v>292</v>
      </c>
      <c r="Q1011" t="s">
        <v>75</v>
      </c>
    </row>
    <row r="1012" spans="1:17" hidden="1" x14ac:dyDescent="0.25">
      <c r="A1012" t="s">
        <v>33</v>
      </c>
      <c r="B1012" t="s">
        <v>3781</v>
      </c>
      <c r="C1012" t="s">
        <v>21</v>
      </c>
      <c r="D1012" t="s">
        <v>3781</v>
      </c>
      <c r="E1012" t="s">
        <v>3782</v>
      </c>
      <c r="F1012" t="s">
        <v>3783</v>
      </c>
      <c r="G1012" t="s">
        <v>24</v>
      </c>
      <c r="H1012" t="s">
        <v>3784</v>
      </c>
      <c r="I1012" t="s">
        <v>46</v>
      </c>
      <c r="L1012" t="s">
        <v>287</v>
      </c>
      <c r="Q1012" t="s">
        <v>48</v>
      </c>
    </row>
    <row r="1013" spans="1:17" hidden="1" x14ac:dyDescent="0.25">
      <c r="A1013" t="s">
        <v>33</v>
      </c>
      <c r="B1013" t="s">
        <v>3785</v>
      </c>
      <c r="C1013" t="s">
        <v>21</v>
      </c>
      <c r="D1013" t="s">
        <v>3785</v>
      </c>
      <c r="E1013" t="s">
        <v>126</v>
      </c>
      <c r="F1013" t="s">
        <v>3786</v>
      </c>
      <c r="G1013" t="s">
        <v>24</v>
      </c>
      <c r="H1013" t="s">
        <v>3787</v>
      </c>
      <c r="I1013" t="s">
        <v>46</v>
      </c>
      <c r="L1013" t="s">
        <v>2780</v>
      </c>
      <c r="Q1013" t="s">
        <v>48</v>
      </c>
    </row>
    <row r="1014" spans="1:17" hidden="1" x14ac:dyDescent="0.25">
      <c r="A1014" t="s">
        <v>33</v>
      </c>
      <c r="B1014" t="s">
        <v>3788</v>
      </c>
      <c r="C1014" t="s">
        <v>21</v>
      </c>
      <c r="D1014" t="s">
        <v>3788</v>
      </c>
      <c r="E1014" t="s">
        <v>1003</v>
      </c>
      <c r="F1014" t="s">
        <v>2426</v>
      </c>
      <c r="G1014" t="s">
        <v>24</v>
      </c>
      <c r="H1014" t="s">
        <v>3789</v>
      </c>
      <c r="I1014" t="s">
        <v>46</v>
      </c>
      <c r="L1014" t="s">
        <v>171</v>
      </c>
      <c r="Q1014" t="s">
        <v>48</v>
      </c>
    </row>
    <row r="1015" spans="1:17" x14ac:dyDescent="0.25">
      <c r="A1015" t="s">
        <v>33</v>
      </c>
      <c r="B1015" t="s">
        <v>3790</v>
      </c>
      <c r="C1015" t="s">
        <v>21</v>
      </c>
      <c r="D1015" t="s">
        <v>3790</v>
      </c>
      <c r="E1015" t="s">
        <v>610</v>
      </c>
      <c r="F1015" t="s">
        <v>3430</v>
      </c>
      <c r="G1015" t="s">
        <v>24</v>
      </c>
      <c r="H1015" t="s">
        <v>3791</v>
      </c>
      <c r="I1015" t="s">
        <v>1055</v>
      </c>
      <c r="L1015" t="s">
        <v>349</v>
      </c>
      <c r="Q1015" t="s">
        <v>1056</v>
      </c>
    </row>
    <row r="1016" spans="1:17" hidden="1" x14ac:dyDescent="0.25">
      <c r="A1016" t="s">
        <v>33</v>
      </c>
      <c r="B1016" t="s">
        <v>3792</v>
      </c>
      <c r="C1016" t="s">
        <v>29</v>
      </c>
      <c r="D1016" t="s">
        <v>3792</v>
      </c>
      <c r="E1016" t="s">
        <v>3793</v>
      </c>
      <c r="F1016" t="s">
        <v>3794</v>
      </c>
      <c r="G1016" t="s">
        <v>24</v>
      </c>
      <c r="H1016" t="s">
        <v>3795</v>
      </c>
      <c r="I1016" t="s">
        <v>46</v>
      </c>
      <c r="L1016" t="s">
        <v>861</v>
      </c>
      <c r="Q1016" t="s">
        <v>48</v>
      </c>
    </row>
    <row r="1017" spans="1:17" hidden="1" x14ac:dyDescent="0.25">
      <c r="A1017" t="s">
        <v>33</v>
      </c>
      <c r="B1017" t="s">
        <v>3796</v>
      </c>
      <c r="C1017" t="s">
        <v>29</v>
      </c>
      <c r="D1017" t="s">
        <v>3796</v>
      </c>
      <c r="E1017" t="s">
        <v>3797</v>
      </c>
      <c r="F1017" t="s">
        <v>3798</v>
      </c>
      <c r="G1017" t="s">
        <v>24</v>
      </c>
      <c r="H1017" t="s">
        <v>3799</v>
      </c>
      <c r="I1017" t="s">
        <v>46</v>
      </c>
      <c r="L1017" t="s">
        <v>511</v>
      </c>
      <c r="Q1017" t="s">
        <v>48</v>
      </c>
    </row>
    <row r="1018" spans="1:17" hidden="1" x14ac:dyDescent="0.25">
      <c r="A1018" t="s">
        <v>33</v>
      </c>
      <c r="B1018" t="s">
        <v>3800</v>
      </c>
      <c r="C1018" t="s">
        <v>21</v>
      </c>
      <c r="D1018" t="s">
        <v>3800</v>
      </c>
      <c r="E1018" t="s">
        <v>524</v>
      </c>
      <c r="F1018" t="s">
        <v>1685</v>
      </c>
      <c r="G1018" t="s">
        <v>24</v>
      </c>
      <c r="H1018" t="s">
        <v>3801</v>
      </c>
      <c r="I1018" t="s">
        <v>46</v>
      </c>
      <c r="L1018" t="s">
        <v>1013</v>
      </c>
      <c r="Q1018" t="s">
        <v>48</v>
      </c>
    </row>
    <row r="1019" spans="1:17" hidden="1" x14ac:dyDescent="0.25">
      <c r="A1019" t="s">
        <v>33</v>
      </c>
      <c r="B1019" t="s">
        <v>3802</v>
      </c>
      <c r="C1019" t="s">
        <v>21</v>
      </c>
      <c r="D1019" t="s">
        <v>3803</v>
      </c>
      <c r="E1019" t="s">
        <v>1766</v>
      </c>
      <c r="F1019" t="s">
        <v>3804</v>
      </c>
      <c r="G1019" t="s">
        <v>24</v>
      </c>
      <c r="H1019" t="s">
        <v>3805</v>
      </c>
      <c r="I1019" t="s">
        <v>46</v>
      </c>
      <c r="L1019" t="s">
        <v>185</v>
      </c>
      <c r="Q1019" t="s">
        <v>48</v>
      </c>
    </row>
    <row r="1020" spans="1:17" hidden="1" x14ac:dyDescent="0.25">
      <c r="A1020" t="s">
        <v>33</v>
      </c>
      <c r="B1020" t="s">
        <v>3806</v>
      </c>
      <c r="C1020" t="s">
        <v>29</v>
      </c>
      <c r="D1020" t="s">
        <v>3806</v>
      </c>
      <c r="E1020" t="s">
        <v>3401</v>
      </c>
      <c r="F1020" t="s">
        <v>101</v>
      </c>
      <c r="G1020" t="s">
        <v>24</v>
      </c>
      <c r="H1020" t="s">
        <v>3807</v>
      </c>
      <c r="L1020" t="s">
        <v>3808</v>
      </c>
    </row>
    <row r="1021" spans="1:17" hidden="1" x14ac:dyDescent="0.25">
      <c r="A1021" t="s">
        <v>33</v>
      </c>
      <c r="B1021" t="s">
        <v>3809</v>
      </c>
      <c r="C1021" t="s">
        <v>21</v>
      </c>
      <c r="D1021" t="s">
        <v>3809</v>
      </c>
      <c r="E1021" t="s">
        <v>3810</v>
      </c>
      <c r="F1021" t="s">
        <v>3811</v>
      </c>
      <c r="G1021" t="s">
        <v>24</v>
      </c>
      <c r="H1021" t="s">
        <v>3812</v>
      </c>
      <c r="I1021" t="s">
        <v>46</v>
      </c>
      <c r="L1021" t="s">
        <v>171</v>
      </c>
      <c r="Q1021" t="s">
        <v>48</v>
      </c>
    </row>
    <row r="1022" spans="1:17" hidden="1" x14ac:dyDescent="0.25">
      <c r="A1022" t="s">
        <v>33</v>
      </c>
      <c r="B1022" t="s">
        <v>3813</v>
      </c>
      <c r="C1022" t="s">
        <v>21</v>
      </c>
      <c r="D1022" t="s">
        <v>3813</v>
      </c>
      <c r="E1022" t="s">
        <v>105</v>
      </c>
      <c r="F1022" t="s">
        <v>3814</v>
      </c>
      <c r="G1022" t="s">
        <v>24</v>
      </c>
      <c r="H1022" t="s">
        <v>3815</v>
      </c>
      <c r="I1022" t="s">
        <v>46</v>
      </c>
      <c r="L1022" t="s">
        <v>3816</v>
      </c>
      <c r="Q1022" t="s">
        <v>48</v>
      </c>
    </row>
    <row r="1023" spans="1:17" hidden="1" x14ac:dyDescent="0.25">
      <c r="A1023" t="s">
        <v>33</v>
      </c>
      <c r="B1023" t="s">
        <v>3817</v>
      </c>
      <c r="C1023" t="s">
        <v>21</v>
      </c>
      <c r="D1023" t="s">
        <v>3818</v>
      </c>
      <c r="E1023" t="s">
        <v>3819</v>
      </c>
      <c r="F1023" t="s">
        <v>3820</v>
      </c>
      <c r="G1023" t="s">
        <v>24</v>
      </c>
      <c r="H1023" t="s">
        <v>3821</v>
      </c>
      <c r="I1023" t="s">
        <v>46</v>
      </c>
      <c r="L1023" t="s">
        <v>2925</v>
      </c>
      <c r="Q1023" t="s">
        <v>48</v>
      </c>
    </row>
    <row r="1024" spans="1:17" hidden="1" x14ac:dyDescent="0.25">
      <c r="A1024" t="s">
        <v>33</v>
      </c>
      <c r="B1024" t="s">
        <v>3822</v>
      </c>
      <c r="C1024" t="s">
        <v>29</v>
      </c>
      <c r="D1024" t="s">
        <v>3822</v>
      </c>
      <c r="E1024" t="s">
        <v>1724</v>
      </c>
      <c r="F1024" t="s">
        <v>3823</v>
      </c>
      <c r="G1024" t="s">
        <v>24</v>
      </c>
      <c r="H1024" t="s">
        <v>3824</v>
      </c>
      <c r="I1024" t="s">
        <v>46</v>
      </c>
      <c r="L1024" t="s">
        <v>1331</v>
      </c>
      <c r="Q1024" t="s">
        <v>48</v>
      </c>
    </row>
    <row r="1025" spans="1:17" hidden="1" x14ac:dyDescent="0.25">
      <c r="A1025" t="s">
        <v>33</v>
      </c>
      <c r="B1025" t="s">
        <v>3825</v>
      </c>
      <c r="C1025" t="s">
        <v>21</v>
      </c>
      <c r="D1025" t="s">
        <v>3826</v>
      </c>
      <c r="E1025" t="s">
        <v>1393</v>
      </c>
      <c r="F1025" t="s">
        <v>3827</v>
      </c>
      <c r="G1025" t="s">
        <v>24</v>
      </c>
      <c r="H1025" t="s">
        <v>3828</v>
      </c>
      <c r="I1025" t="s">
        <v>46</v>
      </c>
      <c r="L1025" t="s">
        <v>53</v>
      </c>
      <c r="Q1025" t="s">
        <v>48</v>
      </c>
    </row>
    <row r="1026" spans="1:17" hidden="1" x14ac:dyDescent="0.25">
      <c r="A1026" t="s">
        <v>33</v>
      </c>
      <c r="B1026" t="s">
        <v>3829</v>
      </c>
      <c r="C1026" t="s">
        <v>21</v>
      </c>
      <c r="D1026" t="s">
        <v>3829</v>
      </c>
      <c r="E1026" t="s">
        <v>55</v>
      </c>
      <c r="F1026" t="s">
        <v>1706</v>
      </c>
      <c r="G1026" t="s">
        <v>24</v>
      </c>
      <c r="H1026" t="s">
        <v>3830</v>
      </c>
      <c r="L1026" t="s">
        <v>2329</v>
      </c>
    </row>
    <row r="1027" spans="1:17" hidden="1" x14ac:dyDescent="0.25">
      <c r="A1027" t="s">
        <v>33</v>
      </c>
      <c r="B1027" t="s">
        <v>3831</v>
      </c>
      <c r="C1027" t="s">
        <v>21</v>
      </c>
      <c r="D1027" t="s">
        <v>3831</v>
      </c>
      <c r="E1027" t="s">
        <v>3832</v>
      </c>
      <c r="F1027" t="s">
        <v>432</v>
      </c>
      <c r="G1027" t="s">
        <v>24</v>
      </c>
      <c r="H1027" t="s">
        <v>3833</v>
      </c>
      <c r="I1027" t="s">
        <v>46</v>
      </c>
      <c r="L1027" t="s">
        <v>309</v>
      </c>
      <c r="Q1027" t="s">
        <v>48</v>
      </c>
    </row>
    <row r="1028" spans="1:17" hidden="1" x14ac:dyDescent="0.25">
      <c r="A1028" t="s">
        <v>33</v>
      </c>
      <c r="B1028" t="s">
        <v>3834</v>
      </c>
      <c r="C1028" t="s">
        <v>21</v>
      </c>
      <c r="D1028" t="s">
        <v>3834</v>
      </c>
      <c r="E1028" t="s">
        <v>1290</v>
      </c>
      <c r="F1028" t="s">
        <v>2712</v>
      </c>
      <c r="G1028" t="s">
        <v>24</v>
      </c>
      <c r="H1028" t="s">
        <v>3835</v>
      </c>
      <c r="I1028" t="s">
        <v>46</v>
      </c>
      <c r="L1028" t="s">
        <v>309</v>
      </c>
      <c r="Q1028" t="s">
        <v>48</v>
      </c>
    </row>
    <row r="1029" spans="1:17" hidden="1" x14ac:dyDescent="0.25">
      <c r="A1029" t="s">
        <v>33</v>
      </c>
      <c r="B1029" t="s">
        <v>3836</v>
      </c>
      <c r="C1029" t="s">
        <v>21</v>
      </c>
      <c r="D1029" t="s">
        <v>3837</v>
      </c>
      <c r="E1029" t="s">
        <v>2172</v>
      </c>
      <c r="F1029" t="s">
        <v>3838</v>
      </c>
      <c r="G1029" t="s">
        <v>24</v>
      </c>
      <c r="H1029" t="s">
        <v>3839</v>
      </c>
      <c r="I1029" t="s">
        <v>46</v>
      </c>
      <c r="L1029" t="s">
        <v>389</v>
      </c>
      <c r="Q1029" t="s">
        <v>48</v>
      </c>
    </row>
    <row r="1030" spans="1:17" hidden="1" x14ac:dyDescent="0.25">
      <c r="A1030" t="s">
        <v>33</v>
      </c>
      <c r="B1030" t="s">
        <v>3840</v>
      </c>
      <c r="C1030" t="s">
        <v>21</v>
      </c>
      <c r="D1030" t="s">
        <v>3840</v>
      </c>
      <c r="E1030" t="s">
        <v>1858</v>
      </c>
      <c r="F1030" t="s">
        <v>3841</v>
      </c>
      <c r="G1030" t="s">
        <v>24</v>
      </c>
      <c r="H1030" s="1" t="s">
        <v>3842</v>
      </c>
      <c r="L1030" t="s">
        <v>38</v>
      </c>
    </row>
    <row r="1031" spans="1:17" hidden="1" x14ac:dyDescent="0.25">
      <c r="A1031" t="s">
        <v>33</v>
      </c>
      <c r="B1031" t="s">
        <v>3843</v>
      </c>
      <c r="C1031" t="s">
        <v>21</v>
      </c>
      <c r="D1031" t="s">
        <v>3843</v>
      </c>
      <c r="E1031" t="s">
        <v>3844</v>
      </c>
      <c r="G1031" t="s">
        <v>24</v>
      </c>
      <c r="H1031" t="s">
        <v>3845</v>
      </c>
      <c r="I1031" t="s">
        <v>46</v>
      </c>
      <c r="L1031" t="s">
        <v>309</v>
      </c>
      <c r="Q1031" t="s">
        <v>48</v>
      </c>
    </row>
    <row r="1032" spans="1:17" hidden="1" x14ac:dyDescent="0.25">
      <c r="A1032" t="s">
        <v>33</v>
      </c>
      <c r="B1032" t="s">
        <v>3846</v>
      </c>
      <c r="C1032" t="s">
        <v>21</v>
      </c>
      <c r="D1032" t="s">
        <v>3846</v>
      </c>
      <c r="E1032" t="s">
        <v>606</v>
      </c>
      <c r="F1032" t="s">
        <v>3847</v>
      </c>
      <c r="G1032" t="s">
        <v>24</v>
      </c>
      <c r="H1032" t="s">
        <v>3848</v>
      </c>
      <c r="L1032" t="s">
        <v>185</v>
      </c>
    </row>
    <row r="1033" spans="1:17" hidden="1" x14ac:dyDescent="0.25">
      <c r="A1033" t="s">
        <v>33</v>
      </c>
      <c r="B1033" t="s">
        <v>3849</v>
      </c>
      <c r="C1033" t="s">
        <v>21</v>
      </c>
      <c r="D1033" t="s">
        <v>3849</v>
      </c>
      <c r="E1033" t="s">
        <v>1357</v>
      </c>
      <c r="F1033" t="s">
        <v>3850</v>
      </c>
      <c r="G1033" t="s">
        <v>24</v>
      </c>
      <c r="H1033" t="s">
        <v>3851</v>
      </c>
      <c r="I1033" t="s">
        <v>73</v>
      </c>
      <c r="L1033" t="s">
        <v>148</v>
      </c>
      <c r="Q1033" t="s">
        <v>75</v>
      </c>
    </row>
    <row r="1034" spans="1:17" hidden="1" x14ac:dyDescent="0.25">
      <c r="A1034" t="s">
        <v>33</v>
      </c>
      <c r="B1034" t="s">
        <v>3852</v>
      </c>
      <c r="C1034" t="s">
        <v>21</v>
      </c>
      <c r="D1034" t="s">
        <v>3852</v>
      </c>
      <c r="E1034" t="s">
        <v>710</v>
      </c>
      <c r="F1034" t="s">
        <v>3853</v>
      </c>
      <c r="G1034" t="s">
        <v>24</v>
      </c>
      <c r="H1034" t="s">
        <v>3854</v>
      </c>
      <c r="L1034" t="s">
        <v>2925</v>
      </c>
    </row>
    <row r="1035" spans="1:17" hidden="1" x14ac:dyDescent="0.25">
      <c r="A1035" t="s">
        <v>33</v>
      </c>
      <c r="B1035" t="s">
        <v>3855</v>
      </c>
      <c r="C1035" t="s">
        <v>21</v>
      </c>
      <c r="D1035" t="s">
        <v>3855</v>
      </c>
      <c r="E1035" t="s">
        <v>898</v>
      </c>
      <c r="F1035" t="s">
        <v>3856</v>
      </c>
      <c r="G1035" t="s">
        <v>24</v>
      </c>
      <c r="H1035" t="s">
        <v>3857</v>
      </c>
      <c r="I1035" t="s">
        <v>46</v>
      </c>
      <c r="L1035" t="s">
        <v>535</v>
      </c>
      <c r="Q1035" t="s">
        <v>48</v>
      </c>
    </row>
    <row r="1036" spans="1:17" hidden="1" x14ac:dyDescent="0.25">
      <c r="A1036" t="s">
        <v>33</v>
      </c>
      <c r="B1036" t="s">
        <v>3858</v>
      </c>
      <c r="C1036" t="s">
        <v>21</v>
      </c>
      <c r="D1036" t="s">
        <v>3858</v>
      </c>
      <c r="E1036" t="s">
        <v>740</v>
      </c>
      <c r="F1036" t="s">
        <v>3859</v>
      </c>
      <c r="G1036" t="s">
        <v>24</v>
      </c>
      <c r="H1036" t="s">
        <v>3860</v>
      </c>
      <c r="I1036" t="s">
        <v>46</v>
      </c>
      <c r="L1036" t="s">
        <v>2806</v>
      </c>
      <c r="Q1036" t="s">
        <v>48</v>
      </c>
    </row>
    <row r="1037" spans="1:17" hidden="1" x14ac:dyDescent="0.25">
      <c r="A1037" t="s">
        <v>33</v>
      </c>
      <c r="B1037" t="s">
        <v>3861</v>
      </c>
      <c r="C1037" t="s">
        <v>29</v>
      </c>
      <c r="D1037" t="s">
        <v>3861</v>
      </c>
      <c r="E1037" t="s">
        <v>3862</v>
      </c>
      <c r="F1037" t="s">
        <v>3863</v>
      </c>
      <c r="G1037" t="s">
        <v>24</v>
      </c>
      <c r="H1037" t="s">
        <v>3864</v>
      </c>
      <c r="I1037" t="s">
        <v>46</v>
      </c>
      <c r="L1037" t="s">
        <v>517</v>
      </c>
      <c r="Q1037" t="s">
        <v>48</v>
      </c>
    </row>
    <row r="1038" spans="1:17" hidden="1" x14ac:dyDescent="0.25">
      <c r="A1038" t="s">
        <v>33</v>
      </c>
      <c r="B1038" t="s">
        <v>3865</v>
      </c>
      <c r="C1038" t="s">
        <v>21</v>
      </c>
      <c r="D1038" t="s">
        <v>3865</v>
      </c>
      <c r="E1038" t="s">
        <v>3866</v>
      </c>
      <c r="F1038" t="s">
        <v>3422</v>
      </c>
      <c r="G1038" t="s">
        <v>24</v>
      </c>
      <c r="H1038" t="s">
        <v>3867</v>
      </c>
      <c r="I1038" t="s">
        <v>46</v>
      </c>
      <c r="L1038" t="s">
        <v>3868</v>
      </c>
      <c r="Q1038" t="s">
        <v>48</v>
      </c>
    </row>
    <row r="1039" spans="1:17" hidden="1" x14ac:dyDescent="0.25">
      <c r="A1039" t="s">
        <v>33</v>
      </c>
      <c r="B1039" t="s">
        <v>3869</v>
      </c>
      <c r="C1039" t="s">
        <v>21</v>
      </c>
      <c r="D1039" t="s">
        <v>3869</v>
      </c>
      <c r="E1039" t="s">
        <v>3870</v>
      </c>
      <c r="F1039" t="s">
        <v>1291</v>
      </c>
      <c r="G1039" t="s">
        <v>24</v>
      </c>
      <c r="H1039" t="s">
        <v>3871</v>
      </c>
      <c r="I1039" t="s">
        <v>46</v>
      </c>
      <c r="L1039" t="s">
        <v>38</v>
      </c>
      <c r="Q1039" t="s">
        <v>48</v>
      </c>
    </row>
    <row r="1040" spans="1:17" hidden="1" x14ac:dyDescent="0.25">
      <c r="A1040" t="s">
        <v>33</v>
      </c>
      <c r="B1040" t="s">
        <v>3872</v>
      </c>
      <c r="C1040" t="s">
        <v>21</v>
      </c>
      <c r="D1040" t="s">
        <v>3872</v>
      </c>
      <c r="E1040" t="s">
        <v>3873</v>
      </c>
      <c r="F1040" t="s">
        <v>429</v>
      </c>
      <c r="G1040" t="s">
        <v>24</v>
      </c>
      <c r="H1040" t="s">
        <v>3874</v>
      </c>
      <c r="L1040" t="s">
        <v>2014</v>
      </c>
    </row>
    <row r="1041" spans="1:17" hidden="1" x14ac:dyDescent="0.25">
      <c r="A1041" t="s">
        <v>33</v>
      </c>
      <c r="B1041" t="s">
        <v>3875</v>
      </c>
      <c r="C1041" t="s">
        <v>21</v>
      </c>
      <c r="D1041" t="s">
        <v>3875</v>
      </c>
      <c r="E1041" t="s">
        <v>2090</v>
      </c>
      <c r="F1041" t="s">
        <v>3876</v>
      </c>
      <c r="G1041" t="s">
        <v>24</v>
      </c>
      <c r="H1041" t="s">
        <v>3877</v>
      </c>
      <c r="I1041" t="s">
        <v>46</v>
      </c>
      <c r="L1041" t="s">
        <v>2925</v>
      </c>
      <c r="Q1041" t="s">
        <v>48</v>
      </c>
    </row>
    <row r="1042" spans="1:17" hidden="1" x14ac:dyDescent="0.25">
      <c r="A1042" t="s">
        <v>33</v>
      </c>
      <c r="B1042" t="s">
        <v>3878</v>
      </c>
      <c r="C1042" t="s">
        <v>21</v>
      </c>
      <c r="D1042" t="s">
        <v>3878</v>
      </c>
      <c r="E1042" t="s">
        <v>3879</v>
      </c>
      <c r="F1042" t="s">
        <v>3880</v>
      </c>
      <c r="G1042" t="s">
        <v>24</v>
      </c>
      <c r="H1042" t="s">
        <v>3881</v>
      </c>
      <c r="I1042" t="s">
        <v>46</v>
      </c>
      <c r="L1042" t="s">
        <v>138</v>
      </c>
      <c r="Q1042" t="s">
        <v>48</v>
      </c>
    </row>
    <row r="1043" spans="1:17" hidden="1" x14ac:dyDescent="0.25">
      <c r="A1043" t="s">
        <v>33</v>
      </c>
      <c r="B1043" t="s">
        <v>3882</v>
      </c>
      <c r="C1043" t="s">
        <v>29</v>
      </c>
      <c r="D1043" t="s">
        <v>3882</v>
      </c>
      <c r="E1043" t="s">
        <v>3883</v>
      </c>
      <c r="F1043" t="s">
        <v>3884</v>
      </c>
      <c r="G1043" t="s">
        <v>24</v>
      </c>
      <c r="H1043" t="s">
        <v>3885</v>
      </c>
      <c r="I1043" t="s">
        <v>46</v>
      </c>
      <c r="L1043" t="s">
        <v>3808</v>
      </c>
      <c r="Q1043" t="s">
        <v>48</v>
      </c>
    </row>
    <row r="1044" spans="1:17" hidden="1" x14ac:dyDescent="0.25">
      <c r="A1044" t="s">
        <v>33</v>
      </c>
      <c r="B1044" t="s">
        <v>3886</v>
      </c>
      <c r="C1044" t="s">
        <v>21</v>
      </c>
      <c r="D1044" t="s">
        <v>3886</v>
      </c>
      <c r="E1044" t="s">
        <v>187</v>
      </c>
      <c r="F1044" t="s">
        <v>3887</v>
      </c>
      <c r="G1044" t="s">
        <v>24</v>
      </c>
      <c r="H1044" t="s">
        <v>3888</v>
      </c>
      <c r="I1044" t="s">
        <v>46</v>
      </c>
      <c r="L1044" t="s">
        <v>697</v>
      </c>
      <c r="Q1044" t="s">
        <v>48</v>
      </c>
    </row>
    <row r="1045" spans="1:17" hidden="1" x14ac:dyDescent="0.25">
      <c r="A1045" t="s">
        <v>33</v>
      </c>
      <c r="B1045" t="s">
        <v>3889</v>
      </c>
      <c r="C1045" t="s">
        <v>21</v>
      </c>
      <c r="D1045" t="s">
        <v>3890</v>
      </c>
      <c r="E1045" t="s">
        <v>1254</v>
      </c>
      <c r="F1045" t="s">
        <v>1588</v>
      </c>
      <c r="G1045" t="s">
        <v>24</v>
      </c>
      <c r="H1045" t="s">
        <v>3891</v>
      </c>
      <c r="I1045" t="s">
        <v>46</v>
      </c>
      <c r="L1045" t="s">
        <v>2780</v>
      </c>
      <c r="Q1045" t="s">
        <v>48</v>
      </c>
    </row>
    <row r="1046" spans="1:17" hidden="1" x14ac:dyDescent="0.25">
      <c r="A1046" t="s">
        <v>33</v>
      </c>
      <c r="B1046" t="s">
        <v>3892</v>
      </c>
      <c r="C1046" t="s">
        <v>21</v>
      </c>
      <c r="D1046" t="s">
        <v>3892</v>
      </c>
      <c r="E1046" t="s">
        <v>3893</v>
      </c>
      <c r="F1046" t="s">
        <v>3894</v>
      </c>
      <c r="G1046" t="s">
        <v>24</v>
      </c>
      <c r="H1046" t="s">
        <v>3895</v>
      </c>
      <c r="I1046" t="s">
        <v>46</v>
      </c>
      <c r="L1046" t="s">
        <v>3896</v>
      </c>
      <c r="Q1046" t="s">
        <v>48</v>
      </c>
    </row>
    <row r="1047" spans="1:17" hidden="1" x14ac:dyDescent="0.25">
      <c r="A1047" t="s">
        <v>33</v>
      </c>
      <c r="B1047" t="s">
        <v>3897</v>
      </c>
      <c r="C1047" t="s">
        <v>21</v>
      </c>
      <c r="D1047" t="s">
        <v>3897</v>
      </c>
      <c r="E1047" t="s">
        <v>2941</v>
      </c>
      <c r="F1047" t="s">
        <v>432</v>
      </c>
      <c r="G1047" t="s">
        <v>24</v>
      </c>
      <c r="H1047" t="s">
        <v>3898</v>
      </c>
      <c r="I1047" t="s">
        <v>46</v>
      </c>
      <c r="L1047" t="s">
        <v>389</v>
      </c>
      <c r="Q1047" t="s">
        <v>48</v>
      </c>
    </row>
    <row r="1048" spans="1:17" hidden="1" x14ac:dyDescent="0.25">
      <c r="A1048" t="s">
        <v>33</v>
      </c>
      <c r="B1048" t="s">
        <v>3899</v>
      </c>
      <c r="C1048" t="s">
        <v>21</v>
      </c>
      <c r="D1048" t="s">
        <v>3899</v>
      </c>
      <c r="E1048" t="s">
        <v>3900</v>
      </c>
      <c r="F1048" t="s">
        <v>3901</v>
      </c>
      <c r="G1048" t="s">
        <v>24</v>
      </c>
      <c r="H1048" t="s">
        <v>3902</v>
      </c>
      <c r="I1048" t="s">
        <v>46</v>
      </c>
      <c r="L1048" t="s">
        <v>389</v>
      </c>
      <c r="Q1048" t="s">
        <v>48</v>
      </c>
    </row>
    <row r="1049" spans="1:17" hidden="1" x14ac:dyDescent="0.25">
      <c r="A1049" t="s">
        <v>33</v>
      </c>
      <c r="B1049" t="s">
        <v>3903</v>
      </c>
      <c r="C1049" t="s">
        <v>21</v>
      </c>
      <c r="D1049" t="s">
        <v>3903</v>
      </c>
      <c r="E1049" t="s">
        <v>3904</v>
      </c>
      <c r="F1049" t="s">
        <v>1004</v>
      </c>
      <c r="G1049" t="s">
        <v>24</v>
      </c>
      <c r="H1049" t="s">
        <v>3905</v>
      </c>
      <c r="L1049" t="s">
        <v>2925</v>
      </c>
    </row>
    <row r="1050" spans="1:17" hidden="1" x14ac:dyDescent="0.25">
      <c r="A1050" t="s">
        <v>33</v>
      </c>
      <c r="B1050" t="s">
        <v>3906</v>
      </c>
      <c r="C1050" t="s">
        <v>21</v>
      </c>
      <c r="D1050" t="s">
        <v>3906</v>
      </c>
      <c r="E1050" t="s">
        <v>178</v>
      </c>
      <c r="F1050" t="s">
        <v>3907</v>
      </c>
      <c r="G1050" t="s">
        <v>24</v>
      </c>
      <c r="H1050" t="s">
        <v>3908</v>
      </c>
      <c r="L1050" t="s">
        <v>38</v>
      </c>
    </row>
    <row r="1051" spans="1:17" hidden="1" x14ac:dyDescent="0.25">
      <c r="A1051" t="s">
        <v>33</v>
      </c>
      <c r="B1051" t="s">
        <v>3909</v>
      </c>
      <c r="C1051" t="s">
        <v>21</v>
      </c>
      <c r="D1051" t="s">
        <v>3909</v>
      </c>
      <c r="E1051" t="s">
        <v>1530</v>
      </c>
      <c r="F1051" t="s">
        <v>3910</v>
      </c>
      <c r="G1051" t="s">
        <v>24</v>
      </c>
      <c r="H1051" t="s">
        <v>3911</v>
      </c>
      <c r="I1051" t="s">
        <v>46</v>
      </c>
      <c r="L1051" t="s">
        <v>1061</v>
      </c>
      <c r="Q1051" t="s">
        <v>48</v>
      </c>
    </row>
    <row r="1052" spans="1:17" hidden="1" x14ac:dyDescent="0.25">
      <c r="A1052" t="s">
        <v>33</v>
      </c>
      <c r="B1052" t="s">
        <v>3912</v>
      </c>
      <c r="C1052" t="s">
        <v>21</v>
      </c>
      <c r="D1052" t="s">
        <v>3912</v>
      </c>
      <c r="E1052" t="s">
        <v>346</v>
      </c>
      <c r="F1052" t="s">
        <v>154</v>
      </c>
      <c r="G1052" t="s">
        <v>24</v>
      </c>
      <c r="H1052" t="s">
        <v>3913</v>
      </c>
      <c r="I1052" t="s">
        <v>46</v>
      </c>
      <c r="L1052" t="s">
        <v>1013</v>
      </c>
      <c r="Q1052" t="s">
        <v>48</v>
      </c>
    </row>
    <row r="1053" spans="1:17" hidden="1" x14ac:dyDescent="0.25">
      <c r="A1053" t="s">
        <v>33</v>
      </c>
      <c r="B1053" t="s">
        <v>3914</v>
      </c>
      <c r="C1053" t="s">
        <v>21</v>
      </c>
      <c r="D1053" t="s">
        <v>3914</v>
      </c>
      <c r="E1053" t="s">
        <v>3915</v>
      </c>
      <c r="F1053" t="s">
        <v>3916</v>
      </c>
      <c r="G1053" t="s">
        <v>24</v>
      </c>
      <c r="H1053" t="s">
        <v>3917</v>
      </c>
      <c r="L1053" t="s">
        <v>914</v>
      </c>
    </row>
    <row r="1054" spans="1:17" hidden="1" x14ac:dyDescent="0.25">
      <c r="A1054" t="s">
        <v>33</v>
      </c>
      <c r="B1054" t="s">
        <v>3918</v>
      </c>
      <c r="C1054" t="s">
        <v>21</v>
      </c>
      <c r="D1054" t="s">
        <v>3918</v>
      </c>
      <c r="E1054" t="s">
        <v>1290</v>
      </c>
      <c r="F1054" t="s">
        <v>2495</v>
      </c>
      <c r="G1054" t="s">
        <v>24</v>
      </c>
      <c r="H1054" t="s">
        <v>3919</v>
      </c>
      <c r="L1054" t="s">
        <v>2975</v>
      </c>
    </row>
    <row r="1055" spans="1:17" hidden="1" x14ac:dyDescent="0.25">
      <c r="A1055" t="s">
        <v>33</v>
      </c>
      <c r="B1055" t="s">
        <v>3920</v>
      </c>
      <c r="C1055" t="s">
        <v>21</v>
      </c>
      <c r="D1055" t="s">
        <v>3920</v>
      </c>
      <c r="E1055" t="s">
        <v>2922</v>
      </c>
      <c r="F1055" t="s">
        <v>3921</v>
      </c>
      <c r="G1055" t="s">
        <v>24</v>
      </c>
      <c r="H1055" t="s">
        <v>3922</v>
      </c>
      <c r="L1055" t="s">
        <v>53</v>
      </c>
    </row>
    <row r="1056" spans="1:17" hidden="1" x14ac:dyDescent="0.25">
      <c r="A1056" t="s">
        <v>33</v>
      </c>
      <c r="B1056" t="s">
        <v>3923</v>
      </c>
      <c r="C1056" t="s">
        <v>29</v>
      </c>
      <c r="D1056" t="s">
        <v>3923</v>
      </c>
      <c r="E1056" t="s">
        <v>678</v>
      </c>
      <c r="F1056" t="s">
        <v>3924</v>
      </c>
      <c r="G1056" t="s">
        <v>24</v>
      </c>
      <c r="H1056" t="s">
        <v>3925</v>
      </c>
      <c r="I1056" t="s">
        <v>46</v>
      </c>
      <c r="L1056" t="s">
        <v>861</v>
      </c>
      <c r="Q1056" t="s">
        <v>48</v>
      </c>
    </row>
    <row r="1057" spans="1:17" hidden="1" x14ac:dyDescent="0.25">
      <c r="A1057" t="s">
        <v>33</v>
      </c>
      <c r="B1057" t="s">
        <v>3926</v>
      </c>
      <c r="C1057" t="s">
        <v>21</v>
      </c>
      <c r="D1057" t="s">
        <v>3926</v>
      </c>
      <c r="E1057" t="s">
        <v>3927</v>
      </c>
      <c r="F1057" t="s">
        <v>3928</v>
      </c>
      <c r="G1057" t="s">
        <v>24</v>
      </c>
      <c r="H1057" t="s">
        <v>3929</v>
      </c>
      <c r="I1057" t="s">
        <v>96</v>
      </c>
      <c r="L1057" t="s">
        <v>148</v>
      </c>
      <c r="Q1057" t="s">
        <v>98</v>
      </c>
    </row>
    <row r="1058" spans="1:17" hidden="1" x14ac:dyDescent="0.25">
      <c r="A1058" t="s">
        <v>33</v>
      </c>
      <c r="B1058" t="s">
        <v>3930</v>
      </c>
      <c r="C1058" t="s">
        <v>21</v>
      </c>
      <c r="D1058" t="s">
        <v>3930</v>
      </c>
      <c r="E1058" t="s">
        <v>3931</v>
      </c>
      <c r="F1058" t="s">
        <v>632</v>
      </c>
      <c r="G1058" t="s">
        <v>24</v>
      </c>
      <c r="H1058" t="s">
        <v>3932</v>
      </c>
      <c r="I1058" t="s">
        <v>46</v>
      </c>
      <c r="L1058" t="s">
        <v>1042</v>
      </c>
      <c r="Q1058" t="s">
        <v>48</v>
      </c>
    </row>
    <row r="1059" spans="1:17" hidden="1" x14ac:dyDescent="0.25">
      <c r="A1059" t="s">
        <v>33</v>
      </c>
      <c r="B1059" t="s">
        <v>3933</v>
      </c>
      <c r="C1059" t="s">
        <v>21</v>
      </c>
      <c r="D1059" t="s">
        <v>3934</v>
      </c>
      <c r="E1059" t="s">
        <v>3935</v>
      </c>
      <c r="F1059" t="s">
        <v>3936</v>
      </c>
      <c r="G1059" t="s">
        <v>24</v>
      </c>
      <c r="H1059" t="s">
        <v>3937</v>
      </c>
      <c r="I1059" t="s">
        <v>46</v>
      </c>
      <c r="L1059" t="s">
        <v>74</v>
      </c>
      <c r="Q1059" t="s">
        <v>48</v>
      </c>
    </row>
    <row r="1060" spans="1:17" hidden="1" x14ac:dyDescent="0.25">
      <c r="A1060" t="s">
        <v>33</v>
      </c>
      <c r="B1060" t="s">
        <v>3938</v>
      </c>
      <c r="C1060" t="s">
        <v>21</v>
      </c>
      <c r="D1060" t="s">
        <v>3938</v>
      </c>
      <c r="E1060" t="s">
        <v>3939</v>
      </c>
      <c r="F1060" t="s">
        <v>3940</v>
      </c>
      <c r="G1060" t="s">
        <v>24</v>
      </c>
      <c r="H1060" t="s">
        <v>3941</v>
      </c>
      <c r="I1060" t="s">
        <v>46</v>
      </c>
      <c r="L1060" t="s">
        <v>1495</v>
      </c>
      <c r="Q1060" t="s">
        <v>48</v>
      </c>
    </row>
    <row r="1061" spans="1:17" hidden="1" x14ac:dyDescent="0.25">
      <c r="A1061" t="s">
        <v>33</v>
      </c>
      <c r="B1061" t="s">
        <v>3942</v>
      </c>
      <c r="C1061" t="s">
        <v>21</v>
      </c>
      <c r="D1061" t="s">
        <v>3942</v>
      </c>
      <c r="E1061" t="s">
        <v>1766</v>
      </c>
      <c r="F1061" t="s">
        <v>78</v>
      </c>
      <c r="G1061" t="s">
        <v>24</v>
      </c>
      <c r="H1061" t="s">
        <v>3943</v>
      </c>
      <c r="L1061" t="s">
        <v>1042</v>
      </c>
    </row>
    <row r="1062" spans="1:17" hidden="1" x14ac:dyDescent="0.25">
      <c r="A1062" t="s">
        <v>33</v>
      </c>
      <c r="B1062" t="s">
        <v>3944</v>
      </c>
      <c r="C1062" t="s">
        <v>92</v>
      </c>
      <c r="D1062" t="s">
        <v>3944</v>
      </c>
      <c r="E1062" t="s">
        <v>1149</v>
      </c>
      <c r="F1062" t="s">
        <v>3945</v>
      </c>
      <c r="G1062" t="s">
        <v>24</v>
      </c>
      <c r="H1062" t="s">
        <v>3946</v>
      </c>
      <c r="I1062" t="s">
        <v>46</v>
      </c>
      <c r="L1062" t="s">
        <v>97</v>
      </c>
      <c r="Q1062" t="s">
        <v>48</v>
      </c>
    </row>
    <row r="1063" spans="1:17" x14ac:dyDescent="0.25">
      <c r="A1063" t="s">
        <v>33</v>
      </c>
      <c r="B1063" t="s">
        <v>3947</v>
      </c>
      <c r="C1063" t="s">
        <v>21</v>
      </c>
      <c r="D1063" t="s">
        <v>3947</v>
      </c>
      <c r="E1063" t="s">
        <v>3462</v>
      </c>
      <c r="F1063" t="s">
        <v>3948</v>
      </c>
      <c r="G1063" t="s">
        <v>24</v>
      </c>
      <c r="H1063" t="s">
        <v>3949</v>
      </c>
      <c r="I1063" t="s">
        <v>2398</v>
      </c>
      <c r="L1063" t="s">
        <v>2975</v>
      </c>
      <c r="Q1063" t="s">
        <v>2399</v>
      </c>
    </row>
    <row r="1064" spans="1:17" hidden="1" x14ac:dyDescent="0.25">
      <c r="A1064" t="s">
        <v>33</v>
      </c>
      <c r="B1064" t="s">
        <v>3950</v>
      </c>
      <c r="C1064" t="s">
        <v>21</v>
      </c>
      <c r="D1064" t="s">
        <v>3950</v>
      </c>
      <c r="E1064" t="s">
        <v>3951</v>
      </c>
      <c r="F1064" t="s">
        <v>3952</v>
      </c>
      <c r="G1064" t="s">
        <v>24</v>
      </c>
      <c r="H1064" t="s">
        <v>3953</v>
      </c>
    </row>
    <row r="1065" spans="1:17" hidden="1" x14ac:dyDescent="0.25">
      <c r="A1065" t="s">
        <v>33</v>
      </c>
      <c r="B1065" t="s">
        <v>3954</v>
      </c>
      <c r="C1065" t="s">
        <v>21</v>
      </c>
      <c r="D1065" t="s">
        <v>3954</v>
      </c>
      <c r="E1065" t="s">
        <v>324</v>
      </c>
      <c r="F1065" t="s">
        <v>3955</v>
      </c>
      <c r="G1065" t="s">
        <v>24</v>
      </c>
      <c r="H1065" t="s">
        <v>3956</v>
      </c>
      <c r="I1065" t="s">
        <v>73</v>
      </c>
      <c r="L1065" t="s">
        <v>38</v>
      </c>
      <c r="Q1065" t="s">
        <v>75</v>
      </c>
    </row>
    <row r="1066" spans="1:17" hidden="1" x14ac:dyDescent="0.25">
      <c r="A1066" t="s">
        <v>33</v>
      </c>
      <c r="B1066" t="s">
        <v>3957</v>
      </c>
      <c r="C1066" t="s">
        <v>29</v>
      </c>
      <c r="D1066" t="s">
        <v>3957</v>
      </c>
      <c r="E1066" t="s">
        <v>302</v>
      </c>
      <c r="F1066" t="s">
        <v>3958</v>
      </c>
      <c r="G1066" t="s">
        <v>24</v>
      </c>
      <c r="H1066" t="s">
        <v>3959</v>
      </c>
      <c r="I1066" t="s">
        <v>73</v>
      </c>
      <c r="L1066" t="s">
        <v>246</v>
      </c>
      <c r="Q1066" t="s">
        <v>75</v>
      </c>
    </row>
    <row r="1067" spans="1:17" hidden="1" x14ac:dyDescent="0.25">
      <c r="A1067" t="s">
        <v>33</v>
      </c>
      <c r="B1067" t="s">
        <v>3960</v>
      </c>
      <c r="C1067" t="s">
        <v>21</v>
      </c>
      <c r="D1067" t="s">
        <v>3960</v>
      </c>
      <c r="E1067" t="s">
        <v>2404</v>
      </c>
      <c r="F1067" t="s">
        <v>3961</v>
      </c>
      <c r="G1067" t="s">
        <v>24</v>
      </c>
      <c r="H1067" t="s">
        <v>3962</v>
      </c>
      <c r="I1067" t="s">
        <v>46</v>
      </c>
      <c r="L1067" t="s">
        <v>484</v>
      </c>
      <c r="Q1067" t="s">
        <v>48</v>
      </c>
    </row>
    <row r="1068" spans="1:17" hidden="1" x14ac:dyDescent="0.25">
      <c r="A1068" t="s">
        <v>33</v>
      </c>
      <c r="B1068" t="s">
        <v>3963</v>
      </c>
      <c r="C1068" t="s">
        <v>21</v>
      </c>
      <c r="D1068" t="s">
        <v>3963</v>
      </c>
      <c r="E1068" t="s">
        <v>2864</v>
      </c>
      <c r="F1068" t="s">
        <v>3713</v>
      </c>
      <c r="G1068" t="s">
        <v>24</v>
      </c>
      <c r="H1068" t="s">
        <v>3964</v>
      </c>
      <c r="I1068" t="s">
        <v>46</v>
      </c>
      <c r="L1068" t="s">
        <v>309</v>
      </c>
      <c r="Q1068" t="s">
        <v>48</v>
      </c>
    </row>
    <row r="1069" spans="1:17" hidden="1" x14ac:dyDescent="0.25">
      <c r="A1069" t="s">
        <v>33</v>
      </c>
      <c r="B1069" t="s">
        <v>3965</v>
      </c>
      <c r="C1069" t="s">
        <v>92</v>
      </c>
      <c r="D1069" t="s">
        <v>3965</v>
      </c>
      <c r="E1069" t="s">
        <v>583</v>
      </c>
      <c r="F1069" t="b">
        <v>1</v>
      </c>
      <c r="G1069" t="s">
        <v>24</v>
      </c>
      <c r="H1069" t="s">
        <v>3966</v>
      </c>
      <c r="I1069" t="s">
        <v>46</v>
      </c>
      <c r="L1069" t="s">
        <v>97</v>
      </c>
      <c r="Q1069" t="s">
        <v>48</v>
      </c>
    </row>
    <row r="1070" spans="1:17" hidden="1" x14ac:dyDescent="0.25">
      <c r="A1070" t="s">
        <v>33</v>
      </c>
      <c r="B1070" t="s">
        <v>3967</v>
      </c>
      <c r="C1070" t="s">
        <v>29</v>
      </c>
      <c r="D1070" t="s">
        <v>3967</v>
      </c>
      <c r="E1070" t="s">
        <v>3968</v>
      </c>
      <c r="F1070" t="s">
        <v>3969</v>
      </c>
      <c r="G1070" t="s">
        <v>24</v>
      </c>
      <c r="H1070" t="s">
        <v>3970</v>
      </c>
      <c r="I1070" t="s">
        <v>73</v>
      </c>
      <c r="L1070" t="s">
        <v>190</v>
      </c>
      <c r="Q1070" t="s">
        <v>75</v>
      </c>
    </row>
    <row r="1071" spans="1:17" hidden="1" x14ac:dyDescent="0.25">
      <c r="A1071" t="s">
        <v>33</v>
      </c>
      <c r="B1071" t="s">
        <v>3971</v>
      </c>
      <c r="C1071" t="s">
        <v>21</v>
      </c>
      <c r="D1071" t="s">
        <v>3971</v>
      </c>
      <c r="E1071" t="s">
        <v>3972</v>
      </c>
      <c r="G1071" t="s">
        <v>24</v>
      </c>
      <c r="H1071" t="s">
        <v>3973</v>
      </c>
      <c r="L1071" t="s">
        <v>697</v>
      </c>
    </row>
    <row r="1072" spans="1:17" hidden="1" x14ac:dyDescent="0.25">
      <c r="A1072" t="s">
        <v>33</v>
      </c>
      <c r="B1072" t="s">
        <v>3974</v>
      </c>
      <c r="C1072" t="s">
        <v>21</v>
      </c>
      <c r="D1072" t="s">
        <v>3974</v>
      </c>
      <c r="E1072" t="s">
        <v>1068</v>
      </c>
      <c r="F1072" t="s">
        <v>3975</v>
      </c>
      <c r="G1072" t="s">
        <v>24</v>
      </c>
      <c r="H1072" t="s">
        <v>3976</v>
      </c>
      <c r="L1072" t="s">
        <v>185</v>
      </c>
    </row>
    <row r="1073" spans="1:17" x14ac:dyDescent="0.25">
      <c r="A1073" t="s">
        <v>33</v>
      </c>
      <c r="B1073" t="s">
        <v>3977</v>
      </c>
      <c r="C1073" t="s">
        <v>21</v>
      </c>
      <c r="D1073" t="s">
        <v>3977</v>
      </c>
      <c r="E1073" t="s">
        <v>3978</v>
      </c>
      <c r="F1073" t="s">
        <v>3979</v>
      </c>
      <c r="G1073" t="s">
        <v>24</v>
      </c>
      <c r="H1073" t="s">
        <v>3980</v>
      </c>
      <c r="I1073" t="s">
        <v>3981</v>
      </c>
      <c r="L1073" t="s">
        <v>47</v>
      </c>
      <c r="Q1073" t="s">
        <v>3982</v>
      </c>
    </row>
    <row r="1074" spans="1:17" hidden="1" x14ac:dyDescent="0.25">
      <c r="A1074" t="s">
        <v>33</v>
      </c>
      <c r="B1074" t="s">
        <v>3983</v>
      </c>
      <c r="C1074" t="s">
        <v>29</v>
      </c>
      <c r="D1074" t="s">
        <v>3983</v>
      </c>
      <c r="E1074" t="s">
        <v>1946</v>
      </c>
      <c r="F1074" t="s">
        <v>3984</v>
      </c>
      <c r="G1074" t="s">
        <v>24</v>
      </c>
      <c r="H1074" t="s">
        <v>3985</v>
      </c>
      <c r="I1074" t="s">
        <v>46</v>
      </c>
      <c r="L1074" t="s">
        <v>3808</v>
      </c>
      <c r="Q1074" t="s">
        <v>48</v>
      </c>
    </row>
    <row r="1075" spans="1:17" hidden="1" x14ac:dyDescent="0.25">
      <c r="A1075" t="s">
        <v>33</v>
      </c>
      <c r="B1075" t="s">
        <v>3986</v>
      </c>
      <c r="C1075" t="s">
        <v>21</v>
      </c>
      <c r="D1075" t="s">
        <v>3986</v>
      </c>
      <c r="E1075" t="s">
        <v>284</v>
      </c>
      <c r="F1075" t="s">
        <v>3987</v>
      </c>
      <c r="G1075" t="s">
        <v>24</v>
      </c>
      <c r="H1075" t="s">
        <v>3988</v>
      </c>
      <c r="L1075" t="s">
        <v>2758</v>
      </c>
    </row>
    <row r="1076" spans="1:17" x14ac:dyDescent="0.25">
      <c r="A1076" t="s">
        <v>33</v>
      </c>
      <c r="B1076" t="s">
        <v>3989</v>
      </c>
      <c r="C1076" t="s">
        <v>21</v>
      </c>
      <c r="D1076" t="s">
        <v>3990</v>
      </c>
      <c r="E1076" t="s">
        <v>1762</v>
      </c>
      <c r="F1076" t="s">
        <v>3320</v>
      </c>
      <c r="G1076" t="s">
        <v>24</v>
      </c>
      <c r="H1076" t="s">
        <v>3991</v>
      </c>
      <c r="I1076" t="s">
        <v>3600</v>
      </c>
      <c r="L1076" t="s">
        <v>2925</v>
      </c>
      <c r="Q1076" t="s">
        <v>3601</v>
      </c>
    </row>
    <row r="1077" spans="1:17" hidden="1" x14ac:dyDescent="0.25">
      <c r="A1077" t="s">
        <v>33</v>
      </c>
      <c r="B1077" t="s">
        <v>3992</v>
      </c>
      <c r="C1077" t="s">
        <v>21</v>
      </c>
      <c r="D1077" t="s">
        <v>3992</v>
      </c>
      <c r="E1077" t="s">
        <v>449</v>
      </c>
      <c r="F1077" t="s">
        <v>3050</v>
      </c>
      <c r="G1077" t="s">
        <v>24</v>
      </c>
      <c r="H1077" t="s">
        <v>3993</v>
      </c>
      <c r="I1077" t="s">
        <v>46</v>
      </c>
      <c r="L1077" t="s">
        <v>1433</v>
      </c>
      <c r="Q1077" t="s">
        <v>48</v>
      </c>
    </row>
    <row r="1078" spans="1:17" hidden="1" x14ac:dyDescent="0.25">
      <c r="A1078" t="s">
        <v>33</v>
      </c>
      <c r="B1078" t="s">
        <v>3994</v>
      </c>
      <c r="C1078" t="s">
        <v>21</v>
      </c>
      <c r="D1078" t="s">
        <v>3994</v>
      </c>
      <c r="E1078" t="s">
        <v>3995</v>
      </c>
      <c r="F1078" t="s">
        <v>3996</v>
      </c>
      <c r="G1078" t="s">
        <v>24</v>
      </c>
      <c r="H1078" t="s">
        <v>3997</v>
      </c>
      <c r="I1078" t="s">
        <v>46</v>
      </c>
      <c r="L1078" t="s">
        <v>181</v>
      </c>
      <c r="Q1078" t="s">
        <v>48</v>
      </c>
    </row>
    <row r="1079" spans="1:17" hidden="1" x14ac:dyDescent="0.25">
      <c r="A1079" t="s">
        <v>33</v>
      </c>
      <c r="B1079" t="s">
        <v>3998</v>
      </c>
      <c r="C1079" t="s">
        <v>21</v>
      </c>
      <c r="D1079" t="s">
        <v>3998</v>
      </c>
      <c r="E1079" t="s">
        <v>140</v>
      </c>
      <c r="F1079" t="s">
        <v>3999</v>
      </c>
      <c r="G1079" t="s">
        <v>24</v>
      </c>
      <c r="H1079" t="s">
        <v>4000</v>
      </c>
      <c r="L1079" t="s">
        <v>1184</v>
      </c>
    </row>
    <row r="1080" spans="1:17" hidden="1" x14ac:dyDescent="0.25">
      <c r="A1080" t="s">
        <v>33</v>
      </c>
      <c r="B1080" t="s">
        <v>4001</v>
      </c>
      <c r="C1080" t="s">
        <v>21</v>
      </c>
      <c r="D1080" t="s">
        <v>4001</v>
      </c>
      <c r="E1080" t="s">
        <v>4002</v>
      </c>
      <c r="F1080" t="s">
        <v>4003</v>
      </c>
      <c r="G1080" t="s">
        <v>24</v>
      </c>
      <c r="H1080" t="s">
        <v>4004</v>
      </c>
      <c r="I1080" t="s">
        <v>46</v>
      </c>
      <c r="L1080" t="s">
        <v>273</v>
      </c>
      <c r="Q1080" t="s">
        <v>48</v>
      </c>
    </row>
    <row r="1081" spans="1:17" hidden="1" x14ac:dyDescent="0.25">
      <c r="A1081" t="s">
        <v>19</v>
      </c>
      <c r="B1081" t="s">
        <v>4005</v>
      </c>
      <c r="C1081" t="s">
        <v>4006</v>
      </c>
      <c r="D1081" t="s">
        <v>4005</v>
      </c>
      <c r="E1081" t="s">
        <v>1762</v>
      </c>
      <c r="F1081" t="s">
        <v>3320</v>
      </c>
      <c r="G1081" t="s">
        <v>24</v>
      </c>
      <c r="H1081" t="s">
        <v>4007</v>
      </c>
      <c r="L1081" t="s">
        <v>2925</v>
      </c>
    </row>
    <row r="1082" spans="1:17" hidden="1" x14ac:dyDescent="0.25">
      <c r="A1082" t="s">
        <v>33</v>
      </c>
      <c r="B1082" t="s">
        <v>4008</v>
      </c>
      <c r="C1082" t="s">
        <v>21</v>
      </c>
      <c r="D1082" t="s">
        <v>4009</v>
      </c>
      <c r="E1082" t="s">
        <v>2211</v>
      </c>
      <c r="F1082" t="s">
        <v>4010</v>
      </c>
      <c r="G1082" t="s">
        <v>24</v>
      </c>
      <c r="H1082" t="s">
        <v>4011</v>
      </c>
      <c r="I1082" t="s">
        <v>46</v>
      </c>
      <c r="L1082" t="s">
        <v>914</v>
      </c>
      <c r="Q1082" t="s">
        <v>48</v>
      </c>
    </row>
    <row r="1083" spans="1:17" hidden="1" x14ac:dyDescent="0.25">
      <c r="A1083" t="s">
        <v>33</v>
      </c>
      <c r="B1083" t="s">
        <v>4012</v>
      </c>
      <c r="C1083" t="s">
        <v>21</v>
      </c>
      <c r="D1083" t="s">
        <v>4012</v>
      </c>
      <c r="E1083" t="s">
        <v>1810</v>
      </c>
      <c r="F1083" t="s">
        <v>4013</v>
      </c>
      <c r="G1083" t="s">
        <v>24</v>
      </c>
      <c r="H1083" t="s">
        <v>4014</v>
      </c>
      <c r="I1083" t="s">
        <v>73</v>
      </c>
      <c r="L1083" t="s">
        <v>692</v>
      </c>
      <c r="Q1083" t="s">
        <v>75</v>
      </c>
    </row>
    <row r="1084" spans="1:17" hidden="1" x14ac:dyDescent="0.25">
      <c r="A1084" t="s">
        <v>33</v>
      </c>
      <c r="B1084" t="s">
        <v>4015</v>
      </c>
      <c r="C1084" t="s">
        <v>21</v>
      </c>
      <c r="D1084" t="s">
        <v>4015</v>
      </c>
      <c r="E1084" t="s">
        <v>178</v>
      </c>
      <c r="F1084" t="s">
        <v>4016</v>
      </c>
      <c r="G1084" t="s">
        <v>24</v>
      </c>
      <c r="H1084" t="s">
        <v>4017</v>
      </c>
      <c r="I1084" t="s">
        <v>73</v>
      </c>
      <c r="L1084" t="s">
        <v>309</v>
      </c>
      <c r="Q1084" t="s">
        <v>75</v>
      </c>
    </row>
    <row r="1085" spans="1:17" hidden="1" x14ac:dyDescent="0.25">
      <c r="A1085" t="s">
        <v>33</v>
      </c>
      <c r="B1085" t="s">
        <v>4018</v>
      </c>
      <c r="C1085" t="s">
        <v>21</v>
      </c>
      <c r="D1085" t="s">
        <v>4018</v>
      </c>
      <c r="E1085" t="s">
        <v>2813</v>
      </c>
      <c r="F1085" t="s">
        <v>4019</v>
      </c>
      <c r="G1085" t="s">
        <v>24</v>
      </c>
      <c r="H1085" t="s">
        <v>4020</v>
      </c>
      <c r="I1085" t="s">
        <v>46</v>
      </c>
      <c r="L1085" t="s">
        <v>389</v>
      </c>
      <c r="Q1085" t="s">
        <v>48</v>
      </c>
    </row>
    <row r="1086" spans="1:17" hidden="1" x14ac:dyDescent="0.25">
      <c r="A1086" t="s">
        <v>33</v>
      </c>
      <c r="B1086" t="s">
        <v>4021</v>
      </c>
      <c r="C1086" t="s">
        <v>21</v>
      </c>
      <c r="D1086" t="s">
        <v>4021</v>
      </c>
      <c r="E1086" t="s">
        <v>159</v>
      </c>
      <c r="F1086" t="s">
        <v>4022</v>
      </c>
      <c r="G1086" t="s">
        <v>24</v>
      </c>
      <c r="H1086" t="s">
        <v>4023</v>
      </c>
      <c r="I1086" t="s">
        <v>73</v>
      </c>
      <c r="L1086" t="s">
        <v>2014</v>
      </c>
      <c r="Q1086" t="s">
        <v>75</v>
      </c>
    </row>
    <row r="1087" spans="1:17" hidden="1" x14ac:dyDescent="0.25">
      <c r="A1087" t="s">
        <v>33</v>
      </c>
      <c r="B1087" t="s">
        <v>4024</v>
      </c>
      <c r="C1087" t="s">
        <v>21</v>
      </c>
      <c r="D1087" t="s">
        <v>4024</v>
      </c>
      <c r="E1087" t="s">
        <v>2819</v>
      </c>
      <c r="F1087" t="s">
        <v>3504</v>
      </c>
      <c r="G1087" t="s">
        <v>24</v>
      </c>
      <c r="H1087" t="s">
        <v>4025</v>
      </c>
      <c r="I1087" t="s">
        <v>73</v>
      </c>
      <c r="L1087" t="s">
        <v>138</v>
      </c>
      <c r="Q1087" t="s">
        <v>75</v>
      </c>
    </row>
    <row r="1088" spans="1:17" hidden="1" x14ac:dyDescent="0.25">
      <c r="A1088" t="s">
        <v>33</v>
      </c>
      <c r="B1088" t="s">
        <v>4026</v>
      </c>
      <c r="C1088" t="s">
        <v>29</v>
      </c>
      <c r="D1088" t="s">
        <v>4026</v>
      </c>
      <c r="E1088" t="s">
        <v>3466</v>
      </c>
      <c r="F1088" t="s">
        <v>2274</v>
      </c>
      <c r="G1088" t="s">
        <v>24</v>
      </c>
      <c r="H1088" t="s">
        <v>4027</v>
      </c>
      <c r="I1088" t="s">
        <v>46</v>
      </c>
      <c r="L1088" t="s">
        <v>246</v>
      </c>
      <c r="Q1088" t="s">
        <v>48</v>
      </c>
    </row>
    <row r="1089" spans="1:17" hidden="1" x14ac:dyDescent="0.25">
      <c r="A1089" t="s">
        <v>33</v>
      </c>
      <c r="B1089" t="s">
        <v>4028</v>
      </c>
      <c r="C1089" t="s">
        <v>29</v>
      </c>
      <c r="D1089" t="s">
        <v>4029</v>
      </c>
      <c r="E1089" t="s">
        <v>4030</v>
      </c>
      <c r="F1089" t="s">
        <v>4031</v>
      </c>
      <c r="G1089" t="s">
        <v>24</v>
      </c>
      <c r="H1089" t="s">
        <v>4032</v>
      </c>
    </row>
    <row r="1090" spans="1:17" hidden="1" x14ac:dyDescent="0.25">
      <c r="A1090" t="s">
        <v>33</v>
      </c>
      <c r="B1090" t="s">
        <v>4033</v>
      </c>
      <c r="C1090" t="s">
        <v>29</v>
      </c>
      <c r="D1090" t="s">
        <v>4033</v>
      </c>
      <c r="E1090" t="s">
        <v>4034</v>
      </c>
      <c r="F1090" t="s">
        <v>4035</v>
      </c>
      <c r="G1090" t="s">
        <v>24</v>
      </c>
      <c r="H1090" t="s">
        <v>4036</v>
      </c>
      <c r="I1090" t="s">
        <v>46</v>
      </c>
      <c r="L1090" t="s">
        <v>246</v>
      </c>
      <c r="Q1090" t="s">
        <v>48</v>
      </c>
    </row>
    <row r="1091" spans="1:17" hidden="1" x14ac:dyDescent="0.25">
      <c r="A1091" t="s">
        <v>33</v>
      </c>
      <c r="B1091" t="s">
        <v>4037</v>
      </c>
      <c r="C1091" t="s">
        <v>21</v>
      </c>
      <c r="D1091" t="s">
        <v>4037</v>
      </c>
      <c r="E1091" t="s">
        <v>4038</v>
      </c>
      <c r="F1091" t="s">
        <v>1847</v>
      </c>
      <c r="G1091" t="s">
        <v>24</v>
      </c>
      <c r="H1091" t="s">
        <v>4039</v>
      </c>
      <c r="I1091" t="s">
        <v>73</v>
      </c>
      <c r="Q1091" t="s">
        <v>75</v>
      </c>
    </row>
    <row r="1092" spans="1:17" x14ac:dyDescent="0.25">
      <c r="A1092" t="s">
        <v>33</v>
      </c>
      <c r="B1092" t="s">
        <v>4040</v>
      </c>
      <c r="C1092" t="s">
        <v>21</v>
      </c>
      <c r="D1092" t="s">
        <v>4041</v>
      </c>
      <c r="E1092" t="s">
        <v>4042</v>
      </c>
      <c r="F1092" t="s">
        <v>4043</v>
      </c>
      <c r="G1092" t="s">
        <v>24</v>
      </c>
      <c r="H1092" t="s">
        <v>4044</v>
      </c>
      <c r="I1092" t="s">
        <v>4045</v>
      </c>
      <c r="L1092" t="s">
        <v>808</v>
      </c>
      <c r="Q1092" t="s">
        <v>4046</v>
      </c>
    </row>
    <row r="1093" spans="1:17" hidden="1" x14ac:dyDescent="0.25">
      <c r="A1093" t="s">
        <v>33</v>
      </c>
      <c r="B1093" t="s">
        <v>4047</v>
      </c>
      <c r="C1093" t="s">
        <v>21</v>
      </c>
      <c r="D1093" t="s">
        <v>4048</v>
      </c>
      <c r="E1093" t="s">
        <v>342</v>
      </c>
      <c r="F1093" t="s">
        <v>1387</v>
      </c>
      <c r="G1093" t="s">
        <v>24</v>
      </c>
      <c r="H1093" t="s">
        <v>4049</v>
      </c>
      <c r="I1093" t="s">
        <v>73</v>
      </c>
      <c r="L1093" t="s">
        <v>47</v>
      </c>
      <c r="Q1093" t="s">
        <v>75</v>
      </c>
    </row>
    <row r="1094" spans="1:17" hidden="1" x14ac:dyDescent="0.25">
      <c r="A1094" t="s">
        <v>33</v>
      </c>
      <c r="B1094" t="s">
        <v>4050</v>
      </c>
      <c r="C1094" t="s">
        <v>21</v>
      </c>
      <c r="D1094" t="s">
        <v>4050</v>
      </c>
      <c r="E1094" t="s">
        <v>2487</v>
      </c>
      <c r="F1094" t="s">
        <v>4051</v>
      </c>
      <c r="G1094" t="s">
        <v>24</v>
      </c>
      <c r="H1094" t="s">
        <v>4052</v>
      </c>
      <c r="I1094" t="s">
        <v>73</v>
      </c>
      <c r="L1094" t="s">
        <v>287</v>
      </c>
      <c r="Q1094" t="s">
        <v>75</v>
      </c>
    </row>
    <row r="1095" spans="1:17" hidden="1" x14ac:dyDescent="0.25">
      <c r="A1095" t="s">
        <v>33</v>
      </c>
      <c r="B1095" t="s">
        <v>4053</v>
      </c>
      <c r="C1095" t="s">
        <v>92</v>
      </c>
      <c r="D1095" t="s">
        <v>4053</v>
      </c>
      <c r="E1095" t="s">
        <v>4054</v>
      </c>
      <c r="F1095" t="s">
        <v>4055</v>
      </c>
      <c r="G1095" t="s">
        <v>24</v>
      </c>
      <c r="H1095" t="s">
        <v>4056</v>
      </c>
      <c r="L1095" t="s">
        <v>4057</v>
      </c>
    </row>
    <row r="1096" spans="1:17" hidden="1" x14ac:dyDescent="0.25">
      <c r="A1096" t="s">
        <v>33</v>
      </c>
      <c r="B1096" t="s">
        <v>4058</v>
      </c>
      <c r="C1096" t="s">
        <v>21</v>
      </c>
      <c r="D1096" t="s">
        <v>4058</v>
      </c>
      <c r="E1096" t="s">
        <v>4059</v>
      </c>
      <c r="F1096" t="s">
        <v>4060</v>
      </c>
      <c r="G1096" t="s">
        <v>24</v>
      </c>
      <c r="H1096" t="s">
        <v>4061</v>
      </c>
      <c r="I1096" t="s">
        <v>73</v>
      </c>
      <c r="L1096" t="s">
        <v>63</v>
      </c>
      <c r="Q1096" t="s">
        <v>75</v>
      </c>
    </row>
    <row r="1097" spans="1:17" hidden="1" x14ac:dyDescent="0.25">
      <c r="A1097" t="s">
        <v>33</v>
      </c>
      <c r="B1097" t="s">
        <v>4062</v>
      </c>
      <c r="C1097" t="s">
        <v>21</v>
      </c>
      <c r="D1097" t="s">
        <v>4062</v>
      </c>
      <c r="E1097" t="s">
        <v>4063</v>
      </c>
      <c r="F1097" t="s">
        <v>591</v>
      </c>
      <c r="G1097" t="s">
        <v>24</v>
      </c>
      <c r="H1097" t="s">
        <v>4064</v>
      </c>
      <c r="L1097" t="s">
        <v>878</v>
      </c>
    </row>
    <row r="1098" spans="1:17" hidden="1" x14ac:dyDescent="0.25">
      <c r="A1098" t="s">
        <v>33</v>
      </c>
      <c r="B1098" t="s">
        <v>4065</v>
      </c>
      <c r="C1098" t="s">
        <v>29</v>
      </c>
      <c r="D1098" t="s">
        <v>4065</v>
      </c>
      <c r="E1098" t="s">
        <v>4066</v>
      </c>
      <c r="F1098" t="s">
        <v>4067</v>
      </c>
      <c r="G1098" t="s">
        <v>24</v>
      </c>
      <c r="H1098" t="s">
        <v>4068</v>
      </c>
      <c r="L1098" t="s">
        <v>511</v>
      </c>
    </row>
    <row r="1099" spans="1:17" hidden="1" x14ac:dyDescent="0.25">
      <c r="A1099" t="s">
        <v>33</v>
      </c>
      <c r="B1099" t="s">
        <v>4069</v>
      </c>
      <c r="C1099" t="s">
        <v>21</v>
      </c>
      <c r="D1099" t="s">
        <v>4069</v>
      </c>
      <c r="E1099" t="s">
        <v>2052</v>
      </c>
      <c r="F1099" t="s">
        <v>4070</v>
      </c>
      <c r="G1099" t="s">
        <v>24</v>
      </c>
      <c r="H1099" t="s">
        <v>4071</v>
      </c>
      <c r="I1099" t="s">
        <v>73</v>
      </c>
      <c r="L1099" t="s">
        <v>914</v>
      </c>
      <c r="Q1099" t="s">
        <v>75</v>
      </c>
    </row>
    <row r="1100" spans="1:17" hidden="1" x14ac:dyDescent="0.25">
      <c r="A1100" t="s">
        <v>33</v>
      </c>
      <c r="B1100" t="s">
        <v>4072</v>
      </c>
      <c r="C1100" t="s">
        <v>21</v>
      </c>
      <c r="D1100" t="s">
        <v>4072</v>
      </c>
      <c r="E1100" t="s">
        <v>178</v>
      </c>
      <c r="F1100" t="s">
        <v>391</v>
      </c>
      <c r="G1100" t="s">
        <v>24</v>
      </c>
      <c r="H1100" t="s">
        <v>4073</v>
      </c>
      <c r="I1100" t="s">
        <v>73</v>
      </c>
      <c r="L1100" t="s">
        <v>3868</v>
      </c>
      <c r="Q1100" t="s">
        <v>75</v>
      </c>
    </row>
    <row r="1101" spans="1:17" hidden="1" x14ac:dyDescent="0.25">
      <c r="A1101" t="s">
        <v>33</v>
      </c>
      <c r="B1101" t="s">
        <v>4074</v>
      </c>
      <c r="C1101" t="s">
        <v>21</v>
      </c>
      <c r="D1101" t="s">
        <v>4074</v>
      </c>
      <c r="E1101" t="s">
        <v>4075</v>
      </c>
      <c r="F1101" t="s">
        <v>4076</v>
      </c>
      <c r="G1101" t="s">
        <v>24</v>
      </c>
      <c r="H1101" t="s">
        <v>4077</v>
      </c>
      <c r="I1101" t="s">
        <v>73</v>
      </c>
      <c r="L1101" t="s">
        <v>3868</v>
      </c>
      <c r="Q1101" t="s">
        <v>75</v>
      </c>
    </row>
    <row r="1102" spans="1:17" hidden="1" x14ac:dyDescent="0.25">
      <c r="A1102" t="s">
        <v>33</v>
      </c>
      <c r="B1102" t="s">
        <v>4078</v>
      </c>
      <c r="C1102" t="s">
        <v>21</v>
      </c>
      <c r="D1102" t="s">
        <v>4078</v>
      </c>
      <c r="E1102" t="s">
        <v>4079</v>
      </c>
      <c r="F1102" t="s">
        <v>1094</v>
      </c>
      <c r="G1102" t="s">
        <v>24</v>
      </c>
      <c r="H1102" t="s">
        <v>4080</v>
      </c>
      <c r="I1102" t="s">
        <v>73</v>
      </c>
      <c r="L1102" t="s">
        <v>994</v>
      </c>
      <c r="Q1102" t="s">
        <v>75</v>
      </c>
    </row>
    <row r="1103" spans="1:17" hidden="1" x14ac:dyDescent="0.25">
      <c r="A1103" t="s">
        <v>33</v>
      </c>
      <c r="B1103" t="s">
        <v>4081</v>
      </c>
      <c r="C1103" t="s">
        <v>21</v>
      </c>
      <c r="D1103" t="s">
        <v>4081</v>
      </c>
      <c r="E1103" t="s">
        <v>1146</v>
      </c>
      <c r="F1103" t="s">
        <v>2570</v>
      </c>
      <c r="G1103" t="s">
        <v>24</v>
      </c>
      <c r="H1103" t="s">
        <v>4082</v>
      </c>
      <c r="I1103" t="s">
        <v>73</v>
      </c>
      <c r="L1103" t="s">
        <v>53</v>
      </c>
      <c r="Q1103" t="s">
        <v>75</v>
      </c>
    </row>
    <row r="1104" spans="1:17" hidden="1" x14ac:dyDescent="0.25">
      <c r="A1104" t="s">
        <v>33</v>
      </c>
      <c r="B1104" t="s">
        <v>4083</v>
      </c>
      <c r="C1104" t="s">
        <v>21</v>
      </c>
      <c r="D1104" t="s">
        <v>4083</v>
      </c>
      <c r="E1104" t="s">
        <v>545</v>
      </c>
      <c r="F1104" t="s">
        <v>4084</v>
      </c>
      <c r="G1104" t="s">
        <v>4085</v>
      </c>
      <c r="H1104" t="s">
        <v>4086</v>
      </c>
      <c r="I1104" t="s">
        <v>46</v>
      </c>
      <c r="Q1104" t="s">
        <v>48</v>
      </c>
    </row>
    <row r="1105" spans="1:17" hidden="1" x14ac:dyDescent="0.25">
      <c r="A1105" t="s">
        <v>33</v>
      </c>
      <c r="B1105" t="s">
        <v>4087</v>
      </c>
      <c r="C1105" t="s">
        <v>21</v>
      </c>
      <c r="D1105" t="s">
        <v>4087</v>
      </c>
      <c r="E1105" t="s">
        <v>1010</v>
      </c>
      <c r="F1105" t="s">
        <v>4088</v>
      </c>
      <c r="G1105" t="s">
        <v>4085</v>
      </c>
      <c r="H1105" t="s">
        <v>4089</v>
      </c>
      <c r="I1105" t="s">
        <v>46</v>
      </c>
      <c r="Q1105" t="s">
        <v>48</v>
      </c>
    </row>
    <row r="1106" spans="1:17" hidden="1" x14ac:dyDescent="0.25">
      <c r="A1106" t="s">
        <v>33</v>
      </c>
      <c r="B1106" t="s">
        <v>4090</v>
      </c>
      <c r="C1106" t="s">
        <v>21</v>
      </c>
      <c r="D1106" t="s">
        <v>4090</v>
      </c>
      <c r="E1106" t="s">
        <v>135</v>
      </c>
      <c r="F1106" t="s">
        <v>4091</v>
      </c>
      <c r="G1106" t="s">
        <v>4085</v>
      </c>
      <c r="H1106" t="s">
        <v>4092</v>
      </c>
      <c r="I1106" t="s">
        <v>46</v>
      </c>
      <c r="Q1106" t="s">
        <v>48</v>
      </c>
    </row>
    <row r="1107" spans="1:17" hidden="1" x14ac:dyDescent="0.25">
      <c r="A1107" t="s">
        <v>33</v>
      </c>
      <c r="B1107" t="s">
        <v>4093</v>
      </c>
      <c r="C1107" t="s">
        <v>21</v>
      </c>
      <c r="D1107" t="s">
        <v>4093</v>
      </c>
      <c r="E1107" t="s">
        <v>4094</v>
      </c>
      <c r="F1107" t="s">
        <v>4095</v>
      </c>
      <c r="G1107" t="s">
        <v>4085</v>
      </c>
      <c r="H1107" t="s">
        <v>4096</v>
      </c>
    </row>
    <row r="1108" spans="1:17" hidden="1" x14ac:dyDescent="0.25">
      <c r="A1108" t="s">
        <v>33</v>
      </c>
      <c r="B1108" t="s">
        <v>4097</v>
      </c>
      <c r="C1108" t="s">
        <v>21</v>
      </c>
      <c r="D1108" t="s">
        <v>4097</v>
      </c>
      <c r="E1108" t="s">
        <v>1166</v>
      </c>
      <c r="F1108" t="s">
        <v>4098</v>
      </c>
      <c r="G1108" t="s">
        <v>24</v>
      </c>
      <c r="H1108" t="s">
        <v>4099</v>
      </c>
      <c r="I1108" t="s">
        <v>46</v>
      </c>
      <c r="L1108" t="s">
        <v>90</v>
      </c>
      <c r="Q1108" t="s">
        <v>48</v>
      </c>
    </row>
    <row r="1109" spans="1:17" hidden="1" x14ac:dyDescent="0.25">
      <c r="A1109" t="s">
        <v>33</v>
      </c>
      <c r="B1109" t="s">
        <v>4100</v>
      </c>
      <c r="C1109" t="s">
        <v>21</v>
      </c>
      <c r="D1109" t="s">
        <v>4100</v>
      </c>
      <c r="E1109" t="s">
        <v>4101</v>
      </c>
      <c r="F1109" t="s">
        <v>4102</v>
      </c>
      <c r="G1109" t="s">
        <v>4085</v>
      </c>
      <c r="H1109" t="s">
        <v>4103</v>
      </c>
    </row>
    <row r="1110" spans="1:17" hidden="1" x14ac:dyDescent="0.25">
      <c r="A1110" t="s">
        <v>33</v>
      </c>
      <c r="B1110" t="s">
        <v>4104</v>
      </c>
      <c r="C1110" t="s">
        <v>21</v>
      </c>
      <c r="D1110" t="s">
        <v>4104</v>
      </c>
      <c r="E1110" t="s">
        <v>4105</v>
      </c>
      <c r="F1110" t="s">
        <v>1706</v>
      </c>
      <c r="G1110" t="s">
        <v>24</v>
      </c>
      <c r="H1110" t="s">
        <v>4106</v>
      </c>
      <c r="L1110" t="s">
        <v>4107</v>
      </c>
    </row>
    <row r="1111" spans="1:17" hidden="1" x14ac:dyDescent="0.25">
      <c r="A1111" t="s">
        <v>33</v>
      </c>
      <c r="B1111" t="s">
        <v>4108</v>
      </c>
      <c r="C1111" t="s">
        <v>21</v>
      </c>
      <c r="D1111" t="s">
        <v>4108</v>
      </c>
      <c r="E1111" t="s">
        <v>2052</v>
      </c>
      <c r="F1111" t="s">
        <v>4109</v>
      </c>
      <c r="G1111" t="s">
        <v>4085</v>
      </c>
      <c r="H1111" t="s">
        <v>4110</v>
      </c>
      <c r="J1111" t="s">
        <v>26</v>
      </c>
      <c r="L1111" t="s">
        <v>4111</v>
      </c>
    </row>
    <row r="1112" spans="1:17" hidden="1" x14ac:dyDescent="0.25">
      <c r="A1112" t="s">
        <v>33</v>
      </c>
      <c r="B1112" t="s">
        <v>4112</v>
      </c>
      <c r="C1112" t="s">
        <v>21</v>
      </c>
      <c r="D1112" t="s">
        <v>4112</v>
      </c>
      <c r="E1112" t="s">
        <v>342</v>
      </c>
      <c r="F1112" t="s">
        <v>4113</v>
      </c>
      <c r="G1112" t="s">
        <v>24</v>
      </c>
      <c r="H1112" t="s">
        <v>4114</v>
      </c>
      <c r="L1112" t="s">
        <v>292</v>
      </c>
    </row>
    <row r="1113" spans="1:17" hidden="1" x14ac:dyDescent="0.25">
      <c r="A1113" t="s">
        <v>33</v>
      </c>
      <c r="B1113" t="s">
        <v>4115</v>
      </c>
      <c r="C1113" t="s">
        <v>21</v>
      </c>
      <c r="D1113" t="s">
        <v>4115</v>
      </c>
      <c r="E1113" t="s">
        <v>898</v>
      </c>
      <c r="F1113" t="s">
        <v>4116</v>
      </c>
      <c r="G1113" t="s">
        <v>24</v>
      </c>
      <c r="H1113" t="s">
        <v>4117</v>
      </c>
      <c r="I1113" t="s">
        <v>46</v>
      </c>
      <c r="L1113" t="s">
        <v>3254</v>
      </c>
      <c r="Q1113" t="s">
        <v>48</v>
      </c>
    </row>
    <row r="1114" spans="1:17" hidden="1" x14ac:dyDescent="0.25">
      <c r="A1114" t="s">
        <v>33</v>
      </c>
      <c r="B1114" t="s">
        <v>4118</v>
      </c>
      <c r="C1114" t="s">
        <v>21</v>
      </c>
      <c r="D1114" t="s">
        <v>4118</v>
      </c>
      <c r="E1114" t="s">
        <v>377</v>
      </c>
      <c r="F1114" t="s">
        <v>4119</v>
      </c>
      <c r="G1114" t="s">
        <v>4085</v>
      </c>
      <c r="H1114" t="s">
        <v>4120</v>
      </c>
      <c r="L1114" t="s">
        <v>4111</v>
      </c>
    </row>
    <row r="1115" spans="1:17" hidden="1" x14ac:dyDescent="0.25">
      <c r="A1115" t="s">
        <v>33</v>
      </c>
      <c r="B1115" t="s">
        <v>4121</v>
      </c>
      <c r="C1115" t="s">
        <v>21</v>
      </c>
      <c r="D1115" t="s">
        <v>4121</v>
      </c>
      <c r="E1115" t="s">
        <v>1424</v>
      </c>
      <c r="F1115" t="s">
        <v>4122</v>
      </c>
      <c r="G1115" t="s">
        <v>4085</v>
      </c>
      <c r="H1115" t="s">
        <v>4123</v>
      </c>
      <c r="L1115" t="s">
        <v>90</v>
      </c>
    </row>
    <row r="1116" spans="1:17" hidden="1" x14ac:dyDescent="0.25">
      <c r="A1116" t="s">
        <v>33</v>
      </c>
      <c r="B1116" t="s">
        <v>4124</v>
      </c>
      <c r="C1116" t="s">
        <v>21</v>
      </c>
      <c r="D1116" t="s">
        <v>4124</v>
      </c>
      <c r="E1116" t="s">
        <v>275</v>
      </c>
      <c r="F1116" t="s">
        <v>4125</v>
      </c>
      <c r="G1116" t="s">
        <v>24</v>
      </c>
      <c r="H1116" t="s">
        <v>4126</v>
      </c>
      <c r="I1116" t="s">
        <v>46</v>
      </c>
      <c r="J1116" t="s">
        <v>26</v>
      </c>
      <c r="L1116" t="s">
        <v>4111</v>
      </c>
      <c r="Q1116" t="s">
        <v>48</v>
      </c>
    </row>
    <row r="1117" spans="1:17" hidden="1" x14ac:dyDescent="0.25">
      <c r="A1117" t="s">
        <v>33</v>
      </c>
      <c r="B1117" t="s">
        <v>4127</v>
      </c>
      <c r="C1117" t="s">
        <v>21</v>
      </c>
      <c r="D1117" t="s">
        <v>4127</v>
      </c>
      <c r="E1117" t="s">
        <v>4128</v>
      </c>
      <c r="F1117" t="s">
        <v>4129</v>
      </c>
      <c r="G1117" t="s">
        <v>24</v>
      </c>
      <c r="H1117" t="s">
        <v>4130</v>
      </c>
      <c r="I1117" t="s">
        <v>73</v>
      </c>
      <c r="L1117" t="s">
        <v>3868</v>
      </c>
      <c r="Q1117" t="s">
        <v>75</v>
      </c>
    </row>
    <row r="1118" spans="1:17" hidden="1" x14ac:dyDescent="0.25">
      <c r="A1118" t="s">
        <v>33</v>
      </c>
      <c r="B1118" t="s">
        <v>4131</v>
      </c>
      <c r="C1118" t="s">
        <v>21</v>
      </c>
      <c r="D1118" t="s">
        <v>4131</v>
      </c>
      <c r="E1118" t="s">
        <v>4132</v>
      </c>
      <c r="F1118" t="s">
        <v>4133</v>
      </c>
      <c r="G1118" t="s">
        <v>24</v>
      </c>
      <c r="H1118" t="s">
        <v>4134</v>
      </c>
      <c r="I1118" t="s">
        <v>73</v>
      </c>
      <c r="L1118" t="s">
        <v>3868</v>
      </c>
      <c r="Q1118" t="s">
        <v>75</v>
      </c>
    </row>
    <row r="1119" spans="1:17" hidden="1" x14ac:dyDescent="0.25">
      <c r="A1119" t="s">
        <v>33</v>
      </c>
      <c r="B1119" t="s">
        <v>4135</v>
      </c>
      <c r="C1119" t="s">
        <v>21</v>
      </c>
      <c r="D1119" t="s">
        <v>4135</v>
      </c>
      <c r="E1119" t="s">
        <v>1557</v>
      </c>
      <c r="F1119" t="s">
        <v>2130</v>
      </c>
      <c r="G1119" t="s">
        <v>24</v>
      </c>
      <c r="H1119" t="s">
        <v>4136</v>
      </c>
      <c r="I1119" t="s">
        <v>73</v>
      </c>
      <c r="L1119" t="s">
        <v>3868</v>
      </c>
      <c r="Q1119" t="s">
        <v>75</v>
      </c>
    </row>
    <row r="1120" spans="1:17" hidden="1" x14ac:dyDescent="0.25">
      <c r="A1120" t="s">
        <v>33</v>
      </c>
      <c r="B1120" t="s">
        <v>4137</v>
      </c>
      <c r="C1120" t="s">
        <v>21</v>
      </c>
      <c r="D1120" t="s">
        <v>4137</v>
      </c>
      <c r="E1120" t="s">
        <v>377</v>
      </c>
      <c r="F1120" t="s">
        <v>4138</v>
      </c>
      <c r="G1120" t="s">
        <v>24</v>
      </c>
      <c r="H1120" t="s">
        <v>4139</v>
      </c>
      <c r="I1120" t="s">
        <v>46</v>
      </c>
      <c r="L1120" t="s">
        <v>565</v>
      </c>
      <c r="Q1120" t="s">
        <v>48</v>
      </c>
    </row>
    <row r="1121" spans="1:17" hidden="1" x14ac:dyDescent="0.25">
      <c r="A1121" t="s">
        <v>33</v>
      </c>
      <c r="B1121" t="s">
        <v>4140</v>
      </c>
      <c r="C1121" t="s">
        <v>21</v>
      </c>
      <c r="D1121" t="s">
        <v>4140</v>
      </c>
      <c r="E1121" t="s">
        <v>4141</v>
      </c>
      <c r="F1121" t="s">
        <v>4142</v>
      </c>
      <c r="G1121" t="s">
        <v>24</v>
      </c>
      <c r="H1121" t="s">
        <v>4143</v>
      </c>
      <c r="I1121" t="s">
        <v>46</v>
      </c>
      <c r="L1121" t="s">
        <v>2975</v>
      </c>
      <c r="Q1121" t="s">
        <v>48</v>
      </c>
    </row>
    <row r="1122" spans="1:17" hidden="1" x14ac:dyDescent="0.25">
      <c r="A1122" t="s">
        <v>33</v>
      </c>
      <c r="B1122" t="s">
        <v>4144</v>
      </c>
      <c r="C1122" t="s">
        <v>21</v>
      </c>
      <c r="D1122" t="s">
        <v>4144</v>
      </c>
      <c r="E1122" t="s">
        <v>4145</v>
      </c>
      <c r="F1122" t="s">
        <v>4146</v>
      </c>
      <c r="G1122" t="s">
        <v>24</v>
      </c>
      <c r="H1122" t="s">
        <v>4147</v>
      </c>
      <c r="L1122" t="s">
        <v>444</v>
      </c>
    </row>
    <row r="1123" spans="1:17" hidden="1" x14ac:dyDescent="0.25">
      <c r="A1123" t="s">
        <v>33</v>
      </c>
      <c r="B1123" t="s">
        <v>4148</v>
      </c>
      <c r="C1123" t="s">
        <v>21</v>
      </c>
      <c r="D1123" t="s">
        <v>4149</v>
      </c>
      <c r="E1123" t="s">
        <v>4150</v>
      </c>
      <c r="F1123" t="s">
        <v>4151</v>
      </c>
      <c r="G1123" t="s">
        <v>24</v>
      </c>
      <c r="H1123" t="s">
        <v>4152</v>
      </c>
      <c r="I1123" t="s">
        <v>73</v>
      </c>
      <c r="L1123" t="s">
        <v>287</v>
      </c>
      <c r="Q1123" t="s">
        <v>75</v>
      </c>
    </row>
    <row r="1124" spans="1:17" hidden="1" x14ac:dyDescent="0.25">
      <c r="A1124" t="s">
        <v>33</v>
      </c>
      <c r="B1124" t="s">
        <v>4153</v>
      </c>
      <c r="C1124" t="s">
        <v>21</v>
      </c>
      <c r="D1124" t="s">
        <v>4153</v>
      </c>
      <c r="E1124" t="s">
        <v>1254</v>
      </c>
      <c r="F1124" t="s">
        <v>4154</v>
      </c>
      <c r="G1124" t="s">
        <v>24</v>
      </c>
      <c r="H1124" t="s">
        <v>4155</v>
      </c>
      <c r="I1124" t="s">
        <v>46</v>
      </c>
      <c r="L1124" t="s">
        <v>38</v>
      </c>
      <c r="Q1124" t="s">
        <v>48</v>
      </c>
    </row>
    <row r="1125" spans="1:17" hidden="1" x14ac:dyDescent="0.25">
      <c r="A1125" t="s">
        <v>33</v>
      </c>
      <c r="B1125" t="s">
        <v>4156</v>
      </c>
      <c r="C1125" t="s">
        <v>29</v>
      </c>
      <c r="D1125" t="s">
        <v>4156</v>
      </c>
      <c r="E1125" t="s">
        <v>917</v>
      </c>
      <c r="F1125" t="s">
        <v>4157</v>
      </c>
      <c r="G1125" t="s">
        <v>24</v>
      </c>
      <c r="H1125" t="s">
        <v>4158</v>
      </c>
      <c r="I1125" t="s">
        <v>73</v>
      </c>
      <c r="L1125" t="s">
        <v>4159</v>
      </c>
      <c r="Q1125" t="s">
        <v>75</v>
      </c>
    </row>
    <row r="1126" spans="1:17" hidden="1" x14ac:dyDescent="0.25">
      <c r="A1126" t="s">
        <v>33</v>
      </c>
      <c r="B1126" t="s">
        <v>4160</v>
      </c>
      <c r="C1126" t="s">
        <v>21</v>
      </c>
      <c r="D1126" t="s">
        <v>4160</v>
      </c>
      <c r="E1126" t="s">
        <v>3031</v>
      </c>
      <c r="F1126" t="s">
        <v>4161</v>
      </c>
      <c r="G1126" t="s">
        <v>24</v>
      </c>
      <c r="H1126" t="s">
        <v>4162</v>
      </c>
      <c r="I1126" t="s">
        <v>73</v>
      </c>
      <c r="L1126" t="s">
        <v>38</v>
      </c>
      <c r="Q1126" t="s">
        <v>75</v>
      </c>
    </row>
    <row r="1127" spans="1:17" hidden="1" x14ac:dyDescent="0.25">
      <c r="A1127" t="s">
        <v>33</v>
      </c>
      <c r="B1127" t="s">
        <v>4163</v>
      </c>
      <c r="C1127" t="s">
        <v>21</v>
      </c>
      <c r="D1127" t="s">
        <v>4163</v>
      </c>
      <c r="E1127" t="s">
        <v>22</v>
      </c>
      <c r="F1127" t="s">
        <v>4164</v>
      </c>
      <c r="G1127" t="s">
        <v>24</v>
      </c>
      <c r="H1127" t="s">
        <v>4165</v>
      </c>
      <c r="I1127" t="s">
        <v>73</v>
      </c>
      <c r="L1127" t="s">
        <v>1552</v>
      </c>
      <c r="Q1127" t="s">
        <v>75</v>
      </c>
    </row>
    <row r="1128" spans="1:17" hidden="1" x14ac:dyDescent="0.25">
      <c r="A1128" t="s">
        <v>33</v>
      </c>
      <c r="B1128" t="s">
        <v>4166</v>
      </c>
      <c r="C1128" t="s">
        <v>29</v>
      </c>
      <c r="D1128" t="s">
        <v>4166</v>
      </c>
      <c r="E1128" t="s">
        <v>126</v>
      </c>
      <c r="F1128" t="s">
        <v>826</v>
      </c>
      <c r="G1128" t="s">
        <v>24</v>
      </c>
      <c r="H1128" t="s">
        <v>4167</v>
      </c>
      <c r="I1128" t="s">
        <v>73</v>
      </c>
      <c r="L1128" t="s">
        <v>246</v>
      </c>
      <c r="Q1128" t="s">
        <v>75</v>
      </c>
    </row>
    <row r="1129" spans="1:17" hidden="1" x14ac:dyDescent="0.25">
      <c r="A1129" t="s">
        <v>33</v>
      </c>
      <c r="B1129" t="s">
        <v>4168</v>
      </c>
      <c r="C1129" t="s">
        <v>21</v>
      </c>
      <c r="D1129" t="s">
        <v>4168</v>
      </c>
      <c r="E1129" t="s">
        <v>1933</v>
      </c>
      <c r="F1129" t="s">
        <v>4169</v>
      </c>
      <c r="G1129" t="s">
        <v>24</v>
      </c>
      <c r="H1129" t="s">
        <v>4170</v>
      </c>
      <c r="L1129" t="s">
        <v>2806</v>
      </c>
    </row>
    <row r="1130" spans="1:17" hidden="1" x14ac:dyDescent="0.25">
      <c r="A1130" t="s">
        <v>33</v>
      </c>
      <c r="B1130" t="s">
        <v>4171</v>
      </c>
      <c r="C1130" t="s">
        <v>21</v>
      </c>
      <c r="D1130" t="s">
        <v>4171</v>
      </c>
      <c r="E1130" t="s">
        <v>4172</v>
      </c>
      <c r="F1130" t="s">
        <v>4173</v>
      </c>
      <c r="G1130" t="s">
        <v>24</v>
      </c>
      <c r="H1130" s="1" t="s">
        <v>4174</v>
      </c>
      <c r="I1130" t="s">
        <v>73</v>
      </c>
      <c r="L1130" t="s">
        <v>2975</v>
      </c>
      <c r="Q1130" t="s">
        <v>75</v>
      </c>
    </row>
    <row r="1131" spans="1:17" hidden="1" x14ac:dyDescent="0.25">
      <c r="A1131" t="s">
        <v>33</v>
      </c>
      <c r="B1131" t="s">
        <v>4175</v>
      </c>
      <c r="C1131" t="s">
        <v>21</v>
      </c>
      <c r="D1131" t="s">
        <v>4175</v>
      </c>
      <c r="E1131" t="s">
        <v>342</v>
      </c>
      <c r="F1131" t="s">
        <v>4176</v>
      </c>
      <c r="G1131" t="s">
        <v>24</v>
      </c>
      <c r="H1131" t="s">
        <v>4177</v>
      </c>
      <c r="I1131" t="s">
        <v>46</v>
      </c>
      <c r="L1131" t="s">
        <v>2975</v>
      </c>
      <c r="Q1131" t="s">
        <v>48</v>
      </c>
    </row>
    <row r="1132" spans="1:17" hidden="1" x14ac:dyDescent="0.25">
      <c r="A1132" t="s">
        <v>33</v>
      </c>
      <c r="B1132" t="s">
        <v>4178</v>
      </c>
      <c r="C1132" t="s">
        <v>21</v>
      </c>
      <c r="D1132" t="s">
        <v>4178</v>
      </c>
      <c r="E1132" t="s">
        <v>4179</v>
      </c>
      <c r="F1132" t="s">
        <v>4180</v>
      </c>
      <c r="G1132" t="s">
        <v>24</v>
      </c>
      <c r="H1132" t="s">
        <v>4181</v>
      </c>
      <c r="I1132" t="s">
        <v>96</v>
      </c>
      <c r="L1132" t="s">
        <v>53</v>
      </c>
      <c r="Q1132" t="s">
        <v>98</v>
      </c>
    </row>
    <row r="1133" spans="1:17" hidden="1" x14ac:dyDescent="0.25">
      <c r="A1133" t="s">
        <v>33</v>
      </c>
      <c r="B1133" t="s">
        <v>4182</v>
      </c>
      <c r="C1133" t="s">
        <v>29</v>
      </c>
      <c r="D1133" t="s">
        <v>4182</v>
      </c>
      <c r="E1133" t="s">
        <v>1149</v>
      </c>
      <c r="F1133" t="s">
        <v>4183</v>
      </c>
      <c r="G1133" t="s">
        <v>24</v>
      </c>
      <c r="H1133" t="s">
        <v>4184</v>
      </c>
      <c r="L1133" t="s">
        <v>511</v>
      </c>
    </row>
    <row r="1134" spans="1:17" hidden="1" x14ac:dyDescent="0.25">
      <c r="A1134" t="s">
        <v>33</v>
      </c>
      <c r="B1134" t="s">
        <v>4185</v>
      </c>
      <c r="C1134" t="s">
        <v>21</v>
      </c>
      <c r="D1134" t="s">
        <v>4185</v>
      </c>
      <c r="E1134" t="s">
        <v>60</v>
      </c>
      <c r="F1134" t="s">
        <v>4186</v>
      </c>
      <c r="G1134" t="s">
        <v>24</v>
      </c>
      <c r="H1134" t="s">
        <v>4187</v>
      </c>
      <c r="I1134" t="s">
        <v>46</v>
      </c>
      <c r="L1134" t="s">
        <v>2975</v>
      </c>
      <c r="Q1134" t="s">
        <v>48</v>
      </c>
    </row>
    <row r="1135" spans="1:17" hidden="1" x14ac:dyDescent="0.25">
      <c r="A1135" t="s">
        <v>33</v>
      </c>
      <c r="B1135" t="s">
        <v>4188</v>
      </c>
      <c r="C1135" t="s">
        <v>29</v>
      </c>
      <c r="D1135" t="s">
        <v>4188</v>
      </c>
      <c r="E1135" t="s">
        <v>4145</v>
      </c>
      <c r="F1135" t="s">
        <v>4146</v>
      </c>
      <c r="G1135" t="s">
        <v>24</v>
      </c>
      <c r="H1135" t="s">
        <v>4189</v>
      </c>
      <c r="I1135" t="s">
        <v>46</v>
      </c>
      <c r="Q1135" t="s">
        <v>48</v>
      </c>
    </row>
    <row r="1136" spans="1:17" hidden="1" x14ac:dyDescent="0.25">
      <c r="A1136" t="s">
        <v>33</v>
      </c>
      <c r="B1136" t="s">
        <v>4190</v>
      </c>
      <c r="C1136" t="s">
        <v>21</v>
      </c>
      <c r="D1136" t="s">
        <v>4190</v>
      </c>
      <c r="E1136" t="s">
        <v>678</v>
      </c>
      <c r="F1136" t="s">
        <v>3153</v>
      </c>
      <c r="G1136" t="s">
        <v>24</v>
      </c>
      <c r="H1136" s="1" t="s">
        <v>4191</v>
      </c>
      <c r="L1136" t="s">
        <v>914</v>
      </c>
    </row>
    <row r="1137" spans="1:17" x14ac:dyDescent="0.25">
      <c r="A1137" t="s">
        <v>33</v>
      </c>
      <c r="B1137" t="s">
        <v>4192</v>
      </c>
      <c r="C1137" t="s">
        <v>21</v>
      </c>
      <c r="D1137" t="s">
        <v>4193</v>
      </c>
      <c r="E1137" t="s">
        <v>4194</v>
      </c>
      <c r="F1137" t="s">
        <v>4195</v>
      </c>
      <c r="G1137" t="s">
        <v>24</v>
      </c>
      <c r="H1137" t="s">
        <v>4196</v>
      </c>
      <c r="I1137" t="s">
        <v>4197</v>
      </c>
      <c r="L1137" t="s">
        <v>2975</v>
      </c>
      <c r="Q1137" t="s">
        <v>4198</v>
      </c>
    </row>
    <row r="1138" spans="1:17" hidden="1" x14ac:dyDescent="0.25">
      <c r="A1138" t="s">
        <v>33</v>
      </c>
      <c r="B1138" t="s">
        <v>4199</v>
      </c>
      <c r="C1138" t="s">
        <v>21</v>
      </c>
      <c r="D1138" t="s">
        <v>4199</v>
      </c>
      <c r="E1138" t="s">
        <v>1315</v>
      </c>
      <c r="F1138" t="s">
        <v>154</v>
      </c>
      <c r="G1138" t="s">
        <v>24</v>
      </c>
      <c r="H1138" t="s">
        <v>4200</v>
      </c>
      <c r="I1138" t="s">
        <v>46</v>
      </c>
      <c r="L1138" t="s">
        <v>53</v>
      </c>
      <c r="Q1138" t="s">
        <v>48</v>
      </c>
    </row>
    <row r="1139" spans="1:17" hidden="1" x14ac:dyDescent="0.25">
      <c r="A1139" t="s">
        <v>33</v>
      </c>
      <c r="B1139" t="s">
        <v>4201</v>
      </c>
      <c r="C1139" t="s">
        <v>29</v>
      </c>
      <c r="D1139" t="s">
        <v>4201</v>
      </c>
      <c r="E1139" t="s">
        <v>213</v>
      </c>
      <c r="F1139" t="s">
        <v>3447</v>
      </c>
      <c r="G1139" t="s">
        <v>24</v>
      </c>
      <c r="H1139" t="s">
        <v>4202</v>
      </c>
      <c r="I1139" t="s">
        <v>46</v>
      </c>
      <c r="L1139" t="s">
        <v>511</v>
      </c>
      <c r="Q1139" t="s">
        <v>48</v>
      </c>
    </row>
    <row r="1140" spans="1:17" hidden="1" x14ac:dyDescent="0.25">
      <c r="A1140" t="s">
        <v>33</v>
      </c>
      <c r="B1140" t="s">
        <v>4203</v>
      </c>
      <c r="C1140" t="s">
        <v>29</v>
      </c>
      <c r="D1140" t="s">
        <v>4203</v>
      </c>
      <c r="E1140" t="s">
        <v>796</v>
      </c>
      <c r="F1140" t="s">
        <v>4204</v>
      </c>
      <c r="G1140" t="s">
        <v>24</v>
      </c>
      <c r="H1140" t="s">
        <v>4205</v>
      </c>
    </row>
    <row r="1141" spans="1:17" hidden="1" x14ac:dyDescent="0.25">
      <c r="A1141" t="s">
        <v>33</v>
      </c>
      <c r="B1141" t="s">
        <v>4206</v>
      </c>
      <c r="C1141" t="s">
        <v>29</v>
      </c>
      <c r="D1141" t="s">
        <v>4206</v>
      </c>
      <c r="E1141" t="s">
        <v>4207</v>
      </c>
      <c r="F1141" t="s">
        <v>4208</v>
      </c>
      <c r="G1141" t="s">
        <v>24</v>
      </c>
      <c r="H1141" t="s">
        <v>4209</v>
      </c>
      <c r="I1141" t="s">
        <v>73</v>
      </c>
      <c r="Q1141" t="s">
        <v>75</v>
      </c>
    </row>
    <row r="1142" spans="1:17" hidden="1" x14ac:dyDescent="0.25">
      <c r="A1142" t="s">
        <v>33</v>
      </c>
      <c r="B1142" t="s">
        <v>4210</v>
      </c>
      <c r="C1142" t="s">
        <v>21</v>
      </c>
      <c r="D1142" t="s">
        <v>4210</v>
      </c>
      <c r="E1142" t="s">
        <v>4211</v>
      </c>
      <c r="F1142" t="s">
        <v>4212</v>
      </c>
      <c r="G1142" t="s">
        <v>24</v>
      </c>
      <c r="H1142" t="s">
        <v>4213</v>
      </c>
      <c r="I1142" t="s">
        <v>46</v>
      </c>
      <c r="L1142" t="s">
        <v>994</v>
      </c>
      <c r="Q1142" t="s">
        <v>48</v>
      </c>
    </row>
    <row r="1143" spans="1:17" hidden="1" x14ac:dyDescent="0.25">
      <c r="A1143" t="s">
        <v>33</v>
      </c>
      <c r="B1143" t="s">
        <v>4214</v>
      </c>
      <c r="C1143" t="s">
        <v>21</v>
      </c>
      <c r="D1143" t="s">
        <v>4214</v>
      </c>
      <c r="E1143" t="s">
        <v>992</v>
      </c>
      <c r="F1143" t="s">
        <v>4215</v>
      </c>
      <c r="G1143" t="s">
        <v>24</v>
      </c>
      <c r="H1143" t="s">
        <v>4216</v>
      </c>
      <c r="I1143" t="s">
        <v>46</v>
      </c>
      <c r="L1143" t="s">
        <v>2975</v>
      </c>
      <c r="Q1143" t="s">
        <v>48</v>
      </c>
    </row>
    <row r="1144" spans="1:17" hidden="1" x14ac:dyDescent="0.25">
      <c r="A1144" t="s">
        <v>33</v>
      </c>
      <c r="B1144" t="s">
        <v>4217</v>
      </c>
      <c r="C1144" t="s">
        <v>21</v>
      </c>
      <c r="D1144" t="s">
        <v>4218</v>
      </c>
      <c r="E1144" t="s">
        <v>4219</v>
      </c>
      <c r="F1144" t="s">
        <v>4220</v>
      </c>
      <c r="G1144" t="s">
        <v>24</v>
      </c>
      <c r="H1144" t="s">
        <v>4221</v>
      </c>
      <c r="I1144" t="s">
        <v>46</v>
      </c>
      <c r="L1144" t="s">
        <v>2975</v>
      </c>
      <c r="Q1144" t="s">
        <v>48</v>
      </c>
    </row>
    <row r="1145" spans="1:17" hidden="1" x14ac:dyDescent="0.25">
      <c r="A1145" t="s">
        <v>33</v>
      </c>
      <c r="B1145" t="s">
        <v>4222</v>
      </c>
      <c r="C1145" t="s">
        <v>29</v>
      </c>
      <c r="D1145" t="s">
        <v>4222</v>
      </c>
      <c r="E1145" t="s">
        <v>1015</v>
      </c>
      <c r="F1145" t="s">
        <v>4223</v>
      </c>
      <c r="G1145" t="s">
        <v>24</v>
      </c>
      <c r="H1145" t="s">
        <v>4224</v>
      </c>
    </row>
    <row r="1146" spans="1:17" hidden="1" x14ac:dyDescent="0.25">
      <c r="A1146" t="s">
        <v>33</v>
      </c>
      <c r="B1146" t="s">
        <v>4225</v>
      </c>
      <c r="C1146" t="s">
        <v>21</v>
      </c>
      <c r="D1146" t="s">
        <v>4225</v>
      </c>
      <c r="E1146" t="s">
        <v>4226</v>
      </c>
      <c r="F1146" t="s">
        <v>4227</v>
      </c>
      <c r="G1146" t="s">
        <v>24</v>
      </c>
      <c r="H1146" t="s">
        <v>4228</v>
      </c>
      <c r="I1146" t="s">
        <v>46</v>
      </c>
      <c r="L1146" t="s">
        <v>4229</v>
      </c>
      <c r="Q1146" t="s">
        <v>48</v>
      </c>
    </row>
    <row r="1147" spans="1:17" hidden="1" x14ac:dyDescent="0.25">
      <c r="A1147" t="s">
        <v>33</v>
      </c>
      <c r="B1147" t="s">
        <v>4230</v>
      </c>
      <c r="C1147" t="s">
        <v>21</v>
      </c>
      <c r="D1147" t="s">
        <v>4230</v>
      </c>
      <c r="E1147" t="s">
        <v>4231</v>
      </c>
      <c r="F1147" t="s">
        <v>4232</v>
      </c>
      <c r="G1147" t="s">
        <v>24</v>
      </c>
      <c r="H1147" t="s">
        <v>4233</v>
      </c>
      <c r="I1147" t="s">
        <v>46</v>
      </c>
      <c r="L1147" t="s">
        <v>3868</v>
      </c>
      <c r="Q1147" t="s">
        <v>48</v>
      </c>
    </row>
    <row r="1148" spans="1:17" hidden="1" x14ac:dyDescent="0.25">
      <c r="A1148" t="s">
        <v>33</v>
      </c>
      <c r="B1148" t="s">
        <v>4234</v>
      </c>
      <c r="C1148" t="s">
        <v>21</v>
      </c>
      <c r="D1148" t="s">
        <v>4234</v>
      </c>
      <c r="E1148" t="s">
        <v>4235</v>
      </c>
      <c r="F1148" t="s">
        <v>4236</v>
      </c>
      <c r="G1148" t="s">
        <v>24</v>
      </c>
      <c r="H1148" t="s">
        <v>4237</v>
      </c>
    </row>
    <row r="1149" spans="1:17" hidden="1" x14ac:dyDescent="0.25">
      <c r="A1149" t="s">
        <v>33</v>
      </c>
      <c r="B1149" t="s">
        <v>4238</v>
      </c>
      <c r="C1149" t="s">
        <v>21</v>
      </c>
      <c r="D1149" t="s">
        <v>4238</v>
      </c>
      <c r="E1149" t="s">
        <v>4219</v>
      </c>
      <c r="F1149" t="s">
        <v>1767</v>
      </c>
      <c r="G1149" t="s">
        <v>24</v>
      </c>
      <c r="H1149" t="s">
        <v>4239</v>
      </c>
      <c r="I1149" t="s">
        <v>46</v>
      </c>
      <c r="L1149" t="s">
        <v>3868</v>
      </c>
      <c r="Q1149" t="s">
        <v>48</v>
      </c>
    </row>
    <row r="1150" spans="1:17" hidden="1" x14ac:dyDescent="0.25">
      <c r="A1150" t="s">
        <v>33</v>
      </c>
      <c r="B1150" t="s">
        <v>4240</v>
      </c>
      <c r="C1150" t="s">
        <v>21</v>
      </c>
      <c r="D1150" t="s">
        <v>4240</v>
      </c>
      <c r="E1150" t="s">
        <v>1117</v>
      </c>
      <c r="F1150" t="s">
        <v>595</v>
      </c>
      <c r="G1150" t="s">
        <v>24</v>
      </c>
      <c r="H1150" t="s">
        <v>4241</v>
      </c>
      <c r="I1150" t="s">
        <v>73</v>
      </c>
      <c r="L1150" t="s">
        <v>3868</v>
      </c>
      <c r="Q1150" t="s">
        <v>75</v>
      </c>
    </row>
    <row r="1151" spans="1:17" hidden="1" x14ac:dyDescent="0.25">
      <c r="A1151" t="s">
        <v>33</v>
      </c>
      <c r="B1151" t="s">
        <v>4242</v>
      </c>
      <c r="C1151" t="s">
        <v>21</v>
      </c>
      <c r="D1151" t="s">
        <v>4243</v>
      </c>
      <c r="E1151" t="s">
        <v>3222</v>
      </c>
      <c r="F1151" t="s">
        <v>4244</v>
      </c>
      <c r="G1151" t="s">
        <v>24</v>
      </c>
      <c r="H1151" t="s">
        <v>4245</v>
      </c>
      <c r="I1151" t="s">
        <v>46</v>
      </c>
      <c r="L1151" t="s">
        <v>2975</v>
      </c>
      <c r="Q1151" t="s">
        <v>48</v>
      </c>
    </row>
    <row r="1152" spans="1:17" hidden="1" x14ac:dyDescent="0.25">
      <c r="A1152" t="s">
        <v>33</v>
      </c>
      <c r="B1152" t="s">
        <v>4246</v>
      </c>
      <c r="C1152" t="s">
        <v>29</v>
      </c>
      <c r="D1152" t="s">
        <v>4247</v>
      </c>
      <c r="E1152" t="s">
        <v>4248</v>
      </c>
      <c r="F1152" t="s">
        <v>4249</v>
      </c>
      <c r="G1152" t="s">
        <v>24</v>
      </c>
      <c r="H1152" t="s">
        <v>4250</v>
      </c>
      <c r="I1152" t="s">
        <v>46</v>
      </c>
      <c r="L1152" t="s">
        <v>4251</v>
      </c>
      <c r="Q1152" t="s">
        <v>48</v>
      </c>
    </row>
    <row r="1153" spans="1:17" hidden="1" x14ac:dyDescent="0.25">
      <c r="A1153" t="s">
        <v>33</v>
      </c>
      <c r="B1153" t="s">
        <v>4252</v>
      </c>
      <c r="C1153" t="s">
        <v>21</v>
      </c>
      <c r="D1153" t="s">
        <v>4252</v>
      </c>
      <c r="E1153" t="s">
        <v>367</v>
      </c>
      <c r="F1153" t="s">
        <v>4253</v>
      </c>
      <c r="G1153" t="s">
        <v>24</v>
      </c>
      <c r="H1153" t="s">
        <v>4254</v>
      </c>
      <c r="L1153" t="s">
        <v>2975</v>
      </c>
    </row>
    <row r="1154" spans="1:17" hidden="1" x14ac:dyDescent="0.25">
      <c r="A1154" t="s">
        <v>19</v>
      </c>
      <c r="B1154" t="s">
        <v>4255</v>
      </c>
      <c r="C1154" t="s">
        <v>4256</v>
      </c>
      <c r="D1154" t="s">
        <v>4255</v>
      </c>
      <c r="E1154" t="s">
        <v>4257</v>
      </c>
      <c r="F1154" t="s">
        <v>845</v>
      </c>
      <c r="G1154" t="s">
        <v>4085</v>
      </c>
      <c r="H1154" t="s">
        <v>4258</v>
      </c>
    </row>
    <row r="1155" spans="1:17" hidden="1" x14ac:dyDescent="0.25">
      <c r="A1155" t="s">
        <v>19</v>
      </c>
      <c r="B1155" t="s">
        <v>4259</v>
      </c>
      <c r="C1155" t="s">
        <v>4256</v>
      </c>
      <c r="D1155" t="s">
        <v>4259</v>
      </c>
      <c r="E1155" t="s">
        <v>2475</v>
      </c>
      <c r="F1155" t="s">
        <v>4260</v>
      </c>
      <c r="G1155" t="s">
        <v>4085</v>
      </c>
      <c r="H1155" t="s">
        <v>4261</v>
      </c>
    </row>
    <row r="1156" spans="1:17" hidden="1" x14ac:dyDescent="0.25">
      <c r="A1156" t="s">
        <v>19</v>
      </c>
      <c r="B1156" t="s">
        <v>4262</v>
      </c>
      <c r="C1156" t="s">
        <v>4256</v>
      </c>
      <c r="D1156" t="s">
        <v>4262</v>
      </c>
      <c r="E1156" t="s">
        <v>302</v>
      </c>
      <c r="F1156" t="s">
        <v>110</v>
      </c>
      <c r="G1156" t="s">
        <v>4085</v>
      </c>
      <c r="H1156" t="s">
        <v>4263</v>
      </c>
    </row>
    <row r="1157" spans="1:17" hidden="1" x14ac:dyDescent="0.25">
      <c r="A1157" t="s">
        <v>33</v>
      </c>
      <c r="B1157" t="s">
        <v>4264</v>
      </c>
      <c r="C1157" t="s">
        <v>21</v>
      </c>
      <c r="D1157" t="s">
        <v>4264</v>
      </c>
      <c r="E1157" t="s">
        <v>324</v>
      </c>
      <c r="F1157" t="s">
        <v>4265</v>
      </c>
      <c r="G1157" t="s">
        <v>24</v>
      </c>
      <c r="H1157" t="s">
        <v>4266</v>
      </c>
      <c r="I1157" t="s">
        <v>73</v>
      </c>
      <c r="L1157" t="s">
        <v>273</v>
      </c>
      <c r="Q1157" t="s">
        <v>75</v>
      </c>
    </row>
    <row r="1158" spans="1:17" hidden="1" x14ac:dyDescent="0.25">
      <c r="A1158" t="s">
        <v>33</v>
      </c>
      <c r="B1158" t="s">
        <v>4267</v>
      </c>
      <c r="C1158" t="s">
        <v>21</v>
      </c>
      <c r="D1158" t="s">
        <v>4268</v>
      </c>
      <c r="E1158" t="s">
        <v>4269</v>
      </c>
      <c r="F1158" t="s">
        <v>4270</v>
      </c>
      <c r="G1158" t="s">
        <v>24</v>
      </c>
      <c r="H1158" t="s">
        <v>4271</v>
      </c>
      <c r="I1158" t="s">
        <v>46</v>
      </c>
      <c r="Q1158" t="s">
        <v>48</v>
      </c>
    </row>
    <row r="1159" spans="1:17" hidden="1" x14ac:dyDescent="0.25">
      <c r="A1159" t="s">
        <v>33</v>
      </c>
      <c r="B1159" t="s">
        <v>4272</v>
      </c>
      <c r="C1159" t="s">
        <v>29</v>
      </c>
      <c r="D1159" t="s">
        <v>4273</v>
      </c>
      <c r="E1159" t="s">
        <v>3733</v>
      </c>
      <c r="F1159" t="s">
        <v>1431</v>
      </c>
      <c r="G1159" t="s">
        <v>24</v>
      </c>
      <c r="H1159" t="s">
        <v>4274</v>
      </c>
      <c r="I1159" t="s">
        <v>46</v>
      </c>
      <c r="L1159" t="s">
        <v>246</v>
      </c>
      <c r="Q1159" t="s">
        <v>48</v>
      </c>
    </row>
    <row r="1160" spans="1:17" hidden="1" x14ac:dyDescent="0.25">
      <c r="A1160" t="s">
        <v>33</v>
      </c>
      <c r="B1160" t="s">
        <v>4275</v>
      </c>
      <c r="C1160" t="s">
        <v>29</v>
      </c>
      <c r="D1160" t="s">
        <v>4275</v>
      </c>
      <c r="E1160" t="s">
        <v>1720</v>
      </c>
      <c r="F1160" t="s">
        <v>3463</v>
      </c>
      <c r="G1160" t="s">
        <v>24</v>
      </c>
      <c r="H1160" t="s">
        <v>4276</v>
      </c>
    </row>
    <row r="1161" spans="1:17" hidden="1" x14ac:dyDescent="0.25">
      <c r="A1161" t="s">
        <v>33</v>
      </c>
      <c r="B1161" t="s">
        <v>4277</v>
      </c>
      <c r="C1161" t="s">
        <v>21</v>
      </c>
      <c r="D1161" t="s">
        <v>4277</v>
      </c>
      <c r="E1161" t="s">
        <v>140</v>
      </c>
      <c r="F1161" t="s">
        <v>4278</v>
      </c>
      <c r="G1161" t="s">
        <v>24</v>
      </c>
      <c r="H1161" t="s">
        <v>4279</v>
      </c>
      <c r="I1161" t="s">
        <v>46</v>
      </c>
      <c r="L1161" t="s">
        <v>3868</v>
      </c>
      <c r="Q1161" t="s">
        <v>48</v>
      </c>
    </row>
    <row r="1162" spans="1:17" hidden="1" x14ac:dyDescent="0.25">
      <c r="A1162" t="s">
        <v>33</v>
      </c>
      <c r="B1162" t="s">
        <v>4280</v>
      </c>
      <c r="C1162" t="s">
        <v>21</v>
      </c>
      <c r="D1162" t="s">
        <v>4280</v>
      </c>
      <c r="E1162" t="s">
        <v>1731</v>
      </c>
      <c r="F1162" t="s">
        <v>4281</v>
      </c>
      <c r="G1162" t="s">
        <v>24</v>
      </c>
      <c r="H1162" t="s">
        <v>4282</v>
      </c>
      <c r="I1162" t="s">
        <v>46</v>
      </c>
      <c r="L1162" t="s">
        <v>1923</v>
      </c>
      <c r="Q1162" t="s">
        <v>48</v>
      </c>
    </row>
    <row r="1163" spans="1:17" hidden="1" x14ac:dyDescent="0.25">
      <c r="A1163" t="s">
        <v>33</v>
      </c>
      <c r="B1163" t="s">
        <v>4283</v>
      </c>
      <c r="C1163" t="s">
        <v>21</v>
      </c>
      <c r="D1163" t="s">
        <v>4284</v>
      </c>
      <c r="E1163" t="s">
        <v>3296</v>
      </c>
      <c r="F1163" t="s">
        <v>935</v>
      </c>
      <c r="G1163" t="s">
        <v>24</v>
      </c>
      <c r="H1163" t="s">
        <v>4285</v>
      </c>
      <c r="I1163" t="s">
        <v>46</v>
      </c>
      <c r="L1163" t="s">
        <v>4229</v>
      </c>
      <c r="Q1163" t="s">
        <v>48</v>
      </c>
    </row>
    <row r="1164" spans="1:17" hidden="1" x14ac:dyDescent="0.25">
      <c r="A1164" t="s">
        <v>33</v>
      </c>
      <c r="B1164" t="s">
        <v>4286</v>
      </c>
      <c r="C1164" t="s">
        <v>21</v>
      </c>
      <c r="D1164" t="s">
        <v>4286</v>
      </c>
      <c r="E1164" t="s">
        <v>2104</v>
      </c>
      <c r="F1164" t="s">
        <v>4287</v>
      </c>
      <c r="G1164" t="s">
        <v>24</v>
      </c>
      <c r="H1164" t="s">
        <v>4288</v>
      </c>
      <c r="I1164" t="s">
        <v>46</v>
      </c>
      <c r="L1164" t="s">
        <v>3868</v>
      </c>
      <c r="Q1164" t="s">
        <v>48</v>
      </c>
    </row>
    <row r="1165" spans="1:17" hidden="1" x14ac:dyDescent="0.25">
      <c r="A1165" t="s">
        <v>33</v>
      </c>
      <c r="B1165" t="s">
        <v>4289</v>
      </c>
      <c r="C1165" t="s">
        <v>21</v>
      </c>
      <c r="D1165" t="s">
        <v>4290</v>
      </c>
      <c r="E1165" t="s">
        <v>4291</v>
      </c>
      <c r="F1165" t="s">
        <v>330</v>
      </c>
      <c r="G1165" t="s">
        <v>24</v>
      </c>
      <c r="H1165" t="s">
        <v>4292</v>
      </c>
      <c r="I1165" t="s">
        <v>46</v>
      </c>
      <c r="L1165" t="s">
        <v>3868</v>
      </c>
      <c r="Q1165" t="s">
        <v>48</v>
      </c>
    </row>
    <row r="1166" spans="1:17" hidden="1" x14ac:dyDescent="0.25">
      <c r="A1166" t="s">
        <v>33</v>
      </c>
      <c r="B1166" t="s">
        <v>4293</v>
      </c>
      <c r="C1166" t="s">
        <v>21</v>
      </c>
      <c r="D1166" t="s">
        <v>4293</v>
      </c>
      <c r="E1166" t="s">
        <v>4294</v>
      </c>
      <c r="F1166" t="s">
        <v>3123</v>
      </c>
      <c r="G1166" t="s">
        <v>24</v>
      </c>
      <c r="H1166" t="s">
        <v>4295</v>
      </c>
      <c r="I1166" t="s">
        <v>46</v>
      </c>
      <c r="L1166" t="s">
        <v>3868</v>
      </c>
      <c r="Q1166" t="s">
        <v>48</v>
      </c>
    </row>
    <row r="1167" spans="1:17" hidden="1" x14ac:dyDescent="0.25">
      <c r="A1167" t="s">
        <v>33</v>
      </c>
      <c r="B1167" t="s">
        <v>4296</v>
      </c>
      <c r="C1167" t="s">
        <v>21</v>
      </c>
      <c r="D1167" t="s">
        <v>4296</v>
      </c>
      <c r="E1167" t="s">
        <v>178</v>
      </c>
      <c r="F1167" t="s">
        <v>4297</v>
      </c>
      <c r="G1167" t="s">
        <v>24</v>
      </c>
      <c r="H1167" t="s">
        <v>4298</v>
      </c>
      <c r="L1167" t="s">
        <v>273</v>
      </c>
    </row>
    <row r="1168" spans="1:17" hidden="1" x14ac:dyDescent="0.25">
      <c r="A1168" t="s">
        <v>33</v>
      </c>
      <c r="B1168" t="s">
        <v>4299</v>
      </c>
      <c r="C1168" t="s">
        <v>21</v>
      </c>
      <c r="D1168" t="s">
        <v>4299</v>
      </c>
      <c r="E1168" t="s">
        <v>4300</v>
      </c>
      <c r="F1168" t="s">
        <v>330</v>
      </c>
      <c r="G1168" t="s">
        <v>24</v>
      </c>
      <c r="H1168" t="s">
        <v>4301</v>
      </c>
      <c r="I1168" t="s">
        <v>46</v>
      </c>
      <c r="L1168" t="s">
        <v>4302</v>
      </c>
      <c r="Q1168" t="s">
        <v>48</v>
      </c>
    </row>
    <row r="1169" spans="1:17" hidden="1" x14ac:dyDescent="0.25">
      <c r="A1169" t="s">
        <v>33</v>
      </c>
      <c r="B1169" t="s">
        <v>4303</v>
      </c>
      <c r="C1169" t="s">
        <v>21</v>
      </c>
      <c r="D1169" t="s">
        <v>4303</v>
      </c>
      <c r="E1169" t="s">
        <v>4304</v>
      </c>
      <c r="F1169" t="s">
        <v>4305</v>
      </c>
      <c r="G1169" t="s">
        <v>24</v>
      </c>
      <c r="H1169" t="s">
        <v>4306</v>
      </c>
      <c r="I1169" t="s">
        <v>46</v>
      </c>
      <c r="L1169" t="s">
        <v>878</v>
      </c>
      <c r="Q1169" t="s">
        <v>48</v>
      </c>
    </row>
    <row r="1170" spans="1:17" hidden="1" x14ac:dyDescent="0.25">
      <c r="A1170" t="s">
        <v>33</v>
      </c>
      <c r="B1170" t="s">
        <v>4307</v>
      </c>
      <c r="C1170" t="s">
        <v>21</v>
      </c>
      <c r="D1170" t="s">
        <v>4307</v>
      </c>
      <c r="E1170" t="s">
        <v>4308</v>
      </c>
      <c r="F1170" t="s">
        <v>4309</v>
      </c>
      <c r="G1170" t="s">
        <v>24</v>
      </c>
      <c r="H1170" t="s">
        <v>4310</v>
      </c>
      <c r="I1170" t="s">
        <v>46</v>
      </c>
      <c r="L1170" t="s">
        <v>3653</v>
      </c>
      <c r="Q1170" t="s">
        <v>48</v>
      </c>
    </row>
    <row r="1171" spans="1:17" hidden="1" x14ac:dyDescent="0.25">
      <c r="A1171" t="s">
        <v>33</v>
      </c>
      <c r="B1171" t="s">
        <v>4311</v>
      </c>
      <c r="C1171" t="s">
        <v>29</v>
      </c>
      <c r="D1171" t="s">
        <v>4312</v>
      </c>
      <c r="E1171" t="s">
        <v>4313</v>
      </c>
      <c r="F1171" t="s">
        <v>4314</v>
      </c>
      <c r="G1171" t="s">
        <v>24</v>
      </c>
      <c r="H1171" s="1" t="s">
        <v>4315</v>
      </c>
      <c r="I1171" t="s">
        <v>46</v>
      </c>
      <c r="L1171" t="s">
        <v>246</v>
      </c>
      <c r="Q1171" t="s">
        <v>48</v>
      </c>
    </row>
    <row r="1172" spans="1:17" hidden="1" x14ac:dyDescent="0.25">
      <c r="A1172" t="s">
        <v>33</v>
      </c>
      <c r="B1172" t="s">
        <v>4316</v>
      </c>
      <c r="C1172" t="s">
        <v>29</v>
      </c>
      <c r="D1172" t="s">
        <v>4316</v>
      </c>
      <c r="E1172" t="s">
        <v>2922</v>
      </c>
      <c r="F1172" t="s">
        <v>4317</v>
      </c>
      <c r="G1172" t="s">
        <v>24</v>
      </c>
      <c r="H1172" t="s">
        <v>4318</v>
      </c>
      <c r="I1172" t="s">
        <v>46</v>
      </c>
      <c r="L1172" t="s">
        <v>3808</v>
      </c>
      <c r="Q1172" t="s">
        <v>48</v>
      </c>
    </row>
    <row r="1173" spans="1:17" hidden="1" x14ac:dyDescent="0.25">
      <c r="A1173" t="s">
        <v>33</v>
      </c>
      <c r="B1173" t="s">
        <v>4319</v>
      </c>
      <c r="C1173" t="s">
        <v>21</v>
      </c>
      <c r="D1173" t="s">
        <v>4319</v>
      </c>
      <c r="E1173" t="s">
        <v>4320</v>
      </c>
      <c r="F1173" t="s">
        <v>4321</v>
      </c>
      <c r="G1173" t="s">
        <v>24</v>
      </c>
      <c r="H1173" t="s">
        <v>4322</v>
      </c>
      <c r="I1173" t="s">
        <v>46</v>
      </c>
      <c r="L1173" t="s">
        <v>3868</v>
      </c>
      <c r="Q1173" t="s">
        <v>48</v>
      </c>
    </row>
    <row r="1174" spans="1:17" hidden="1" x14ac:dyDescent="0.25">
      <c r="A1174" t="s">
        <v>33</v>
      </c>
      <c r="B1174" t="s">
        <v>4323</v>
      </c>
      <c r="C1174" t="s">
        <v>21</v>
      </c>
      <c r="D1174" t="s">
        <v>4323</v>
      </c>
      <c r="E1174" t="s">
        <v>3597</v>
      </c>
      <c r="F1174" t="s">
        <v>4324</v>
      </c>
      <c r="G1174" t="s">
        <v>24</v>
      </c>
      <c r="H1174" t="s">
        <v>4325</v>
      </c>
    </row>
    <row r="1175" spans="1:17" hidden="1" x14ac:dyDescent="0.25">
      <c r="A1175" t="s">
        <v>33</v>
      </c>
      <c r="B1175" t="s">
        <v>4326</v>
      </c>
      <c r="C1175" t="s">
        <v>21</v>
      </c>
      <c r="D1175" t="s">
        <v>4326</v>
      </c>
      <c r="E1175" t="s">
        <v>449</v>
      </c>
      <c r="F1175" t="s">
        <v>4327</v>
      </c>
      <c r="G1175" t="s">
        <v>24</v>
      </c>
      <c r="H1175" t="s">
        <v>4328</v>
      </c>
      <c r="I1175" t="s">
        <v>46</v>
      </c>
      <c r="L1175" t="s">
        <v>53</v>
      </c>
      <c r="Q1175" t="s">
        <v>48</v>
      </c>
    </row>
    <row r="1176" spans="1:17" hidden="1" x14ac:dyDescent="0.25">
      <c r="A1176" t="s">
        <v>33</v>
      </c>
      <c r="B1176" t="s">
        <v>4329</v>
      </c>
      <c r="C1176" t="s">
        <v>21</v>
      </c>
      <c r="D1176" t="s">
        <v>4330</v>
      </c>
      <c r="E1176" t="s">
        <v>1010</v>
      </c>
      <c r="F1176" t="s">
        <v>4331</v>
      </c>
      <c r="G1176" t="s">
        <v>24</v>
      </c>
      <c r="H1176" t="s">
        <v>4332</v>
      </c>
      <c r="I1176" t="s">
        <v>46</v>
      </c>
      <c r="L1176" t="s">
        <v>4333</v>
      </c>
      <c r="Q1176" t="s">
        <v>48</v>
      </c>
    </row>
    <row r="1177" spans="1:17" hidden="1" x14ac:dyDescent="0.25">
      <c r="A1177" t="s">
        <v>33</v>
      </c>
      <c r="B1177" t="s">
        <v>4334</v>
      </c>
      <c r="C1177" t="s">
        <v>21</v>
      </c>
      <c r="D1177" t="s">
        <v>4334</v>
      </c>
      <c r="E1177" t="s">
        <v>3435</v>
      </c>
      <c r="F1177" t="s">
        <v>4133</v>
      </c>
      <c r="G1177" t="s">
        <v>24</v>
      </c>
      <c r="H1177" t="s">
        <v>4335</v>
      </c>
      <c r="I1177" t="s">
        <v>46</v>
      </c>
      <c r="L1177" t="s">
        <v>4229</v>
      </c>
      <c r="Q1177" t="s">
        <v>48</v>
      </c>
    </row>
    <row r="1178" spans="1:17" hidden="1" x14ac:dyDescent="0.25">
      <c r="A1178" t="s">
        <v>33</v>
      </c>
      <c r="B1178" t="s">
        <v>4336</v>
      </c>
      <c r="C1178" t="s">
        <v>29</v>
      </c>
      <c r="D1178" t="s">
        <v>4336</v>
      </c>
      <c r="E1178" t="s">
        <v>3008</v>
      </c>
      <c r="F1178" t="s">
        <v>603</v>
      </c>
      <c r="G1178" t="s">
        <v>24</v>
      </c>
      <c r="H1178" t="s">
        <v>4337</v>
      </c>
      <c r="L1178" t="s">
        <v>246</v>
      </c>
    </row>
    <row r="1179" spans="1:17" hidden="1" x14ac:dyDescent="0.25">
      <c r="A1179" t="s">
        <v>33</v>
      </c>
      <c r="B1179" t="s">
        <v>4338</v>
      </c>
      <c r="C1179" t="s">
        <v>21</v>
      </c>
      <c r="D1179" t="s">
        <v>4338</v>
      </c>
      <c r="E1179" t="s">
        <v>65</v>
      </c>
      <c r="F1179" t="s">
        <v>4339</v>
      </c>
      <c r="G1179" t="s">
        <v>24</v>
      </c>
      <c r="H1179" t="s">
        <v>4340</v>
      </c>
    </row>
    <row r="1180" spans="1:17" hidden="1" x14ac:dyDescent="0.25">
      <c r="A1180" t="s">
        <v>33</v>
      </c>
      <c r="B1180" t="s">
        <v>4341</v>
      </c>
      <c r="C1180" t="s">
        <v>21</v>
      </c>
      <c r="D1180" t="s">
        <v>4342</v>
      </c>
      <c r="E1180" t="s">
        <v>3394</v>
      </c>
      <c r="F1180" t="s">
        <v>4343</v>
      </c>
      <c r="G1180" t="s">
        <v>24</v>
      </c>
      <c r="H1180" t="s">
        <v>4344</v>
      </c>
      <c r="I1180" t="s">
        <v>46</v>
      </c>
      <c r="L1180" t="s">
        <v>3653</v>
      </c>
      <c r="Q1180" t="s">
        <v>48</v>
      </c>
    </row>
    <row r="1181" spans="1:17" hidden="1" x14ac:dyDescent="0.25">
      <c r="A1181" t="s">
        <v>33</v>
      </c>
      <c r="B1181" t="s">
        <v>4345</v>
      </c>
      <c r="C1181" t="s">
        <v>29</v>
      </c>
      <c r="D1181" t="s">
        <v>4345</v>
      </c>
      <c r="E1181" t="s">
        <v>367</v>
      </c>
      <c r="F1181" t="s">
        <v>285</v>
      </c>
      <c r="G1181" t="s">
        <v>24</v>
      </c>
      <c r="H1181" t="s">
        <v>4346</v>
      </c>
      <c r="I1181" t="s">
        <v>46</v>
      </c>
      <c r="L1181" t="s">
        <v>246</v>
      </c>
      <c r="Q1181" t="s">
        <v>48</v>
      </c>
    </row>
    <row r="1182" spans="1:17" hidden="1" x14ac:dyDescent="0.25">
      <c r="A1182" t="s">
        <v>33</v>
      </c>
      <c r="B1182" t="s">
        <v>4347</v>
      </c>
      <c r="C1182" t="s">
        <v>21</v>
      </c>
      <c r="D1182" t="s">
        <v>4347</v>
      </c>
      <c r="E1182" t="s">
        <v>4348</v>
      </c>
      <c r="F1182" t="s">
        <v>4349</v>
      </c>
      <c r="G1182" t="s">
        <v>24</v>
      </c>
      <c r="H1182" t="s">
        <v>4350</v>
      </c>
      <c r="I1182" t="s">
        <v>73</v>
      </c>
      <c r="L1182" t="s">
        <v>3868</v>
      </c>
      <c r="Q1182" t="s">
        <v>75</v>
      </c>
    </row>
    <row r="1183" spans="1:17" hidden="1" x14ac:dyDescent="0.25">
      <c r="A1183" t="s">
        <v>33</v>
      </c>
      <c r="B1183" t="s">
        <v>4351</v>
      </c>
      <c r="C1183" t="s">
        <v>21</v>
      </c>
      <c r="D1183" t="s">
        <v>4352</v>
      </c>
      <c r="E1183" t="s">
        <v>4353</v>
      </c>
      <c r="F1183" t="s">
        <v>4354</v>
      </c>
      <c r="G1183" t="s">
        <v>24</v>
      </c>
      <c r="H1183" t="s">
        <v>4355</v>
      </c>
      <c r="I1183" t="s">
        <v>46</v>
      </c>
      <c r="L1183" t="s">
        <v>1061</v>
      </c>
      <c r="Q1183" t="s">
        <v>48</v>
      </c>
    </row>
    <row r="1184" spans="1:17" hidden="1" x14ac:dyDescent="0.25">
      <c r="A1184" t="s">
        <v>33</v>
      </c>
      <c r="B1184" t="s">
        <v>4356</v>
      </c>
      <c r="C1184" t="s">
        <v>21</v>
      </c>
      <c r="D1184" t="s">
        <v>4356</v>
      </c>
      <c r="E1184" t="s">
        <v>4357</v>
      </c>
      <c r="F1184" t="s">
        <v>4358</v>
      </c>
      <c r="G1184" t="s">
        <v>24</v>
      </c>
      <c r="H1184" t="s">
        <v>4359</v>
      </c>
    </row>
    <row r="1185" spans="1:17" hidden="1" x14ac:dyDescent="0.25">
      <c r="A1185" t="s">
        <v>33</v>
      </c>
      <c r="B1185" t="s">
        <v>4360</v>
      </c>
      <c r="C1185" t="s">
        <v>21</v>
      </c>
      <c r="D1185" t="s">
        <v>4361</v>
      </c>
      <c r="E1185" t="s">
        <v>2917</v>
      </c>
      <c r="F1185" t="s">
        <v>4362</v>
      </c>
      <c r="G1185" t="s">
        <v>24</v>
      </c>
      <c r="H1185" t="s">
        <v>4363</v>
      </c>
      <c r="I1185" t="s">
        <v>46</v>
      </c>
      <c r="L1185" t="s">
        <v>3653</v>
      </c>
      <c r="Q1185" t="s">
        <v>48</v>
      </c>
    </row>
    <row r="1186" spans="1:17" hidden="1" x14ac:dyDescent="0.25">
      <c r="A1186" t="s">
        <v>33</v>
      </c>
      <c r="B1186" t="s">
        <v>4364</v>
      </c>
      <c r="C1186" t="s">
        <v>29</v>
      </c>
      <c r="D1186" t="s">
        <v>4365</v>
      </c>
      <c r="E1186" t="s">
        <v>4366</v>
      </c>
      <c r="F1186" t="s">
        <v>4367</v>
      </c>
      <c r="G1186" t="s">
        <v>24</v>
      </c>
      <c r="H1186" t="s">
        <v>4368</v>
      </c>
      <c r="I1186" t="s">
        <v>46</v>
      </c>
      <c r="L1186" t="s">
        <v>3808</v>
      </c>
      <c r="Q1186" t="s">
        <v>48</v>
      </c>
    </row>
    <row r="1187" spans="1:17" hidden="1" x14ac:dyDescent="0.25">
      <c r="A1187" t="s">
        <v>33</v>
      </c>
      <c r="B1187" t="s">
        <v>4369</v>
      </c>
      <c r="C1187" t="s">
        <v>21</v>
      </c>
      <c r="D1187" t="s">
        <v>4369</v>
      </c>
      <c r="E1187" t="s">
        <v>4370</v>
      </c>
      <c r="F1187" t="s">
        <v>446</v>
      </c>
      <c r="G1187" t="s">
        <v>24</v>
      </c>
      <c r="H1187" t="s">
        <v>4371</v>
      </c>
      <c r="I1187" t="s">
        <v>46</v>
      </c>
      <c r="L1187" t="s">
        <v>3868</v>
      </c>
      <c r="Q1187" t="s">
        <v>48</v>
      </c>
    </row>
    <row r="1188" spans="1:17" hidden="1" x14ac:dyDescent="0.25">
      <c r="A1188" t="s">
        <v>33</v>
      </c>
      <c r="B1188" t="s">
        <v>4372</v>
      </c>
      <c r="C1188" t="s">
        <v>21</v>
      </c>
      <c r="D1188" t="s">
        <v>4372</v>
      </c>
      <c r="E1188" t="s">
        <v>3527</v>
      </c>
      <c r="F1188" t="s">
        <v>4373</v>
      </c>
      <c r="G1188" t="s">
        <v>24</v>
      </c>
      <c r="H1188" t="s">
        <v>4374</v>
      </c>
      <c r="I1188" t="s">
        <v>46</v>
      </c>
      <c r="L1188" t="s">
        <v>3868</v>
      </c>
      <c r="Q1188" t="s">
        <v>48</v>
      </c>
    </row>
    <row r="1189" spans="1:17" hidden="1" x14ac:dyDescent="0.25">
      <c r="A1189" t="s">
        <v>33</v>
      </c>
      <c r="B1189" t="s">
        <v>4375</v>
      </c>
      <c r="C1189" t="s">
        <v>21</v>
      </c>
      <c r="D1189" t="s">
        <v>4375</v>
      </c>
      <c r="E1189" t="s">
        <v>4376</v>
      </c>
      <c r="F1189" t="s">
        <v>4377</v>
      </c>
      <c r="G1189" t="s">
        <v>24</v>
      </c>
      <c r="H1189" t="s">
        <v>4378</v>
      </c>
      <c r="I1189" t="s">
        <v>46</v>
      </c>
      <c r="L1189" t="s">
        <v>3868</v>
      </c>
      <c r="Q1189" t="s">
        <v>48</v>
      </c>
    </row>
    <row r="1190" spans="1:17" hidden="1" x14ac:dyDescent="0.25">
      <c r="A1190" t="s">
        <v>33</v>
      </c>
      <c r="B1190" t="s">
        <v>4379</v>
      </c>
      <c r="C1190" t="s">
        <v>21</v>
      </c>
      <c r="D1190" t="s">
        <v>4379</v>
      </c>
      <c r="E1190" t="s">
        <v>4380</v>
      </c>
      <c r="F1190" t="s">
        <v>4381</v>
      </c>
      <c r="G1190" t="s">
        <v>24</v>
      </c>
      <c r="H1190" t="s">
        <v>4382</v>
      </c>
      <c r="I1190" t="s">
        <v>46</v>
      </c>
      <c r="L1190" t="s">
        <v>3653</v>
      </c>
      <c r="Q1190" t="s">
        <v>48</v>
      </c>
    </row>
    <row r="1191" spans="1:17" hidden="1" x14ac:dyDescent="0.25">
      <c r="A1191" t="s">
        <v>33</v>
      </c>
      <c r="B1191" t="s">
        <v>4383</v>
      </c>
      <c r="C1191" t="s">
        <v>21</v>
      </c>
      <c r="D1191" t="s">
        <v>4383</v>
      </c>
      <c r="E1191" t="s">
        <v>324</v>
      </c>
      <c r="F1191" t="s">
        <v>4384</v>
      </c>
      <c r="G1191" t="s">
        <v>24</v>
      </c>
      <c r="H1191" t="s">
        <v>4385</v>
      </c>
      <c r="I1191" t="s">
        <v>46</v>
      </c>
      <c r="L1191" t="s">
        <v>3868</v>
      </c>
      <c r="Q1191" t="s">
        <v>48</v>
      </c>
    </row>
    <row r="1192" spans="1:17" hidden="1" x14ac:dyDescent="0.25">
      <c r="A1192" t="s">
        <v>33</v>
      </c>
      <c r="B1192" t="s">
        <v>4386</v>
      </c>
      <c r="C1192" t="s">
        <v>21</v>
      </c>
      <c r="D1192" t="s">
        <v>4386</v>
      </c>
      <c r="E1192" t="s">
        <v>3000</v>
      </c>
      <c r="F1192" t="s">
        <v>4387</v>
      </c>
      <c r="G1192" t="s">
        <v>24</v>
      </c>
      <c r="H1192" t="s">
        <v>4388</v>
      </c>
      <c r="I1192" t="s">
        <v>46</v>
      </c>
      <c r="L1192" t="s">
        <v>3868</v>
      </c>
      <c r="Q1192" t="s">
        <v>48</v>
      </c>
    </row>
    <row r="1193" spans="1:17" hidden="1" x14ac:dyDescent="0.25">
      <c r="A1193" t="s">
        <v>33</v>
      </c>
      <c r="B1193" t="s">
        <v>4389</v>
      </c>
      <c r="C1193" t="s">
        <v>21</v>
      </c>
      <c r="D1193" t="s">
        <v>4389</v>
      </c>
      <c r="E1193" t="s">
        <v>4390</v>
      </c>
      <c r="F1193" t="s">
        <v>4391</v>
      </c>
      <c r="G1193" t="s">
        <v>24</v>
      </c>
      <c r="H1193" t="s">
        <v>4392</v>
      </c>
      <c r="I1193" t="s">
        <v>46</v>
      </c>
      <c r="L1193" t="s">
        <v>511</v>
      </c>
      <c r="Q1193" t="s">
        <v>48</v>
      </c>
    </row>
    <row r="1194" spans="1:17" hidden="1" x14ac:dyDescent="0.25">
      <c r="A1194" t="s">
        <v>33</v>
      </c>
      <c r="B1194" t="s">
        <v>4393</v>
      </c>
      <c r="C1194" t="s">
        <v>21</v>
      </c>
      <c r="D1194" t="s">
        <v>4393</v>
      </c>
      <c r="E1194" t="s">
        <v>540</v>
      </c>
      <c r="F1194" t="s">
        <v>4394</v>
      </c>
      <c r="G1194" t="s">
        <v>24</v>
      </c>
      <c r="H1194" t="s">
        <v>4395</v>
      </c>
      <c r="I1194" t="s">
        <v>73</v>
      </c>
      <c r="L1194" t="s">
        <v>171</v>
      </c>
      <c r="Q1194" t="s">
        <v>75</v>
      </c>
    </row>
    <row r="1195" spans="1:17" hidden="1" x14ac:dyDescent="0.25">
      <c r="A1195" t="s">
        <v>33</v>
      </c>
      <c r="B1195" t="s">
        <v>4396</v>
      </c>
      <c r="C1195" t="s">
        <v>21</v>
      </c>
      <c r="D1195" t="s">
        <v>4396</v>
      </c>
      <c r="E1195" t="s">
        <v>4397</v>
      </c>
      <c r="F1195" t="s">
        <v>4398</v>
      </c>
      <c r="G1195" t="s">
        <v>24</v>
      </c>
      <c r="H1195" t="s">
        <v>4399</v>
      </c>
    </row>
    <row r="1196" spans="1:17" hidden="1" x14ac:dyDescent="0.25">
      <c r="A1196" t="s">
        <v>33</v>
      </c>
      <c r="B1196" t="s">
        <v>4400</v>
      </c>
      <c r="C1196" t="s">
        <v>21</v>
      </c>
      <c r="D1196" t="s">
        <v>4400</v>
      </c>
      <c r="E1196" t="s">
        <v>540</v>
      </c>
      <c r="F1196" t="s">
        <v>4401</v>
      </c>
      <c r="G1196" t="s">
        <v>24</v>
      </c>
      <c r="H1196" t="s">
        <v>4402</v>
      </c>
      <c r="I1196" t="s">
        <v>46</v>
      </c>
      <c r="L1196" t="s">
        <v>692</v>
      </c>
      <c r="Q1196" t="s">
        <v>48</v>
      </c>
    </row>
    <row r="1197" spans="1:17" hidden="1" x14ac:dyDescent="0.25">
      <c r="A1197" t="s">
        <v>33</v>
      </c>
      <c r="B1197" t="s">
        <v>4403</v>
      </c>
      <c r="C1197" t="s">
        <v>29</v>
      </c>
      <c r="D1197" t="s">
        <v>4403</v>
      </c>
      <c r="E1197" t="s">
        <v>2277</v>
      </c>
      <c r="F1197" t="s">
        <v>145</v>
      </c>
      <c r="G1197" t="s">
        <v>24</v>
      </c>
      <c r="H1197" t="s">
        <v>4404</v>
      </c>
      <c r="L1197" t="s">
        <v>246</v>
      </c>
    </row>
    <row r="1198" spans="1:17" hidden="1" x14ac:dyDescent="0.25">
      <c r="A1198" t="s">
        <v>33</v>
      </c>
      <c r="B1198" t="s">
        <v>4405</v>
      </c>
      <c r="C1198" t="s">
        <v>21</v>
      </c>
      <c r="D1198" t="s">
        <v>4405</v>
      </c>
      <c r="E1198" t="s">
        <v>4406</v>
      </c>
      <c r="F1198" t="s">
        <v>4407</v>
      </c>
      <c r="G1198" t="s">
        <v>24</v>
      </c>
      <c r="H1198" t="s">
        <v>4408</v>
      </c>
      <c r="I1198" t="s">
        <v>46</v>
      </c>
      <c r="L1198" t="s">
        <v>4229</v>
      </c>
      <c r="Q1198" t="s">
        <v>48</v>
      </c>
    </row>
    <row r="1199" spans="1:17" hidden="1" x14ac:dyDescent="0.25">
      <c r="A1199" t="s">
        <v>33</v>
      </c>
      <c r="B1199" t="s">
        <v>4409</v>
      </c>
      <c r="C1199" t="s">
        <v>21</v>
      </c>
      <c r="D1199" t="s">
        <v>4409</v>
      </c>
      <c r="E1199" t="s">
        <v>2474</v>
      </c>
      <c r="F1199" t="s">
        <v>4410</v>
      </c>
      <c r="G1199" t="s">
        <v>24</v>
      </c>
      <c r="H1199" t="s">
        <v>4411</v>
      </c>
      <c r="I1199" t="s">
        <v>46</v>
      </c>
      <c r="L1199" t="s">
        <v>4229</v>
      </c>
      <c r="Q1199" t="s">
        <v>48</v>
      </c>
    </row>
    <row r="1200" spans="1:17" hidden="1" x14ac:dyDescent="0.25">
      <c r="A1200" t="s">
        <v>33</v>
      </c>
      <c r="B1200" t="s">
        <v>4412</v>
      </c>
      <c r="C1200" t="s">
        <v>21</v>
      </c>
      <c r="D1200" t="s">
        <v>4412</v>
      </c>
      <c r="E1200" t="s">
        <v>4413</v>
      </c>
      <c r="F1200" t="s">
        <v>4414</v>
      </c>
      <c r="G1200" t="s">
        <v>24</v>
      </c>
      <c r="H1200" t="s">
        <v>4415</v>
      </c>
      <c r="I1200" t="s">
        <v>46</v>
      </c>
      <c r="L1200" t="s">
        <v>530</v>
      </c>
      <c r="Q1200" t="s">
        <v>48</v>
      </c>
    </row>
    <row r="1201" spans="1:17" hidden="1" x14ac:dyDescent="0.25">
      <c r="A1201" t="s">
        <v>33</v>
      </c>
      <c r="B1201" t="s">
        <v>4416</v>
      </c>
      <c r="C1201" t="s">
        <v>29</v>
      </c>
      <c r="D1201" t="s">
        <v>4416</v>
      </c>
      <c r="E1201" t="s">
        <v>4397</v>
      </c>
      <c r="F1201" t="s">
        <v>4398</v>
      </c>
      <c r="G1201" t="s">
        <v>24</v>
      </c>
      <c r="H1201" t="s">
        <v>4417</v>
      </c>
      <c r="I1201" t="s">
        <v>46</v>
      </c>
      <c r="L1201" t="s">
        <v>246</v>
      </c>
      <c r="Q1201" t="s">
        <v>48</v>
      </c>
    </row>
    <row r="1202" spans="1:17" hidden="1" x14ac:dyDescent="0.25">
      <c r="A1202" t="s">
        <v>33</v>
      </c>
      <c r="B1202" t="s">
        <v>4418</v>
      </c>
      <c r="C1202" t="s">
        <v>21</v>
      </c>
      <c r="D1202" t="s">
        <v>4418</v>
      </c>
      <c r="E1202" t="s">
        <v>2408</v>
      </c>
      <c r="F1202" t="s">
        <v>87</v>
      </c>
      <c r="G1202" t="s">
        <v>24</v>
      </c>
      <c r="H1202" t="s">
        <v>4419</v>
      </c>
      <c r="L1202" t="s">
        <v>861</v>
      </c>
    </row>
    <row r="1203" spans="1:17" hidden="1" x14ac:dyDescent="0.25">
      <c r="A1203" t="s">
        <v>33</v>
      </c>
      <c r="B1203" t="s">
        <v>4420</v>
      </c>
      <c r="C1203" t="s">
        <v>21</v>
      </c>
      <c r="D1203" t="s">
        <v>4420</v>
      </c>
      <c r="E1203" t="s">
        <v>3483</v>
      </c>
      <c r="F1203" t="s">
        <v>4421</v>
      </c>
      <c r="G1203" t="s">
        <v>24</v>
      </c>
      <c r="H1203" t="s">
        <v>4422</v>
      </c>
      <c r="I1203" t="s">
        <v>73</v>
      </c>
      <c r="L1203" t="s">
        <v>692</v>
      </c>
      <c r="Q1203" t="s">
        <v>75</v>
      </c>
    </row>
    <row r="1204" spans="1:17" hidden="1" x14ac:dyDescent="0.25">
      <c r="A1204" t="s">
        <v>33</v>
      </c>
      <c r="B1204" t="s">
        <v>4423</v>
      </c>
      <c r="C1204" t="s">
        <v>29</v>
      </c>
      <c r="D1204" t="s">
        <v>4423</v>
      </c>
      <c r="E1204" t="s">
        <v>424</v>
      </c>
      <c r="F1204" t="s">
        <v>4424</v>
      </c>
      <c r="G1204" t="s">
        <v>24</v>
      </c>
      <c r="H1204" t="s">
        <v>4425</v>
      </c>
      <c r="I1204" t="s">
        <v>73</v>
      </c>
      <c r="L1204" t="s">
        <v>3808</v>
      </c>
      <c r="Q1204" t="s">
        <v>75</v>
      </c>
    </row>
    <row r="1205" spans="1:17" hidden="1" x14ac:dyDescent="0.25">
      <c r="A1205" t="s">
        <v>33</v>
      </c>
      <c r="B1205" t="s">
        <v>4426</v>
      </c>
      <c r="C1205" t="s">
        <v>29</v>
      </c>
      <c r="D1205" t="s">
        <v>4426</v>
      </c>
      <c r="E1205" t="s">
        <v>4427</v>
      </c>
      <c r="F1205" t="s">
        <v>4428</v>
      </c>
      <c r="G1205" t="s">
        <v>24</v>
      </c>
      <c r="H1205" t="s">
        <v>4429</v>
      </c>
      <c r="L1205" t="s">
        <v>3808</v>
      </c>
    </row>
    <row r="1206" spans="1:17" x14ac:dyDescent="0.25">
      <c r="A1206" t="s">
        <v>33</v>
      </c>
      <c r="B1206" t="s">
        <v>4430</v>
      </c>
      <c r="C1206" t="s">
        <v>29</v>
      </c>
      <c r="D1206" t="s">
        <v>4430</v>
      </c>
      <c r="E1206" t="s">
        <v>126</v>
      </c>
      <c r="F1206" t="s">
        <v>4431</v>
      </c>
      <c r="G1206" t="s">
        <v>24</v>
      </c>
      <c r="H1206" t="s">
        <v>4432</v>
      </c>
      <c r="I1206" t="s">
        <v>3362</v>
      </c>
      <c r="L1206" t="s">
        <v>3808</v>
      </c>
      <c r="Q1206" t="s">
        <v>3363</v>
      </c>
    </row>
    <row r="1207" spans="1:17" hidden="1" x14ac:dyDescent="0.25">
      <c r="A1207" t="s">
        <v>33</v>
      </c>
      <c r="B1207" t="s">
        <v>4433</v>
      </c>
      <c r="C1207" t="s">
        <v>21</v>
      </c>
      <c r="D1207" t="s">
        <v>4433</v>
      </c>
      <c r="E1207" t="s">
        <v>394</v>
      </c>
      <c r="F1207" t="s">
        <v>4434</v>
      </c>
      <c r="G1207" t="s">
        <v>24</v>
      </c>
      <c r="H1207" t="s">
        <v>4435</v>
      </c>
      <c r="I1207" t="s">
        <v>46</v>
      </c>
      <c r="L1207" t="s">
        <v>803</v>
      </c>
      <c r="Q1207" t="s">
        <v>48</v>
      </c>
    </row>
    <row r="1208" spans="1:17" hidden="1" x14ac:dyDescent="0.25">
      <c r="A1208" t="s">
        <v>33</v>
      </c>
      <c r="B1208" t="s">
        <v>4436</v>
      </c>
      <c r="C1208" t="s">
        <v>29</v>
      </c>
      <c r="D1208" t="s">
        <v>4437</v>
      </c>
      <c r="E1208" t="s">
        <v>367</v>
      </c>
      <c r="F1208" t="s">
        <v>2107</v>
      </c>
      <c r="G1208" t="s">
        <v>24</v>
      </c>
      <c r="H1208" t="s">
        <v>4438</v>
      </c>
      <c r="I1208" t="s">
        <v>73</v>
      </c>
      <c r="L1208" t="s">
        <v>4159</v>
      </c>
      <c r="Q1208" t="s">
        <v>75</v>
      </c>
    </row>
    <row r="1209" spans="1:17" hidden="1" x14ac:dyDescent="0.25">
      <c r="A1209" t="s">
        <v>19</v>
      </c>
      <c r="B1209" t="s">
        <v>4439</v>
      </c>
      <c r="C1209" t="s">
        <v>4256</v>
      </c>
      <c r="D1209" t="s">
        <v>4439</v>
      </c>
      <c r="E1209" t="s">
        <v>761</v>
      </c>
      <c r="F1209" t="s">
        <v>4440</v>
      </c>
      <c r="G1209" t="s">
        <v>4085</v>
      </c>
      <c r="H1209" t="s">
        <v>4441</v>
      </c>
      <c r="I1209" t="s">
        <v>73</v>
      </c>
      <c r="L1209" t="s">
        <v>4442</v>
      </c>
      <c r="Q1209" t="s">
        <v>75</v>
      </c>
    </row>
    <row r="1210" spans="1:17" hidden="1" x14ac:dyDescent="0.25">
      <c r="A1210" t="s">
        <v>19</v>
      </c>
      <c r="B1210" t="s">
        <v>4443</v>
      </c>
      <c r="C1210" t="s">
        <v>4256</v>
      </c>
      <c r="D1210" t="s">
        <v>4443</v>
      </c>
      <c r="E1210" t="s">
        <v>4444</v>
      </c>
      <c r="F1210" t="s">
        <v>4445</v>
      </c>
      <c r="G1210" t="s">
        <v>4085</v>
      </c>
      <c r="H1210" t="s">
        <v>4446</v>
      </c>
      <c r="I1210" t="s">
        <v>73</v>
      </c>
      <c r="L1210" t="s">
        <v>4442</v>
      </c>
      <c r="Q1210" t="s">
        <v>75</v>
      </c>
    </row>
    <row r="1211" spans="1:17" hidden="1" x14ac:dyDescent="0.25">
      <c r="A1211" t="s">
        <v>33</v>
      </c>
      <c r="B1211" t="s">
        <v>4447</v>
      </c>
      <c r="C1211" t="s">
        <v>21</v>
      </c>
      <c r="D1211" t="s">
        <v>4447</v>
      </c>
      <c r="E1211" t="s">
        <v>302</v>
      </c>
      <c r="F1211" t="s">
        <v>4448</v>
      </c>
      <c r="G1211" t="s">
        <v>24</v>
      </c>
      <c r="H1211" t="s">
        <v>4449</v>
      </c>
      <c r="L1211" t="s">
        <v>224</v>
      </c>
    </row>
    <row r="1212" spans="1:17" hidden="1" x14ac:dyDescent="0.25">
      <c r="A1212" t="s">
        <v>33</v>
      </c>
      <c r="B1212" t="s">
        <v>4450</v>
      </c>
      <c r="C1212" t="s">
        <v>21</v>
      </c>
      <c r="D1212" t="s">
        <v>4450</v>
      </c>
      <c r="E1212" t="s">
        <v>1149</v>
      </c>
      <c r="F1212" t="s">
        <v>4451</v>
      </c>
      <c r="G1212" t="s">
        <v>24</v>
      </c>
      <c r="H1212" t="s">
        <v>4452</v>
      </c>
    </row>
    <row r="1213" spans="1:17" hidden="1" x14ac:dyDescent="0.25">
      <c r="A1213" t="s">
        <v>33</v>
      </c>
      <c r="B1213" t="s">
        <v>4453</v>
      </c>
      <c r="C1213" t="s">
        <v>21</v>
      </c>
      <c r="D1213" t="s">
        <v>4453</v>
      </c>
      <c r="E1213" t="s">
        <v>4454</v>
      </c>
      <c r="F1213" t="s">
        <v>295</v>
      </c>
      <c r="G1213" t="s">
        <v>24</v>
      </c>
      <c r="H1213" t="s">
        <v>4455</v>
      </c>
      <c r="L1213" t="s">
        <v>2975</v>
      </c>
    </row>
    <row r="1214" spans="1:17" hidden="1" x14ac:dyDescent="0.25">
      <c r="A1214" t="s">
        <v>33</v>
      </c>
      <c r="B1214" t="s">
        <v>4456</v>
      </c>
      <c r="C1214" t="s">
        <v>21</v>
      </c>
      <c r="D1214" t="s">
        <v>4456</v>
      </c>
      <c r="E1214" t="s">
        <v>4457</v>
      </c>
      <c r="F1214" t="s">
        <v>4458</v>
      </c>
      <c r="G1214" t="s">
        <v>24</v>
      </c>
      <c r="H1214" s="1" t="s">
        <v>4459</v>
      </c>
      <c r="I1214" t="s">
        <v>73</v>
      </c>
      <c r="L1214" t="s">
        <v>38</v>
      </c>
      <c r="Q1214" t="s">
        <v>75</v>
      </c>
    </row>
    <row r="1215" spans="1:17" hidden="1" x14ac:dyDescent="0.25">
      <c r="A1215" t="s">
        <v>33</v>
      </c>
      <c r="B1215" t="s">
        <v>4460</v>
      </c>
      <c r="C1215" t="s">
        <v>29</v>
      </c>
      <c r="D1215" t="s">
        <v>4460</v>
      </c>
      <c r="E1215" t="s">
        <v>1813</v>
      </c>
      <c r="F1215" t="s">
        <v>4461</v>
      </c>
      <c r="G1215" t="s">
        <v>24</v>
      </c>
      <c r="H1215" t="s">
        <v>4462</v>
      </c>
      <c r="I1215" t="s">
        <v>46</v>
      </c>
      <c r="L1215" t="s">
        <v>246</v>
      </c>
      <c r="Q1215" t="s">
        <v>48</v>
      </c>
    </row>
    <row r="1216" spans="1:17" hidden="1" x14ac:dyDescent="0.25">
      <c r="A1216" t="s">
        <v>33</v>
      </c>
      <c r="B1216" t="s">
        <v>4463</v>
      </c>
      <c r="C1216" t="s">
        <v>29</v>
      </c>
      <c r="D1216" t="s">
        <v>4463</v>
      </c>
      <c r="E1216" t="s">
        <v>367</v>
      </c>
      <c r="F1216" t="s">
        <v>4464</v>
      </c>
      <c r="G1216" t="s">
        <v>24</v>
      </c>
      <c r="H1216" t="s">
        <v>4465</v>
      </c>
      <c r="I1216" t="s">
        <v>46</v>
      </c>
      <c r="L1216" t="s">
        <v>246</v>
      </c>
      <c r="Q1216" t="s">
        <v>48</v>
      </c>
    </row>
    <row r="1217" spans="1:17" hidden="1" x14ac:dyDescent="0.25">
      <c r="A1217" t="s">
        <v>33</v>
      </c>
      <c r="B1217" t="s">
        <v>4466</v>
      </c>
      <c r="C1217" t="s">
        <v>21</v>
      </c>
      <c r="D1217" t="s">
        <v>4466</v>
      </c>
      <c r="E1217" t="s">
        <v>3283</v>
      </c>
      <c r="F1217" t="s">
        <v>4467</v>
      </c>
      <c r="G1217" t="s">
        <v>24</v>
      </c>
      <c r="H1217" t="s">
        <v>4468</v>
      </c>
      <c r="I1217" t="s">
        <v>46</v>
      </c>
      <c r="L1217" t="s">
        <v>53</v>
      </c>
      <c r="Q1217" t="s">
        <v>48</v>
      </c>
    </row>
    <row r="1218" spans="1:17" hidden="1" x14ac:dyDescent="0.25">
      <c r="A1218" t="s">
        <v>33</v>
      </c>
      <c r="B1218" t="s">
        <v>4469</v>
      </c>
      <c r="C1218" t="s">
        <v>21</v>
      </c>
      <c r="D1218" t="s">
        <v>4469</v>
      </c>
      <c r="E1218" t="s">
        <v>610</v>
      </c>
      <c r="F1218" t="s">
        <v>3528</v>
      </c>
      <c r="G1218" t="s">
        <v>24</v>
      </c>
      <c r="H1218" t="s">
        <v>4470</v>
      </c>
      <c r="I1218" t="s">
        <v>46</v>
      </c>
      <c r="L1218" t="s">
        <v>38</v>
      </c>
      <c r="Q1218" t="s">
        <v>48</v>
      </c>
    </row>
    <row r="1219" spans="1:17" hidden="1" x14ac:dyDescent="0.25">
      <c r="A1219" t="s">
        <v>33</v>
      </c>
      <c r="B1219" t="s">
        <v>4471</v>
      </c>
      <c r="C1219" t="s">
        <v>21</v>
      </c>
      <c r="D1219" t="s">
        <v>4471</v>
      </c>
      <c r="E1219" t="s">
        <v>1424</v>
      </c>
      <c r="F1219" t="s">
        <v>295</v>
      </c>
      <c r="G1219" t="s">
        <v>24</v>
      </c>
      <c r="H1219" t="s">
        <v>4472</v>
      </c>
      <c r="L1219" t="s">
        <v>2975</v>
      </c>
    </row>
    <row r="1220" spans="1:17" hidden="1" x14ac:dyDescent="0.25">
      <c r="A1220" t="s">
        <v>33</v>
      </c>
      <c r="B1220" t="s">
        <v>4473</v>
      </c>
      <c r="C1220" t="s">
        <v>21</v>
      </c>
      <c r="D1220" t="s">
        <v>4473</v>
      </c>
      <c r="E1220" t="s">
        <v>140</v>
      </c>
      <c r="F1220" t="s">
        <v>1709</v>
      </c>
      <c r="G1220" t="s">
        <v>24</v>
      </c>
      <c r="H1220" t="s">
        <v>4474</v>
      </c>
    </row>
    <row r="1221" spans="1:17" hidden="1" x14ac:dyDescent="0.25">
      <c r="A1221" t="s">
        <v>33</v>
      </c>
      <c r="B1221" t="s">
        <v>4475</v>
      </c>
      <c r="C1221" t="s">
        <v>21</v>
      </c>
      <c r="D1221" t="s">
        <v>4475</v>
      </c>
      <c r="E1221" t="s">
        <v>974</v>
      </c>
      <c r="F1221" t="s">
        <v>4476</v>
      </c>
      <c r="G1221" t="s">
        <v>24</v>
      </c>
      <c r="H1221" t="s">
        <v>4477</v>
      </c>
      <c r="I1221" t="s">
        <v>73</v>
      </c>
      <c r="L1221" t="s">
        <v>819</v>
      </c>
      <c r="Q1221" t="s">
        <v>75</v>
      </c>
    </row>
    <row r="1222" spans="1:17" hidden="1" x14ac:dyDescent="0.25">
      <c r="A1222" t="s">
        <v>33</v>
      </c>
      <c r="B1222" t="s">
        <v>4478</v>
      </c>
      <c r="C1222" t="s">
        <v>21</v>
      </c>
      <c r="D1222" t="s">
        <v>4478</v>
      </c>
      <c r="E1222" t="s">
        <v>2910</v>
      </c>
      <c r="F1222" t="s">
        <v>4479</v>
      </c>
      <c r="G1222" t="s">
        <v>24</v>
      </c>
      <c r="H1222" t="s">
        <v>4480</v>
      </c>
      <c r="I1222" t="s">
        <v>46</v>
      </c>
      <c r="L1222" t="s">
        <v>2975</v>
      </c>
      <c r="Q1222" t="s">
        <v>48</v>
      </c>
    </row>
    <row r="1223" spans="1:17" hidden="1" x14ac:dyDescent="0.25">
      <c r="A1223" t="s">
        <v>33</v>
      </c>
      <c r="B1223" t="s">
        <v>4481</v>
      </c>
      <c r="C1223" t="s">
        <v>21</v>
      </c>
      <c r="D1223" t="s">
        <v>4481</v>
      </c>
      <c r="E1223" t="s">
        <v>4482</v>
      </c>
      <c r="F1223" t="s">
        <v>4483</v>
      </c>
      <c r="G1223" t="s">
        <v>24</v>
      </c>
      <c r="H1223" t="s">
        <v>4484</v>
      </c>
      <c r="L1223" t="s">
        <v>309</v>
      </c>
    </row>
    <row r="1224" spans="1:17" hidden="1" x14ac:dyDescent="0.25">
      <c r="A1224" t="s">
        <v>33</v>
      </c>
      <c r="B1224" t="s">
        <v>4485</v>
      </c>
      <c r="C1224" t="s">
        <v>29</v>
      </c>
      <c r="D1224" t="s">
        <v>4485</v>
      </c>
      <c r="E1224" t="s">
        <v>894</v>
      </c>
      <c r="F1224" t="s">
        <v>1975</v>
      </c>
      <c r="G1224" t="s">
        <v>24</v>
      </c>
      <c r="H1224" t="s">
        <v>4486</v>
      </c>
      <c r="I1224" t="s">
        <v>73</v>
      </c>
      <c r="Q1224" t="s">
        <v>75</v>
      </c>
    </row>
    <row r="1225" spans="1:17" hidden="1" x14ac:dyDescent="0.25">
      <c r="A1225" t="s">
        <v>33</v>
      </c>
      <c r="B1225" t="s">
        <v>4487</v>
      </c>
      <c r="C1225" t="s">
        <v>29</v>
      </c>
      <c r="D1225" t="s">
        <v>4487</v>
      </c>
      <c r="E1225" t="s">
        <v>342</v>
      </c>
      <c r="F1225" t="s">
        <v>4488</v>
      </c>
      <c r="G1225" t="s">
        <v>24</v>
      </c>
      <c r="H1225" t="s">
        <v>4489</v>
      </c>
      <c r="I1225" t="s">
        <v>73</v>
      </c>
      <c r="Q1225" t="s">
        <v>75</v>
      </c>
    </row>
    <row r="1226" spans="1:17" hidden="1" x14ac:dyDescent="0.25">
      <c r="A1226" t="s">
        <v>33</v>
      </c>
      <c r="B1226" t="s">
        <v>4490</v>
      </c>
      <c r="C1226" t="s">
        <v>21</v>
      </c>
      <c r="D1226" t="s">
        <v>4490</v>
      </c>
      <c r="E1226" t="s">
        <v>1738</v>
      </c>
      <c r="F1226" t="s">
        <v>4491</v>
      </c>
      <c r="G1226" t="s">
        <v>24</v>
      </c>
      <c r="H1226" t="s">
        <v>4492</v>
      </c>
      <c r="I1226" t="s">
        <v>46</v>
      </c>
      <c r="L1226" t="s">
        <v>803</v>
      </c>
      <c r="Q1226" t="s">
        <v>48</v>
      </c>
    </row>
    <row r="1227" spans="1:17" hidden="1" x14ac:dyDescent="0.25">
      <c r="A1227" t="s">
        <v>33</v>
      </c>
      <c r="B1227" t="s">
        <v>4493</v>
      </c>
      <c r="C1227" t="s">
        <v>21</v>
      </c>
      <c r="D1227" t="s">
        <v>4494</v>
      </c>
      <c r="E1227" t="s">
        <v>131</v>
      </c>
      <c r="F1227" t="s">
        <v>4495</v>
      </c>
      <c r="G1227" t="s">
        <v>24</v>
      </c>
      <c r="H1227" t="s">
        <v>4496</v>
      </c>
      <c r="L1227" t="s">
        <v>349</v>
      </c>
    </row>
    <row r="1228" spans="1:17" hidden="1" x14ac:dyDescent="0.25">
      <c r="A1228" t="s">
        <v>33</v>
      </c>
      <c r="B1228" t="s">
        <v>4497</v>
      </c>
      <c r="C1228" t="s">
        <v>21</v>
      </c>
      <c r="D1228" t="s">
        <v>4497</v>
      </c>
      <c r="E1228" t="s">
        <v>540</v>
      </c>
      <c r="F1228" t="s">
        <v>168</v>
      </c>
      <c r="G1228" t="s">
        <v>24</v>
      </c>
      <c r="H1228" t="s">
        <v>4498</v>
      </c>
      <c r="I1228" t="s">
        <v>73</v>
      </c>
      <c r="L1228" t="s">
        <v>74</v>
      </c>
      <c r="Q1228" t="s">
        <v>75</v>
      </c>
    </row>
    <row r="1229" spans="1:17" hidden="1" x14ac:dyDescent="0.25">
      <c r="A1229" t="s">
        <v>33</v>
      </c>
      <c r="B1229" t="s">
        <v>4499</v>
      </c>
      <c r="C1229" t="s">
        <v>21</v>
      </c>
      <c r="D1229" t="s">
        <v>4499</v>
      </c>
      <c r="E1229" t="s">
        <v>3422</v>
      </c>
      <c r="F1229" t="s">
        <v>3153</v>
      </c>
      <c r="G1229" t="s">
        <v>24</v>
      </c>
      <c r="H1229" t="s">
        <v>4500</v>
      </c>
      <c r="L1229" t="s">
        <v>74</v>
      </c>
    </row>
    <row r="1230" spans="1:17" hidden="1" x14ac:dyDescent="0.25">
      <c r="A1230" t="s">
        <v>33</v>
      </c>
      <c r="B1230" t="s">
        <v>4501</v>
      </c>
      <c r="C1230" t="s">
        <v>21</v>
      </c>
      <c r="D1230" t="s">
        <v>4501</v>
      </c>
      <c r="E1230" t="s">
        <v>4502</v>
      </c>
      <c r="F1230" t="s">
        <v>4503</v>
      </c>
      <c r="G1230" t="s">
        <v>24</v>
      </c>
      <c r="H1230" t="s">
        <v>4504</v>
      </c>
      <c r="I1230" t="s">
        <v>73</v>
      </c>
      <c r="L1230" t="s">
        <v>4302</v>
      </c>
      <c r="Q1230" t="s">
        <v>75</v>
      </c>
    </row>
    <row r="1231" spans="1:17" hidden="1" x14ac:dyDescent="0.25">
      <c r="A1231" t="s">
        <v>33</v>
      </c>
      <c r="B1231" t="s">
        <v>4505</v>
      </c>
      <c r="C1231" t="s">
        <v>21</v>
      </c>
      <c r="D1231" t="s">
        <v>4505</v>
      </c>
      <c r="E1231" t="s">
        <v>275</v>
      </c>
      <c r="F1231" t="s">
        <v>4506</v>
      </c>
      <c r="G1231" t="s">
        <v>24</v>
      </c>
      <c r="H1231" t="s">
        <v>4507</v>
      </c>
      <c r="I1231" t="s">
        <v>46</v>
      </c>
      <c r="L1231" t="s">
        <v>1042</v>
      </c>
      <c r="Q1231" t="s">
        <v>48</v>
      </c>
    </row>
    <row r="1232" spans="1:17" hidden="1" x14ac:dyDescent="0.25">
      <c r="A1232" t="s">
        <v>33</v>
      </c>
      <c r="B1232" t="s">
        <v>4508</v>
      </c>
      <c r="C1232" t="s">
        <v>21</v>
      </c>
      <c r="D1232" t="s">
        <v>4508</v>
      </c>
      <c r="E1232" t="s">
        <v>894</v>
      </c>
      <c r="F1232" t="s">
        <v>895</v>
      </c>
      <c r="G1232" t="s">
        <v>24</v>
      </c>
      <c r="H1232" t="s">
        <v>4509</v>
      </c>
    </row>
    <row r="1233" spans="1:17" hidden="1" x14ac:dyDescent="0.25">
      <c r="A1233" t="s">
        <v>33</v>
      </c>
      <c r="B1233" t="s">
        <v>4510</v>
      </c>
      <c r="C1233" t="s">
        <v>21</v>
      </c>
      <c r="D1233" t="s">
        <v>4510</v>
      </c>
      <c r="E1233" t="s">
        <v>598</v>
      </c>
      <c r="F1233" t="s">
        <v>4511</v>
      </c>
      <c r="G1233" t="s">
        <v>24</v>
      </c>
      <c r="H1233" t="s">
        <v>4512</v>
      </c>
      <c r="L1233" t="s">
        <v>2975</v>
      </c>
    </row>
    <row r="1234" spans="1:17" hidden="1" x14ac:dyDescent="0.25">
      <c r="A1234" t="s">
        <v>33</v>
      </c>
      <c r="B1234" t="s">
        <v>4513</v>
      </c>
      <c r="C1234" t="s">
        <v>21</v>
      </c>
      <c r="D1234" t="s">
        <v>4513</v>
      </c>
      <c r="E1234" t="s">
        <v>126</v>
      </c>
      <c r="F1234" t="s">
        <v>4514</v>
      </c>
      <c r="G1234" t="s">
        <v>24</v>
      </c>
      <c r="H1234" t="s">
        <v>4515</v>
      </c>
      <c r="I1234" t="s">
        <v>46</v>
      </c>
      <c r="L1234" t="s">
        <v>4516</v>
      </c>
      <c r="Q1234" t="s">
        <v>48</v>
      </c>
    </row>
    <row r="1235" spans="1:17" hidden="1" x14ac:dyDescent="0.25">
      <c r="A1235" t="s">
        <v>33</v>
      </c>
      <c r="B1235" t="s">
        <v>4517</v>
      </c>
      <c r="C1235" t="s">
        <v>21</v>
      </c>
      <c r="D1235" t="s">
        <v>4517</v>
      </c>
      <c r="E1235" t="s">
        <v>3166</v>
      </c>
      <c r="F1235" t="s">
        <v>4518</v>
      </c>
      <c r="G1235" t="s">
        <v>24</v>
      </c>
      <c r="H1235" t="s">
        <v>4519</v>
      </c>
      <c r="I1235" t="s">
        <v>46</v>
      </c>
      <c r="L1235" t="s">
        <v>2975</v>
      </c>
      <c r="Q1235" t="s">
        <v>48</v>
      </c>
    </row>
    <row r="1236" spans="1:17" hidden="1" x14ac:dyDescent="0.25">
      <c r="A1236" t="s">
        <v>33</v>
      </c>
      <c r="B1236" t="s">
        <v>4520</v>
      </c>
      <c r="C1236" t="s">
        <v>21</v>
      </c>
      <c r="D1236" t="s">
        <v>4520</v>
      </c>
      <c r="E1236" t="s">
        <v>3166</v>
      </c>
      <c r="F1236" t="s">
        <v>4521</v>
      </c>
      <c r="G1236" t="s">
        <v>24</v>
      </c>
      <c r="H1236" t="s">
        <v>4522</v>
      </c>
      <c r="I1236" t="s">
        <v>46</v>
      </c>
      <c r="L1236" t="s">
        <v>2975</v>
      </c>
      <c r="Q1236" t="s">
        <v>48</v>
      </c>
    </row>
    <row r="1237" spans="1:17" hidden="1" x14ac:dyDescent="0.25">
      <c r="A1237" t="s">
        <v>33</v>
      </c>
      <c r="B1237" t="s">
        <v>4523</v>
      </c>
      <c r="C1237" t="s">
        <v>21</v>
      </c>
      <c r="D1237" t="s">
        <v>4523</v>
      </c>
      <c r="E1237" t="s">
        <v>449</v>
      </c>
      <c r="F1237" t="s">
        <v>4524</v>
      </c>
      <c r="G1237" t="s">
        <v>24</v>
      </c>
      <c r="H1237" t="s">
        <v>4525</v>
      </c>
    </row>
    <row r="1238" spans="1:17" hidden="1" x14ac:dyDescent="0.25">
      <c r="A1238" t="s">
        <v>33</v>
      </c>
      <c r="B1238" t="s">
        <v>4526</v>
      </c>
      <c r="C1238" t="s">
        <v>29</v>
      </c>
      <c r="D1238" t="s">
        <v>4526</v>
      </c>
      <c r="E1238" t="s">
        <v>4527</v>
      </c>
      <c r="F1238" t="s">
        <v>4528</v>
      </c>
      <c r="G1238" t="s">
        <v>24</v>
      </c>
      <c r="H1238" t="s">
        <v>4529</v>
      </c>
    </row>
    <row r="1239" spans="1:17" hidden="1" x14ac:dyDescent="0.25">
      <c r="A1239" t="s">
        <v>33</v>
      </c>
      <c r="B1239" t="s">
        <v>4530</v>
      </c>
      <c r="C1239" t="s">
        <v>21</v>
      </c>
      <c r="D1239" t="s">
        <v>4531</v>
      </c>
      <c r="E1239" t="s">
        <v>3166</v>
      </c>
      <c r="F1239" t="s">
        <v>4532</v>
      </c>
      <c r="G1239" t="s">
        <v>24</v>
      </c>
      <c r="H1239" t="s">
        <v>4533</v>
      </c>
      <c r="I1239" t="s">
        <v>46</v>
      </c>
      <c r="L1239" t="s">
        <v>507</v>
      </c>
      <c r="Q1239" t="s">
        <v>48</v>
      </c>
    </row>
    <row r="1240" spans="1:17" hidden="1" x14ac:dyDescent="0.25">
      <c r="A1240" t="s">
        <v>33</v>
      </c>
      <c r="B1240" t="s">
        <v>4534</v>
      </c>
      <c r="C1240" t="s">
        <v>29</v>
      </c>
      <c r="D1240" t="s">
        <v>4534</v>
      </c>
      <c r="E1240" t="s">
        <v>4535</v>
      </c>
      <c r="F1240" t="s">
        <v>3863</v>
      </c>
      <c r="G1240" t="s">
        <v>24</v>
      </c>
      <c r="H1240" t="s">
        <v>4536</v>
      </c>
    </row>
    <row r="1241" spans="1:17" hidden="1" x14ac:dyDescent="0.25">
      <c r="A1241" t="s">
        <v>33</v>
      </c>
      <c r="B1241" t="s">
        <v>4537</v>
      </c>
      <c r="C1241" t="s">
        <v>21</v>
      </c>
      <c r="D1241" t="s">
        <v>4537</v>
      </c>
      <c r="E1241" t="s">
        <v>1275</v>
      </c>
      <c r="F1241" t="s">
        <v>384</v>
      </c>
      <c r="G1241" t="s">
        <v>24</v>
      </c>
      <c r="H1241" s="1" t="s">
        <v>4538</v>
      </c>
      <c r="I1241" t="s">
        <v>73</v>
      </c>
      <c r="L1241" t="s">
        <v>273</v>
      </c>
      <c r="Q1241" t="s">
        <v>75</v>
      </c>
    </row>
    <row r="1242" spans="1:17" hidden="1" x14ac:dyDescent="0.25">
      <c r="A1242" t="s">
        <v>33</v>
      </c>
      <c r="B1242" t="s">
        <v>4539</v>
      </c>
      <c r="C1242" t="s">
        <v>21</v>
      </c>
      <c r="D1242" t="s">
        <v>4539</v>
      </c>
      <c r="E1242" t="s">
        <v>979</v>
      </c>
      <c r="F1242" t="s">
        <v>4540</v>
      </c>
      <c r="G1242" t="s">
        <v>24</v>
      </c>
      <c r="H1242" t="s">
        <v>4541</v>
      </c>
      <c r="I1242" t="s">
        <v>73</v>
      </c>
      <c r="L1242" t="s">
        <v>273</v>
      </c>
      <c r="Q1242" t="s">
        <v>75</v>
      </c>
    </row>
    <row r="1243" spans="1:17" x14ac:dyDescent="0.25">
      <c r="A1243" t="s">
        <v>33</v>
      </c>
      <c r="B1243" t="s">
        <v>4542</v>
      </c>
      <c r="C1243" t="s">
        <v>21</v>
      </c>
      <c r="D1243" t="s">
        <v>4542</v>
      </c>
      <c r="E1243" t="s">
        <v>4543</v>
      </c>
      <c r="F1243" t="s">
        <v>4544</v>
      </c>
      <c r="G1243" t="s">
        <v>24</v>
      </c>
      <c r="H1243" t="s">
        <v>4545</v>
      </c>
      <c r="I1243" t="s">
        <v>4546</v>
      </c>
      <c r="L1243" t="s">
        <v>4547</v>
      </c>
      <c r="Q1243" t="s">
        <v>4548</v>
      </c>
    </row>
    <row r="1244" spans="1:17" hidden="1" x14ac:dyDescent="0.25">
      <c r="A1244" t="s">
        <v>33</v>
      </c>
      <c r="B1244" t="s">
        <v>4549</v>
      </c>
      <c r="C1244" t="s">
        <v>21</v>
      </c>
      <c r="D1244" t="s">
        <v>4549</v>
      </c>
      <c r="E1244" t="s">
        <v>4550</v>
      </c>
      <c r="F1244" t="s">
        <v>4551</v>
      </c>
      <c r="G1244" t="s">
        <v>24</v>
      </c>
      <c r="H1244" t="s">
        <v>4552</v>
      </c>
    </row>
    <row r="1245" spans="1:17" hidden="1" x14ac:dyDescent="0.25">
      <c r="A1245" t="s">
        <v>33</v>
      </c>
      <c r="B1245" t="s">
        <v>4553</v>
      </c>
      <c r="C1245" t="s">
        <v>21</v>
      </c>
      <c r="D1245" t="s">
        <v>4553</v>
      </c>
      <c r="E1245" t="s">
        <v>3405</v>
      </c>
      <c r="F1245" t="s">
        <v>4554</v>
      </c>
      <c r="G1245" t="s">
        <v>24</v>
      </c>
      <c r="H1245" t="s">
        <v>4555</v>
      </c>
      <c r="I1245" t="s">
        <v>46</v>
      </c>
      <c r="L1245" t="s">
        <v>53</v>
      </c>
      <c r="Q1245" t="s">
        <v>48</v>
      </c>
    </row>
    <row r="1246" spans="1:17" hidden="1" x14ac:dyDescent="0.25">
      <c r="A1246" t="s">
        <v>33</v>
      </c>
      <c r="B1246" t="s">
        <v>4556</v>
      </c>
      <c r="C1246" t="s">
        <v>21</v>
      </c>
      <c r="D1246" t="s">
        <v>4556</v>
      </c>
      <c r="E1246" t="s">
        <v>4557</v>
      </c>
      <c r="F1246" t="s">
        <v>4558</v>
      </c>
      <c r="G1246" t="s">
        <v>24</v>
      </c>
      <c r="H1246" t="s">
        <v>4559</v>
      </c>
      <c r="I1246" t="s">
        <v>73</v>
      </c>
      <c r="L1246" t="s">
        <v>4302</v>
      </c>
      <c r="Q1246" t="s">
        <v>75</v>
      </c>
    </row>
    <row r="1247" spans="1:17" hidden="1" x14ac:dyDescent="0.25">
      <c r="A1247" t="s">
        <v>33</v>
      </c>
      <c r="B1247" t="s">
        <v>4560</v>
      </c>
      <c r="C1247" t="s">
        <v>21</v>
      </c>
      <c r="D1247" t="s">
        <v>4560</v>
      </c>
      <c r="E1247" t="s">
        <v>1557</v>
      </c>
      <c r="F1247" t="s">
        <v>4561</v>
      </c>
      <c r="G1247" t="s">
        <v>24</v>
      </c>
      <c r="H1247" t="s">
        <v>4562</v>
      </c>
      <c r="I1247" t="s">
        <v>73</v>
      </c>
      <c r="L1247" t="s">
        <v>389</v>
      </c>
      <c r="Q1247" t="s">
        <v>75</v>
      </c>
    </row>
    <row r="1248" spans="1:17" hidden="1" x14ac:dyDescent="0.25">
      <c r="A1248" t="s">
        <v>33</v>
      </c>
      <c r="B1248" t="s">
        <v>4563</v>
      </c>
      <c r="C1248" t="s">
        <v>21</v>
      </c>
      <c r="D1248" t="s">
        <v>4563</v>
      </c>
      <c r="E1248" t="s">
        <v>178</v>
      </c>
      <c r="F1248" t="s">
        <v>4564</v>
      </c>
      <c r="G1248" t="s">
        <v>24</v>
      </c>
      <c r="H1248" t="s">
        <v>4565</v>
      </c>
      <c r="I1248" t="s">
        <v>73</v>
      </c>
      <c r="L1248" t="s">
        <v>108</v>
      </c>
      <c r="Q1248" t="s">
        <v>75</v>
      </c>
    </row>
    <row r="1249" spans="1:17" hidden="1" x14ac:dyDescent="0.25">
      <c r="A1249" t="s">
        <v>33</v>
      </c>
      <c r="B1249" t="s">
        <v>4566</v>
      </c>
      <c r="C1249" t="s">
        <v>21</v>
      </c>
      <c r="D1249" t="s">
        <v>4566</v>
      </c>
      <c r="E1249" t="s">
        <v>4567</v>
      </c>
      <c r="F1249" t="s">
        <v>4568</v>
      </c>
      <c r="G1249" t="s">
        <v>24</v>
      </c>
      <c r="H1249" t="s">
        <v>4569</v>
      </c>
      <c r="I1249" t="s">
        <v>73</v>
      </c>
      <c r="L1249" t="s">
        <v>1013</v>
      </c>
      <c r="Q1249" t="s">
        <v>75</v>
      </c>
    </row>
    <row r="1250" spans="1:17" hidden="1" x14ac:dyDescent="0.25">
      <c r="A1250" t="s">
        <v>33</v>
      </c>
      <c r="B1250" t="s">
        <v>4570</v>
      </c>
      <c r="C1250" t="s">
        <v>29</v>
      </c>
      <c r="D1250" t="s">
        <v>4571</v>
      </c>
      <c r="E1250" t="s">
        <v>1766</v>
      </c>
      <c r="F1250" t="s">
        <v>1069</v>
      </c>
      <c r="G1250" t="s">
        <v>24</v>
      </c>
      <c r="H1250" t="s">
        <v>4572</v>
      </c>
      <c r="I1250" t="s">
        <v>46</v>
      </c>
      <c r="L1250" t="s">
        <v>517</v>
      </c>
      <c r="Q1250" t="s">
        <v>48</v>
      </c>
    </row>
    <row r="1251" spans="1:17" hidden="1" x14ac:dyDescent="0.25">
      <c r="A1251" t="s">
        <v>33</v>
      </c>
      <c r="B1251" t="s">
        <v>4573</v>
      </c>
      <c r="C1251" t="s">
        <v>21</v>
      </c>
      <c r="D1251" t="s">
        <v>4573</v>
      </c>
      <c r="E1251" t="s">
        <v>3883</v>
      </c>
      <c r="F1251" t="s">
        <v>4574</v>
      </c>
      <c r="G1251" t="s">
        <v>24</v>
      </c>
      <c r="H1251" t="s">
        <v>4575</v>
      </c>
    </row>
    <row r="1252" spans="1:17" hidden="1" x14ac:dyDescent="0.25">
      <c r="A1252" t="s">
        <v>33</v>
      </c>
      <c r="B1252" t="s">
        <v>4576</v>
      </c>
      <c r="C1252" t="s">
        <v>21</v>
      </c>
      <c r="D1252" t="s">
        <v>4576</v>
      </c>
      <c r="E1252" t="s">
        <v>4577</v>
      </c>
      <c r="F1252" t="s">
        <v>4578</v>
      </c>
      <c r="G1252" t="s">
        <v>24</v>
      </c>
      <c r="H1252" t="s">
        <v>4579</v>
      </c>
    </row>
    <row r="1253" spans="1:17" hidden="1" x14ac:dyDescent="0.25">
      <c r="A1253" t="s">
        <v>33</v>
      </c>
      <c r="B1253" t="s">
        <v>4580</v>
      </c>
      <c r="C1253" t="s">
        <v>21</v>
      </c>
      <c r="D1253" t="s">
        <v>4580</v>
      </c>
      <c r="E1253" t="s">
        <v>363</v>
      </c>
      <c r="F1253" t="s">
        <v>826</v>
      </c>
      <c r="G1253" t="s">
        <v>24</v>
      </c>
      <c r="H1253" t="s">
        <v>4581</v>
      </c>
    </row>
    <row r="1254" spans="1:17" hidden="1" x14ac:dyDescent="0.25">
      <c r="A1254" t="s">
        <v>33</v>
      </c>
      <c r="B1254" t="s">
        <v>4582</v>
      </c>
      <c r="C1254" t="s">
        <v>21</v>
      </c>
      <c r="D1254" t="s">
        <v>4582</v>
      </c>
      <c r="E1254" t="s">
        <v>342</v>
      </c>
      <c r="F1254" t="s">
        <v>4583</v>
      </c>
      <c r="G1254" t="s">
        <v>24</v>
      </c>
      <c r="H1254" t="s">
        <v>4584</v>
      </c>
      <c r="I1254" t="s">
        <v>46</v>
      </c>
      <c r="L1254" t="s">
        <v>4585</v>
      </c>
      <c r="Q1254" t="s">
        <v>48</v>
      </c>
    </row>
    <row r="1255" spans="1:17" hidden="1" x14ac:dyDescent="0.25">
      <c r="A1255" t="s">
        <v>33</v>
      </c>
      <c r="B1255" t="s">
        <v>4586</v>
      </c>
      <c r="C1255" t="s">
        <v>21</v>
      </c>
      <c r="D1255" t="s">
        <v>4587</v>
      </c>
      <c r="E1255" t="s">
        <v>275</v>
      </c>
      <c r="F1255" t="s">
        <v>4588</v>
      </c>
      <c r="G1255" t="s">
        <v>24</v>
      </c>
      <c r="H1255" t="s">
        <v>4589</v>
      </c>
      <c r="I1255" t="s">
        <v>46</v>
      </c>
      <c r="L1255" t="s">
        <v>4585</v>
      </c>
      <c r="Q1255" t="s">
        <v>48</v>
      </c>
    </row>
    <row r="1256" spans="1:17" hidden="1" x14ac:dyDescent="0.25">
      <c r="A1256" t="s">
        <v>33</v>
      </c>
      <c r="B1256" t="s">
        <v>4590</v>
      </c>
      <c r="C1256" t="s">
        <v>21</v>
      </c>
      <c r="D1256" t="s">
        <v>4590</v>
      </c>
      <c r="E1256" t="s">
        <v>3763</v>
      </c>
      <c r="F1256" t="s">
        <v>4591</v>
      </c>
      <c r="G1256" t="s">
        <v>24</v>
      </c>
      <c r="H1256" s="1" t="s">
        <v>4592</v>
      </c>
      <c r="L1256" t="s">
        <v>2975</v>
      </c>
    </row>
    <row r="1257" spans="1:17" hidden="1" x14ac:dyDescent="0.25">
      <c r="A1257" t="s">
        <v>33</v>
      </c>
      <c r="B1257" t="s">
        <v>4593</v>
      </c>
      <c r="C1257" t="s">
        <v>21</v>
      </c>
      <c r="D1257" t="s">
        <v>4593</v>
      </c>
      <c r="E1257" t="s">
        <v>3031</v>
      </c>
      <c r="F1257" t="s">
        <v>4594</v>
      </c>
      <c r="G1257" t="s">
        <v>24</v>
      </c>
      <c r="H1257" t="s">
        <v>4595</v>
      </c>
      <c r="I1257" t="s">
        <v>46</v>
      </c>
      <c r="L1257" t="s">
        <v>2975</v>
      </c>
      <c r="Q1257" t="s">
        <v>48</v>
      </c>
    </row>
    <row r="1258" spans="1:17" hidden="1" x14ac:dyDescent="0.25">
      <c r="A1258" t="s">
        <v>33</v>
      </c>
      <c r="B1258" t="s">
        <v>4596</v>
      </c>
      <c r="C1258" t="s">
        <v>21</v>
      </c>
      <c r="D1258" t="s">
        <v>4596</v>
      </c>
      <c r="E1258" t="s">
        <v>829</v>
      </c>
      <c r="F1258" t="s">
        <v>4597</v>
      </c>
      <c r="G1258" t="s">
        <v>24</v>
      </c>
      <c r="H1258" s="1" t="s">
        <v>4598</v>
      </c>
      <c r="I1258" t="s">
        <v>46</v>
      </c>
      <c r="L1258" t="s">
        <v>2975</v>
      </c>
      <c r="Q1258" t="s">
        <v>48</v>
      </c>
    </row>
    <row r="1259" spans="1:17" hidden="1" x14ac:dyDescent="0.25">
      <c r="A1259" t="s">
        <v>33</v>
      </c>
      <c r="B1259" t="s">
        <v>4599</v>
      </c>
      <c r="C1259" t="s">
        <v>21</v>
      </c>
      <c r="D1259" t="s">
        <v>4599</v>
      </c>
      <c r="E1259" t="s">
        <v>4600</v>
      </c>
      <c r="F1259" t="s">
        <v>4601</v>
      </c>
      <c r="G1259" t="s">
        <v>24</v>
      </c>
      <c r="H1259" t="s">
        <v>4602</v>
      </c>
    </row>
    <row r="1260" spans="1:17" hidden="1" x14ac:dyDescent="0.25">
      <c r="A1260" t="s">
        <v>33</v>
      </c>
      <c r="B1260" t="s">
        <v>4603</v>
      </c>
      <c r="C1260" t="s">
        <v>21</v>
      </c>
      <c r="D1260" t="s">
        <v>4603</v>
      </c>
      <c r="E1260" t="s">
        <v>519</v>
      </c>
      <c r="F1260" t="s">
        <v>1215</v>
      </c>
      <c r="G1260" t="s">
        <v>24</v>
      </c>
      <c r="H1260" t="s">
        <v>4604</v>
      </c>
      <c r="I1260" t="s">
        <v>46</v>
      </c>
      <c r="L1260" t="s">
        <v>74</v>
      </c>
      <c r="Q1260" t="s">
        <v>48</v>
      </c>
    </row>
    <row r="1261" spans="1:17" hidden="1" x14ac:dyDescent="0.25">
      <c r="A1261" t="s">
        <v>33</v>
      </c>
      <c r="B1261" t="s">
        <v>4605</v>
      </c>
      <c r="C1261" t="s">
        <v>21</v>
      </c>
      <c r="D1261" t="s">
        <v>4605</v>
      </c>
      <c r="E1261" t="s">
        <v>70</v>
      </c>
      <c r="F1261" t="s">
        <v>4606</v>
      </c>
      <c r="G1261" t="s">
        <v>24</v>
      </c>
      <c r="H1261" t="s">
        <v>4607</v>
      </c>
    </row>
    <row r="1262" spans="1:17" hidden="1" x14ac:dyDescent="0.25">
      <c r="A1262" t="s">
        <v>33</v>
      </c>
      <c r="B1262" t="s">
        <v>4608</v>
      </c>
      <c r="C1262" t="s">
        <v>21</v>
      </c>
      <c r="D1262" t="s">
        <v>4608</v>
      </c>
      <c r="E1262" t="s">
        <v>4609</v>
      </c>
      <c r="F1262" t="s">
        <v>4610</v>
      </c>
      <c r="G1262" t="s">
        <v>24</v>
      </c>
      <c r="H1262" t="s">
        <v>4611</v>
      </c>
      <c r="I1262" t="s">
        <v>46</v>
      </c>
      <c r="L1262" t="s">
        <v>620</v>
      </c>
      <c r="Q1262" t="s">
        <v>48</v>
      </c>
    </row>
    <row r="1263" spans="1:17" hidden="1" x14ac:dyDescent="0.25">
      <c r="A1263" t="s">
        <v>33</v>
      </c>
      <c r="B1263" t="s">
        <v>4612</v>
      </c>
      <c r="C1263" t="s">
        <v>21</v>
      </c>
      <c r="D1263" t="s">
        <v>4612</v>
      </c>
      <c r="E1263" t="s">
        <v>135</v>
      </c>
      <c r="F1263" t="s">
        <v>4613</v>
      </c>
      <c r="G1263" t="s">
        <v>24</v>
      </c>
      <c r="H1263" t="s">
        <v>4614</v>
      </c>
    </row>
    <row r="1264" spans="1:17" hidden="1" x14ac:dyDescent="0.25">
      <c r="A1264" t="s">
        <v>33</v>
      </c>
      <c r="B1264" t="s">
        <v>4615</v>
      </c>
      <c r="C1264" t="s">
        <v>29</v>
      </c>
      <c r="D1264" t="s">
        <v>4615</v>
      </c>
      <c r="E1264" t="s">
        <v>4616</v>
      </c>
      <c r="F1264" t="s">
        <v>4617</v>
      </c>
      <c r="G1264" t="s">
        <v>24</v>
      </c>
      <c r="H1264" t="s">
        <v>4618</v>
      </c>
      <c r="I1264" t="s">
        <v>73</v>
      </c>
      <c r="L1264" t="s">
        <v>246</v>
      </c>
      <c r="Q1264" t="s">
        <v>75</v>
      </c>
    </row>
    <row r="1265" spans="1:17" hidden="1" x14ac:dyDescent="0.25">
      <c r="A1265" t="s">
        <v>33</v>
      </c>
      <c r="B1265" t="s">
        <v>4619</v>
      </c>
      <c r="C1265" t="s">
        <v>29</v>
      </c>
      <c r="D1265" t="s">
        <v>4619</v>
      </c>
      <c r="E1265" t="s">
        <v>3466</v>
      </c>
      <c r="F1265" t="s">
        <v>2744</v>
      </c>
      <c r="G1265" t="s">
        <v>24</v>
      </c>
      <c r="H1265" t="s">
        <v>4620</v>
      </c>
      <c r="I1265" t="s">
        <v>73</v>
      </c>
      <c r="L1265" t="s">
        <v>246</v>
      </c>
      <c r="Q1265" t="s">
        <v>75</v>
      </c>
    </row>
    <row r="1266" spans="1:17" hidden="1" x14ac:dyDescent="0.25">
      <c r="A1266" t="s">
        <v>33</v>
      </c>
      <c r="B1266" t="s">
        <v>4621</v>
      </c>
      <c r="C1266" t="s">
        <v>21</v>
      </c>
      <c r="D1266" t="s">
        <v>4622</v>
      </c>
      <c r="E1266" t="s">
        <v>4623</v>
      </c>
      <c r="F1266" t="s">
        <v>4624</v>
      </c>
      <c r="G1266" t="s">
        <v>24</v>
      </c>
      <c r="H1266" t="s">
        <v>4625</v>
      </c>
      <c r="I1266" t="s">
        <v>46</v>
      </c>
      <c r="L1266" t="s">
        <v>4585</v>
      </c>
      <c r="Q1266" t="s">
        <v>48</v>
      </c>
    </row>
    <row r="1267" spans="1:17" hidden="1" x14ac:dyDescent="0.25">
      <c r="A1267" t="s">
        <v>33</v>
      </c>
      <c r="B1267" t="s">
        <v>4626</v>
      </c>
      <c r="C1267" t="s">
        <v>21</v>
      </c>
      <c r="D1267" t="s">
        <v>4626</v>
      </c>
      <c r="E1267" t="s">
        <v>4627</v>
      </c>
      <c r="F1267" t="s">
        <v>4628</v>
      </c>
      <c r="G1267" t="s">
        <v>24</v>
      </c>
      <c r="H1267" t="s">
        <v>4629</v>
      </c>
    </row>
    <row r="1268" spans="1:17" hidden="1" x14ac:dyDescent="0.25">
      <c r="A1268" t="s">
        <v>33</v>
      </c>
      <c r="B1268" t="s">
        <v>4630</v>
      </c>
      <c r="C1268" t="s">
        <v>21</v>
      </c>
      <c r="D1268" t="s">
        <v>4630</v>
      </c>
      <c r="E1268" t="s">
        <v>2436</v>
      </c>
      <c r="F1268" t="s">
        <v>4631</v>
      </c>
      <c r="G1268" t="s">
        <v>24</v>
      </c>
      <c r="H1268" t="s">
        <v>4632</v>
      </c>
      <c r="I1268" t="s">
        <v>46</v>
      </c>
      <c r="L1268" t="s">
        <v>2975</v>
      </c>
      <c r="Q1268" t="s">
        <v>48</v>
      </c>
    </row>
    <row r="1269" spans="1:17" hidden="1" x14ac:dyDescent="0.25">
      <c r="A1269" t="s">
        <v>33</v>
      </c>
      <c r="B1269" t="s">
        <v>4633</v>
      </c>
      <c r="C1269" t="s">
        <v>21</v>
      </c>
      <c r="D1269" t="s">
        <v>4633</v>
      </c>
      <c r="E1269" t="s">
        <v>2487</v>
      </c>
      <c r="F1269" t="s">
        <v>4634</v>
      </c>
      <c r="G1269" t="s">
        <v>24</v>
      </c>
      <c r="H1269" t="s">
        <v>4635</v>
      </c>
      <c r="I1269" t="s">
        <v>46</v>
      </c>
      <c r="L1269" t="s">
        <v>185</v>
      </c>
      <c r="Q1269" t="s">
        <v>48</v>
      </c>
    </row>
    <row r="1270" spans="1:17" hidden="1" x14ac:dyDescent="0.25">
      <c r="A1270" t="s">
        <v>33</v>
      </c>
      <c r="B1270" t="s">
        <v>4636</v>
      </c>
      <c r="C1270" t="s">
        <v>21</v>
      </c>
      <c r="D1270" t="s">
        <v>4636</v>
      </c>
      <c r="E1270" t="s">
        <v>3394</v>
      </c>
      <c r="F1270" t="s">
        <v>4637</v>
      </c>
      <c r="G1270" t="s">
        <v>24</v>
      </c>
      <c r="H1270" t="s">
        <v>4638</v>
      </c>
    </row>
    <row r="1271" spans="1:17" hidden="1" x14ac:dyDescent="0.25">
      <c r="A1271" t="s">
        <v>33</v>
      </c>
      <c r="B1271" t="s">
        <v>4639</v>
      </c>
      <c r="C1271" t="s">
        <v>21</v>
      </c>
      <c r="D1271" t="s">
        <v>4640</v>
      </c>
      <c r="E1271" t="s">
        <v>4641</v>
      </c>
      <c r="F1271" t="s">
        <v>4642</v>
      </c>
      <c r="G1271" t="s">
        <v>24</v>
      </c>
      <c r="H1271" t="s">
        <v>4643</v>
      </c>
      <c r="I1271" t="s">
        <v>882</v>
      </c>
      <c r="L1271" t="s">
        <v>4547</v>
      </c>
      <c r="Q1271" t="s">
        <v>884</v>
      </c>
    </row>
    <row r="1272" spans="1:17" hidden="1" x14ac:dyDescent="0.25">
      <c r="A1272" t="s">
        <v>33</v>
      </c>
      <c r="B1272" t="s">
        <v>4644</v>
      </c>
      <c r="C1272" t="s">
        <v>21</v>
      </c>
      <c r="D1272" t="s">
        <v>4644</v>
      </c>
      <c r="E1272" t="s">
        <v>1149</v>
      </c>
      <c r="F1272" t="s">
        <v>4645</v>
      </c>
      <c r="G1272" t="s">
        <v>24</v>
      </c>
      <c r="H1272" t="s">
        <v>4646</v>
      </c>
      <c r="I1272" t="s">
        <v>73</v>
      </c>
      <c r="L1272" t="s">
        <v>3868</v>
      </c>
      <c r="Q1272" t="s">
        <v>75</v>
      </c>
    </row>
    <row r="1273" spans="1:17" hidden="1" x14ac:dyDescent="0.25">
      <c r="A1273" t="s">
        <v>33</v>
      </c>
      <c r="B1273" t="s">
        <v>4647</v>
      </c>
      <c r="C1273" t="s">
        <v>21</v>
      </c>
      <c r="D1273" t="s">
        <v>4647</v>
      </c>
      <c r="E1273" t="s">
        <v>4567</v>
      </c>
      <c r="F1273" t="s">
        <v>4648</v>
      </c>
      <c r="G1273" t="s">
        <v>24</v>
      </c>
      <c r="H1273" t="s">
        <v>4649</v>
      </c>
      <c r="I1273" t="s">
        <v>73</v>
      </c>
      <c r="L1273" t="s">
        <v>1013</v>
      </c>
      <c r="Q1273" t="s">
        <v>75</v>
      </c>
    </row>
    <row r="1274" spans="1:17" hidden="1" x14ac:dyDescent="0.25">
      <c r="A1274" t="s">
        <v>33</v>
      </c>
      <c r="B1274" t="s">
        <v>4650</v>
      </c>
      <c r="C1274" t="s">
        <v>29</v>
      </c>
      <c r="D1274" t="s">
        <v>4651</v>
      </c>
      <c r="E1274" t="s">
        <v>4652</v>
      </c>
      <c r="F1274" t="s">
        <v>4653</v>
      </c>
      <c r="G1274" t="s">
        <v>24</v>
      </c>
      <c r="H1274" t="s">
        <v>4654</v>
      </c>
      <c r="I1274" t="s">
        <v>46</v>
      </c>
      <c r="L1274" t="s">
        <v>511</v>
      </c>
      <c r="Q1274" t="s">
        <v>48</v>
      </c>
    </row>
    <row r="1275" spans="1:17" hidden="1" x14ac:dyDescent="0.25">
      <c r="A1275" t="s">
        <v>33</v>
      </c>
      <c r="B1275" t="s">
        <v>4655</v>
      </c>
      <c r="C1275" t="s">
        <v>21</v>
      </c>
      <c r="D1275" t="s">
        <v>4655</v>
      </c>
      <c r="E1275" t="s">
        <v>2363</v>
      </c>
      <c r="F1275" t="s">
        <v>4656</v>
      </c>
      <c r="G1275" t="s">
        <v>24</v>
      </c>
      <c r="H1275" t="s">
        <v>4657</v>
      </c>
      <c r="I1275" t="s">
        <v>46</v>
      </c>
      <c r="L1275" t="s">
        <v>1131</v>
      </c>
      <c r="Q1275" t="s">
        <v>48</v>
      </c>
    </row>
    <row r="1276" spans="1:17" hidden="1" x14ac:dyDescent="0.25">
      <c r="A1276" t="s">
        <v>33</v>
      </c>
      <c r="B1276" t="s">
        <v>4658</v>
      </c>
      <c r="C1276" t="s">
        <v>21</v>
      </c>
      <c r="D1276" t="s">
        <v>4658</v>
      </c>
      <c r="E1276" t="s">
        <v>4659</v>
      </c>
      <c r="F1276" t="s">
        <v>4544</v>
      </c>
      <c r="G1276" t="s">
        <v>24</v>
      </c>
      <c r="H1276" t="s">
        <v>4660</v>
      </c>
      <c r="I1276" t="s">
        <v>46</v>
      </c>
      <c r="L1276" t="s">
        <v>3868</v>
      </c>
      <c r="Q1276" t="s">
        <v>48</v>
      </c>
    </row>
    <row r="1277" spans="1:17" hidden="1" x14ac:dyDescent="0.25">
      <c r="A1277" t="s">
        <v>33</v>
      </c>
      <c r="B1277" t="s">
        <v>4661</v>
      </c>
      <c r="C1277" t="s">
        <v>21</v>
      </c>
      <c r="D1277" t="s">
        <v>4661</v>
      </c>
      <c r="E1277" t="s">
        <v>4662</v>
      </c>
      <c r="F1277" t="s">
        <v>4663</v>
      </c>
      <c r="G1277" t="s">
        <v>24</v>
      </c>
      <c r="H1277" t="s">
        <v>4664</v>
      </c>
      <c r="L1277" t="s">
        <v>246</v>
      </c>
    </row>
    <row r="1278" spans="1:17" hidden="1" x14ac:dyDescent="0.25">
      <c r="A1278" t="s">
        <v>33</v>
      </c>
      <c r="B1278" t="s">
        <v>4665</v>
      </c>
      <c r="C1278" t="s">
        <v>21</v>
      </c>
      <c r="D1278" t="s">
        <v>4665</v>
      </c>
      <c r="E1278" t="s">
        <v>1738</v>
      </c>
      <c r="F1278" t="s">
        <v>4666</v>
      </c>
      <c r="G1278" t="s">
        <v>24</v>
      </c>
      <c r="H1278" t="s">
        <v>4667</v>
      </c>
      <c r="I1278" t="s">
        <v>46</v>
      </c>
      <c r="L1278" t="s">
        <v>273</v>
      </c>
      <c r="Q1278" t="s">
        <v>48</v>
      </c>
    </row>
    <row r="1279" spans="1:17" hidden="1" x14ac:dyDescent="0.25">
      <c r="A1279" t="s">
        <v>33</v>
      </c>
      <c r="B1279" t="s">
        <v>4668</v>
      </c>
      <c r="C1279" t="s">
        <v>21</v>
      </c>
      <c r="D1279" t="s">
        <v>4668</v>
      </c>
      <c r="E1279" t="s">
        <v>4669</v>
      </c>
      <c r="F1279" t="s">
        <v>4670</v>
      </c>
      <c r="G1279" t="s">
        <v>24</v>
      </c>
      <c r="H1279" t="s">
        <v>4671</v>
      </c>
      <c r="I1279" t="s">
        <v>46</v>
      </c>
      <c r="L1279" t="s">
        <v>2329</v>
      </c>
      <c r="Q1279" t="s">
        <v>48</v>
      </c>
    </row>
    <row r="1280" spans="1:17" hidden="1" x14ac:dyDescent="0.25">
      <c r="A1280" t="s">
        <v>33</v>
      </c>
      <c r="B1280" t="s">
        <v>4672</v>
      </c>
      <c r="C1280" t="s">
        <v>21</v>
      </c>
      <c r="D1280" t="s">
        <v>4672</v>
      </c>
      <c r="E1280" t="s">
        <v>275</v>
      </c>
      <c r="F1280" t="s">
        <v>3196</v>
      </c>
      <c r="G1280" t="s">
        <v>24</v>
      </c>
      <c r="H1280" t="s">
        <v>4673</v>
      </c>
      <c r="I1280" t="s">
        <v>73</v>
      </c>
      <c r="L1280" t="s">
        <v>224</v>
      </c>
      <c r="Q1280" t="s">
        <v>75</v>
      </c>
    </row>
    <row r="1281" spans="1:17" hidden="1" x14ac:dyDescent="0.25">
      <c r="A1281" t="s">
        <v>33</v>
      </c>
      <c r="B1281" t="s">
        <v>4674</v>
      </c>
      <c r="C1281" t="s">
        <v>21</v>
      </c>
      <c r="D1281" t="s">
        <v>4674</v>
      </c>
      <c r="E1281" t="s">
        <v>65</v>
      </c>
      <c r="F1281" t="s">
        <v>4675</v>
      </c>
      <c r="G1281" t="s">
        <v>24</v>
      </c>
      <c r="H1281" t="s">
        <v>4676</v>
      </c>
      <c r="I1281" t="s">
        <v>46</v>
      </c>
      <c r="L1281" t="s">
        <v>535</v>
      </c>
      <c r="Q1281" t="s">
        <v>48</v>
      </c>
    </row>
    <row r="1282" spans="1:17" hidden="1" x14ac:dyDescent="0.25">
      <c r="A1282" t="s">
        <v>33</v>
      </c>
      <c r="B1282" t="s">
        <v>4677</v>
      </c>
      <c r="C1282" t="s">
        <v>21</v>
      </c>
      <c r="D1282" t="s">
        <v>4677</v>
      </c>
      <c r="E1282" t="s">
        <v>796</v>
      </c>
      <c r="F1282" t="s">
        <v>4678</v>
      </c>
      <c r="G1282" t="s">
        <v>24</v>
      </c>
      <c r="H1282" t="s">
        <v>4679</v>
      </c>
    </row>
    <row r="1283" spans="1:17" hidden="1" x14ac:dyDescent="0.25">
      <c r="A1283" t="s">
        <v>33</v>
      </c>
      <c r="B1283" t="s">
        <v>4680</v>
      </c>
      <c r="C1283" t="s">
        <v>21</v>
      </c>
      <c r="D1283" t="s">
        <v>4681</v>
      </c>
      <c r="E1283" t="s">
        <v>4682</v>
      </c>
      <c r="F1283" t="s">
        <v>4683</v>
      </c>
      <c r="G1283" t="s">
        <v>24</v>
      </c>
      <c r="H1283" t="s">
        <v>4684</v>
      </c>
      <c r="I1283" t="s">
        <v>46</v>
      </c>
      <c r="Q1283" t="s">
        <v>48</v>
      </c>
    </row>
    <row r="1284" spans="1:17" hidden="1" x14ac:dyDescent="0.25">
      <c r="A1284" t="s">
        <v>33</v>
      </c>
      <c r="B1284" t="s">
        <v>4685</v>
      </c>
      <c r="C1284" t="s">
        <v>21</v>
      </c>
      <c r="D1284" t="s">
        <v>4685</v>
      </c>
      <c r="E1284" t="s">
        <v>4686</v>
      </c>
      <c r="F1284" t="s">
        <v>4687</v>
      </c>
      <c r="G1284" t="s">
        <v>24</v>
      </c>
      <c r="H1284" t="s">
        <v>4688</v>
      </c>
    </row>
    <row r="1285" spans="1:17" hidden="1" x14ac:dyDescent="0.25">
      <c r="A1285" t="s">
        <v>33</v>
      </c>
      <c r="B1285" t="s">
        <v>4689</v>
      </c>
      <c r="C1285" t="s">
        <v>21</v>
      </c>
      <c r="D1285" t="s">
        <v>4689</v>
      </c>
      <c r="E1285" t="s">
        <v>275</v>
      </c>
      <c r="F1285" t="s">
        <v>4690</v>
      </c>
      <c r="G1285" t="s">
        <v>24</v>
      </c>
      <c r="H1285" t="s">
        <v>4691</v>
      </c>
    </row>
    <row r="1286" spans="1:17" hidden="1" x14ac:dyDescent="0.25">
      <c r="A1286" t="s">
        <v>33</v>
      </c>
      <c r="B1286" t="s">
        <v>4692</v>
      </c>
      <c r="C1286" t="s">
        <v>21</v>
      </c>
      <c r="D1286" t="s">
        <v>4692</v>
      </c>
      <c r="E1286" t="s">
        <v>342</v>
      </c>
      <c r="F1286" t="s">
        <v>926</v>
      </c>
      <c r="G1286" t="s">
        <v>24</v>
      </c>
      <c r="H1286" t="s">
        <v>4693</v>
      </c>
    </row>
    <row r="1287" spans="1:17" hidden="1" x14ac:dyDescent="0.25">
      <c r="A1287" t="s">
        <v>33</v>
      </c>
      <c r="B1287" t="s">
        <v>4694</v>
      </c>
      <c r="C1287" t="s">
        <v>21</v>
      </c>
      <c r="D1287" t="s">
        <v>4695</v>
      </c>
      <c r="E1287" t="s">
        <v>4366</v>
      </c>
      <c r="F1287" t="s">
        <v>4696</v>
      </c>
      <c r="G1287" t="s">
        <v>24</v>
      </c>
      <c r="H1287" t="s">
        <v>4697</v>
      </c>
      <c r="I1287" t="s">
        <v>46</v>
      </c>
      <c r="L1287" t="s">
        <v>2083</v>
      </c>
      <c r="Q1287" t="s">
        <v>48</v>
      </c>
    </row>
    <row r="1288" spans="1:17" hidden="1" x14ac:dyDescent="0.25">
      <c r="A1288" t="s">
        <v>33</v>
      </c>
      <c r="B1288" t="s">
        <v>4698</v>
      </c>
      <c r="C1288" t="s">
        <v>4699</v>
      </c>
      <c r="D1288" t="s">
        <v>4700</v>
      </c>
      <c r="E1288" t="s">
        <v>226</v>
      </c>
      <c r="F1288" t="s">
        <v>4701</v>
      </c>
      <c r="G1288" t="s">
        <v>24</v>
      </c>
      <c r="H1288" t="s">
        <v>4702</v>
      </c>
      <c r="I1288" t="s">
        <v>46</v>
      </c>
      <c r="L1288" t="s">
        <v>1013</v>
      </c>
      <c r="Q1288" t="s">
        <v>48</v>
      </c>
    </row>
    <row r="1289" spans="1:17" hidden="1" x14ac:dyDescent="0.25">
      <c r="A1289" t="s">
        <v>33</v>
      </c>
      <c r="B1289" t="s">
        <v>4703</v>
      </c>
      <c r="C1289" t="s">
        <v>92</v>
      </c>
      <c r="D1289" t="s">
        <v>4703</v>
      </c>
      <c r="E1289" t="s">
        <v>4211</v>
      </c>
      <c r="F1289" t="s">
        <v>4704</v>
      </c>
      <c r="G1289" t="s">
        <v>24</v>
      </c>
      <c r="H1289" t="s">
        <v>4705</v>
      </c>
      <c r="I1289" t="s">
        <v>46</v>
      </c>
      <c r="L1289" t="s">
        <v>1402</v>
      </c>
      <c r="Q1289" t="s">
        <v>48</v>
      </c>
    </row>
    <row r="1290" spans="1:17" hidden="1" x14ac:dyDescent="0.25">
      <c r="A1290" t="s">
        <v>33</v>
      </c>
      <c r="B1290" t="s">
        <v>4706</v>
      </c>
      <c r="C1290" t="s">
        <v>21</v>
      </c>
      <c r="D1290" t="s">
        <v>4706</v>
      </c>
      <c r="E1290" t="s">
        <v>135</v>
      </c>
      <c r="F1290" t="s">
        <v>4707</v>
      </c>
      <c r="G1290" t="s">
        <v>24</v>
      </c>
      <c r="H1290" t="s">
        <v>4708</v>
      </c>
      <c r="I1290" t="s">
        <v>46</v>
      </c>
      <c r="L1290" t="s">
        <v>138</v>
      </c>
      <c r="Q1290" t="s">
        <v>48</v>
      </c>
    </row>
    <row r="1291" spans="1:17" hidden="1" x14ac:dyDescent="0.25">
      <c r="A1291" t="s">
        <v>33</v>
      </c>
      <c r="B1291" t="s">
        <v>4709</v>
      </c>
      <c r="C1291" t="s">
        <v>29</v>
      </c>
      <c r="D1291" t="s">
        <v>4709</v>
      </c>
      <c r="E1291" t="s">
        <v>4662</v>
      </c>
      <c r="F1291" t="s">
        <v>4663</v>
      </c>
      <c r="G1291" t="s">
        <v>24</v>
      </c>
      <c r="H1291" t="s">
        <v>4710</v>
      </c>
      <c r="I1291" t="s">
        <v>46</v>
      </c>
      <c r="L1291" t="s">
        <v>246</v>
      </c>
      <c r="Q1291" t="s">
        <v>48</v>
      </c>
    </row>
    <row r="1292" spans="1:17" hidden="1" x14ac:dyDescent="0.25">
      <c r="A1292" t="s">
        <v>33</v>
      </c>
      <c r="B1292" t="s">
        <v>4711</v>
      </c>
      <c r="C1292" t="s">
        <v>21</v>
      </c>
      <c r="D1292" t="s">
        <v>4712</v>
      </c>
      <c r="E1292" t="s">
        <v>540</v>
      </c>
      <c r="F1292" t="s">
        <v>4713</v>
      </c>
      <c r="G1292" t="s">
        <v>24</v>
      </c>
      <c r="H1292" t="s">
        <v>4714</v>
      </c>
      <c r="I1292" t="s">
        <v>46</v>
      </c>
      <c r="L1292" t="s">
        <v>3868</v>
      </c>
      <c r="Q1292" t="s">
        <v>48</v>
      </c>
    </row>
    <row r="1293" spans="1:17" hidden="1" x14ac:dyDescent="0.25">
      <c r="A1293" t="s">
        <v>33</v>
      </c>
      <c r="B1293" t="s">
        <v>4715</v>
      </c>
      <c r="C1293" t="s">
        <v>29</v>
      </c>
      <c r="D1293" t="s">
        <v>4716</v>
      </c>
      <c r="E1293" t="s">
        <v>4717</v>
      </c>
      <c r="F1293" t="s">
        <v>4718</v>
      </c>
      <c r="G1293" t="s">
        <v>24</v>
      </c>
      <c r="H1293" t="s">
        <v>4719</v>
      </c>
      <c r="L1293" t="s">
        <v>246</v>
      </c>
    </row>
    <row r="1294" spans="1:17" hidden="1" x14ac:dyDescent="0.25">
      <c r="A1294" t="s">
        <v>33</v>
      </c>
      <c r="B1294" t="s">
        <v>4720</v>
      </c>
      <c r="C1294" t="s">
        <v>21</v>
      </c>
      <c r="D1294" t="s">
        <v>4720</v>
      </c>
      <c r="E1294" t="s">
        <v>284</v>
      </c>
      <c r="F1294" t="s">
        <v>4721</v>
      </c>
      <c r="G1294" t="s">
        <v>24</v>
      </c>
      <c r="H1294" s="1" t="s">
        <v>4722</v>
      </c>
      <c r="I1294" t="s">
        <v>73</v>
      </c>
      <c r="L1294" t="s">
        <v>4723</v>
      </c>
      <c r="Q1294" t="s">
        <v>75</v>
      </c>
    </row>
    <row r="1295" spans="1:17" hidden="1" x14ac:dyDescent="0.25">
      <c r="A1295" t="s">
        <v>33</v>
      </c>
      <c r="B1295" t="s">
        <v>4724</v>
      </c>
      <c r="C1295" t="s">
        <v>29</v>
      </c>
      <c r="D1295" t="s">
        <v>4724</v>
      </c>
      <c r="E1295" t="s">
        <v>939</v>
      </c>
      <c r="F1295" t="s">
        <v>4725</v>
      </c>
      <c r="G1295" t="s">
        <v>24</v>
      </c>
      <c r="H1295" t="s">
        <v>4726</v>
      </c>
      <c r="L1295" t="s">
        <v>861</v>
      </c>
      <c r="P1295" t="s">
        <v>48</v>
      </c>
    </row>
    <row r="1296" spans="1:17" hidden="1" x14ac:dyDescent="0.25">
      <c r="A1296" t="s">
        <v>33</v>
      </c>
      <c r="B1296" t="s">
        <v>4727</v>
      </c>
      <c r="C1296" t="s">
        <v>29</v>
      </c>
      <c r="D1296" t="s">
        <v>4727</v>
      </c>
      <c r="E1296" t="s">
        <v>4728</v>
      </c>
      <c r="F1296" t="s">
        <v>4729</v>
      </c>
      <c r="G1296" t="s">
        <v>24</v>
      </c>
      <c r="H1296" s="1" t="s">
        <v>4730</v>
      </c>
      <c r="L1296" t="s">
        <v>2312</v>
      </c>
    </row>
    <row r="1297" spans="1:17" hidden="1" x14ac:dyDescent="0.25">
      <c r="A1297" t="s">
        <v>33</v>
      </c>
      <c r="B1297" t="s">
        <v>4731</v>
      </c>
      <c r="C1297" t="s">
        <v>21</v>
      </c>
      <c r="D1297" t="s">
        <v>4731</v>
      </c>
      <c r="E1297" t="s">
        <v>4732</v>
      </c>
      <c r="F1297" t="s">
        <v>4733</v>
      </c>
      <c r="G1297" t="s">
        <v>24</v>
      </c>
      <c r="H1297" t="s">
        <v>4734</v>
      </c>
      <c r="I1297" t="s">
        <v>46</v>
      </c>
      <c r="L1297" t="s">
        <v>4302</v>
      </c>
      <c r="Q1297" t="s">
        <v>48</v>
      </c>
    </row>
    <row r="1298" spans="1:17" hidden="1" x14ac:dyDescent="0.25">
      <c r="A1298" t="s">
        <v>33</v>
      </c>
      <c r="B1298" t="s">
        <v>4735</v>
      </c>
      <c r="C1298" t="s">
        <v>21</v>
      </c>
      <c r="D1298" t="s">
        <v>4735</v>
      </c>
      <c r="E1298" t="s">
        <v>778</v>
      </c>
      <c r="F1298" t="s">
        <v>4736</v>
      </c>
      <c r="G1298" t="s">
        <v>24</v>
      </c>
      <c r="H1298" t="s">
        <v>4737</v>
      </c>
    </row>
    <row r="1299" spans="1:17" hidden="1" x14ac:dyDescent="0.25">
      <c r="A1299" t="s">
        <v>33</v>
      </c>
      <c r="B1299" t="s">
        <v>4738</v>
      </c>
      <c r="C1299" t="s">
        <v>29</v>
      </c>
      <c r="D1299" t="s">
        <v>4738</v>
      </c>
      <c r="E1299" t="s">
        <v>894</v>
      </c>
      <c r="F1299" t="s">
        <v>4739</v>
      </c>
      <c r="G1299" t="s">
        <v>24</v>
      </c>
      <c r="H1299" t="s">
        <v>4740</v>
      </c>
      <c r="I1299" t="s">
        <v>46</v>
      </c>
      <c r="L1299" t="s">
        <v>246</v>
      </c>
      <c r="Q1299" t="s">
        <v>48</v>
      </c>
    </row>
    <row r="1300" spans="1:17" hidden="1" x14ac:dyDescent="0.25">
      <c r="A1300" t="s">
        <v>33</v>
      </c>
      <c r="B1300" t="s">
        <v>4741</v>
      </c>
      <c r="C1300" t="s">
        <v>21</v>
      </c>
      <c r="D1300" t="s">
        <v>4741</v>
      </c>
      <c r="E1300" t="s">
        <v>1557</v>
      </c>
      <c r="F1300" t="s">
        <v>4742</v>
      </c>
      <c r="G1300" t="s">
        <v>24</v>
      </c>
      <c r="H1300" t="s">
        <v>4743</v>
      </c>
    </row>
    <row r="1301" spans="1:17" hidden="1" x14ac:dyDescent="0.25">
      <c r="A1301" t="s">
        <v>33</v>
      </c>
      <c r="B1301" t="s">
        <v>4744</v>
      </c>
      <c r="C1301" t="s">
        <v>29</v>
      </c>
      <c r="D1301" t="s">
        <v>4744</v>
      </c>
      <c r="E1301" t="s">
        <v>435</v>
      </c>
      <c r="F1301" t="s">
        <v>2602</v>
      </c>
      <c r="G1301" t="s">
        <v>24</v>
      </c>
      <c r="H1301" t="s">
        <v>4745</v>
      </c>
      <c r="I1301" t="s">
        <v>46</v>
      </c>
      <c r="L1301" t="s">
        <v>638</v>
      </c>
      <c r="Q1301" t="s">
        <v>48</v>
      </c>
    </row>
    <row r="1302" spans="1:17" hidden="1" x14ac:dyDescent="0.25">
      <c r="A1302" t="s">
        <v>33</v>
      </c>
      <c r="B1302" t="s">
        <v>4746</v>
      </c>
      <c r="C1302" t="s">
        <v>29</v>
      </c>
      <c r="D1302" t="s">
        <v>4746</v>
      </c>
      <c r="E1302" t="s">
        <v>710</v>
      </c>
      <c r="F1302" t="s">
        <v>4747</v>
      </c>
      <c r="G1302" t="s">
        <v>24</v>
      </c>
      <c r="H1302" t="s">
        <v>4748</v>
      </c>
      <c r="I1302" t="s">
        <v>46</v>
      </c>
      <c r="Q1302" t="s">
        <v>48</v>
      </c>
    </row>
    <row r="1303" spans="1:17" hidden="1" x14ac:dyDescent="0.25">
      <c r="A1303" t="s">
        <v>33</v>
      </c>
      <c r="B1303" t="s">
        <v>4749</v>
      </c>
      <c r="C1303" t="s">
        <v>21</v>
      </c>
      <c r="D1303" t="s">
        <v>4749</v>
      </c>
      <c r="E1303" t="s">
        <v>778</v>
      </c>
      <c r="F1303" t="s">
        <v>4750</v>
      </c>
      <c r="G1303" t="s">
        <v>24</v>
      </c>
      <c r="H1303" t="s">
        <v>4751</v>
      </c>
      <c r="L1303" t="s">
        <v>74</v>
      </c>
      <c r="P1303" t="s">
        <v>48</v>
      </c>
    </row>
    <row r="1304" spans="1:17" hidden="1" x14ac:dyDescent="0.25">
      <c r="A1304" t="s">
        <v>33</v>
      </c>
      <c r="B1304" t="s">
        <v>4752</v>
      </c>
      <c r="C1304" t="s">
        <v>21</v>
      </c>
      <c r="D1304" t="s">
        <v>4752</v>
      </c>
      <c r="E1304" t="s">
        <v>939</v>
      </c>
      <c r="F1304" t="s">
        <v>4753</v>
      </c>
      <c r="G1304" t="s">
        <v>24</v>
      </c>
      <c r="H1304" t="s">
        <v>4754</v>
      </c>
    </row>
    <row r="1305" spans="1:17" hidden="1" x14ac:dyDescent="0.25">
      <c r="A1305" t="s">
        <v>33</v>
      </c>
      <c r="B1305" t="s">
        <v>4755</v>
      </c>
      <c r="C1305" t="s">
        <v>21</v>
      </c>
      <c r="D1305" t="s">
        <v>4756</v>
      </c>
      <c r="E1305" t="s">
        <v>3350</v>
      </c>
      <c r="F1305" t="s">
        <v>4757</v>
      </c>
      <c r="G1305" t="s">
        <v>24</v>
      </c>
      <c r="H1305" t="s">
        <v>4758</v>
      </c>
      <c r="I1305" t="s">
        <v>46</v>
      </c>
      <c r="L1305" t="s">
        <v>548</v>
      </c>
      <c r="Q1305" t="s">
        <v>48</v>
      </c>
    </row>
    <row r="1306" spans="1:17" hidden="1" x14ac:dyDescent="0.25">
      <c r="A1306" t="s">
        <v>33</v>
      </c>
      <c r="B1306" t="s">
        <v>4759</v>
      </c>
      <c r="C1306" t="s">
        <v>21</v>
      </c>
      <c r="D1306" t="s">
        <v>4759</v>
      </c>
      <c r="E1306" t="s">
        <v>886</v>
      </c>
      <c r="F1306" t="s">
        <v>4760</v>
      </c>
      <c r="G1306" t="s">
        <v>24</v>
      </c>
      <c r="H1306" t="s">
        <v>4761</v>
      </c>
    </row>
    <row r="1307" spans="1:17" hidden="1" x14ac:dyDescent="0.25">
      <c r="A1307" t="s">
        <v>33</v>
      </c>
      <c r="B1307" t="s">
        <v>4762</v>
      </c>
      <c r="C1307" t="s">
        <v>29</v>
      </c>
      <c r="D1307" t="s">
        <v>4762</v>
      </c>
      <c r="E1307" t="s">
        <v>4763</v>
      </c>
      <c r="F1307" t="s">
        <v>4764</v>
      </c>
      <c r="G1307" t="s">
        <v>24</v>
      </c>
      <c r="H1307" s="1" t="s">
        <v>4765</v>
      </c>
      <c r="I1307" t="s">
        <v>46</v>
      </c>
      <c r="L1307" t="s">
        <v>246</v>
      </c>
      <c r="Q1307" t="s">
        <v>48</v>
      </c>
    </row>
    <row r="1308" spans="1:17" hidden="1" x14ac:dyDescent="0.25">
      <c r="A1308" t="s">
        <v>33</v>
      </c>
      <c r="B1308" t="s">
        <v>4766</v>
      </c>
      <c r="C1308" t="s">
        <v>29</v>
      </c>
      <c r="D1308" t="s">
        <v>4766</v>
      </c>
      <c r="E1308" t="s">
        <v>4767</v>
      </c>
      <c r="F1308" t="s">
        <v>4768</v>
      </c>
      <c r="G1308" t="s">
        <v>24</v>
      </c>
      <c r="H1308" t="s">
        <v>4769</v>
      </c>
      <c r="I1308" t="s">
        <v>46</v>
      </c>
      <c r="L1308" t="s">
        <v>3808</v>
      </c>
      <c r="Q1308" t="s">
        <v>48</v>
      </c>
    </row>
    <row r="1309" spans="1:17" hidden="1" x14ac:dyDescent="0.25">
      <c r="A1309" t="s">
        <v>33</v>
      </c>
      <c r="B1309" t="s">
        <v>4770</v>
      </c>
      <c r="C1309" t="s">
        <v>21</v>
      </c>
      <c r="D1309" t="s">
        <v>4770</v>
      </c>
      <c r="E1309" t="s">
        <v>4211</v>
      </c>
      <c r="F1309" t="s">
        <v>4771</v>
      </c>
      <c r="G1309" t="s">
        <v>24</v>
      </c>
      <c r="H1309" t="s">
        <v>4772</v>
      </c>
      <c r="L1309" t="s">
        <v>3868</v>
      </c>
      <c r="P1309" t="s">
        <v>48</v>
      </c>
    </row>
    <row r="1310" spans="1:17" hidden="1" x14ac:dyDescent="0.25">
      <c r="A1310" t="s">
        <v>33</v>
      </c>
      <c r="B1310" t="s">
        <v>4773</v>
      </c>
      <c r="C1310" t="s">
        <v>21</v>
      </c>
      <c r="D1310" t="s">
        <v>4773</v>
      </c>
      <c r="E1310" t="s">
        <v>4774</v>
      </c>
      <c r="F1310" t="s">
        <v>4775</v>
      </c>
      <c r="G1310" t="s">
        <v>24</v>
      </c>
      <c r="H1310" t="s">
        <v>4776</v>
      </c>
      <c r="L1310" t="s">
        <v>3868</v>
      </c>
      <c r="P1310" t="s">
        <v>48</v>
      </c>
    </row>
    <row r="1311" spans="1:17" hidden="1" x14ac:dyDescent="0.25">
      <c r="A1311" t="s">
        <v>33</v>
      </c>
      <c r="B1311" t="s">
        <v>4777</v>
      </c>
      <c r="C1311" t="s">
        <v>21</v>
      </c>
      <c r="D1311" t="s">
        <v>4777</v>
      </c>
      <c r="E1311" t="s">
        <v>727</v>
      </c>
      <c r="F1311" t="s">
        <v>4778</v>
      </c>
      <c r="G1311" t="s">
        <v>24</v>
      </c>
      <c r="H1311" t="s">
        <v>4779</v>
      </c>
      <c r="L1311" t="s">
        <v>4229</v>
      </c>
      <c r="P1311" t="s">
        <v>48</v>
      </c>
    </row>
    <row r="1312" spans="1:17" hidden="1" x14ac:dyDescent="0.25">
      <c r="A1312" t="s">
        <v>33</v>
      </c>
      <c r="B1312" t="s">
        <v>4780</v>
      </c>
      <c r="C1312" t="s">
        <v>29</v>
      </c>
      <c r="D1312" t="s">
        <v>4780</v>
      </c>
      <c r="E1312" t="s">
        <v>4141</v>
      </c>
      <c r="F1312" t="s">
        <v>4781</v>
      </c>
      <c r="G1312" t="s">
        <v>24</v>
      </c>
      <c r="H1312" t="s">
        <v>4782</v>
      </c>
      <c r="L1312" t="s">
        <v>190</v>
      </c>
      <c r="P1312" t="s">
        <v>48</v>
      </c>
    </row>
    <row r="1313" spans="1:17" hidden="1" x14ac:dyDescent="0.25">
      <c r="A1313" t="s">
        <v>33</v>
      </c>
      <c r="B1313" t="s">
        <v>4783</v>
      </c>
      <c r="C1313" t="s">
        <v>21</v>
      </c>
      <c r="D1313" t="s">
        <v>4783</v>
      </c>
      <c r="E1313" t="s">
        <v>4784</v>
      </c>
      <c r="F1313" t="s">
        <v>4785</v>
      </c>
      <c r="G1313" t="s">
        <v>24</v>
      </c>
      <c r="H1313" t="s">
        <v>4786</v>
      </c>
      <c r="L1313" t="s">
        <v>53</v>
      </c>
    </row>
    <row r="1314" spans="1:17" hidden="1" x14ac:dyDescent="0.25">
      <c r="A1314" t="s">
        <v>33</v>
      </c>
      <c r="B1314" t="s">
        <v>4787</v>
      </c>
      <c r="C1314" t="s">
        <v>21</v>
      </c>
      <c r="D1314" t="s">
        <v>4787</v>
      </c>
      <c r="E1314" t="s">
        <v>1003</v>
      </c>
      <c r="F1314" t="s">
        <v>4788</v>
      </c>
      <c r="G1314" t="s">
        <v>24</v>
      </c>
      <c r="H1314" t="s">
        <v>4789</v>
      </c>
      <c r="L1314" t="s">
        <v>38</v>
      </c>
      <c r="P1314" t="s">
        <v>48</v>
      </c>
    </row>
    <row r="1315" spans="1:17" hidden="1" x14ac:dyDescent="0.25">
      <c r="A1315" t="s">
        <v>33</v>
      </c>
      <c r="B1315" t="s">
        <v>4790</v>
      </c>
      <c r="C1315" t="s">
        <v>21</v>
      </c>
      <c r="D1315" t="s">
        <v>4790</v>
      </c>
      <c r="E1315" t="s">
        <v>4791</v>
      </c>
      <c r="F1315" t="s">
        <v>4792</v>
      </c>
      <c r="G1315" t="s">
        <v>24</v>
      </c>
      <c r="H1315" t="s">
        <v>4793</v>
      </c>
      <c r="L1315" t="s">
        <v>3868</v>
      </c>
      <c r="P1315" t="s">
        <v>48</v>
      </c>
    </row>
    <row r="1316" spans="1:17" hidden="1" x14ac:dyDescent="0.25">
      <c r="A1316" t="s">
        <v>33</v>
      </c>
      <c r="B1316" t="s">
        <v>4794</v>
      </c>
      <c r="C1316" t="s">
        <v>29</v>
      </c>
      <c r="D1316" t="s">
        <v>4794</v>
      </c>
      <c r="E1316" t="s">
        <v>3222</v>
      </c>
      <c r="F1316" t="s">
        <v>4795</v>
      </c>
      <c r="G1316" t="s">
        <v>24</v>
      </c>
      <c r="H1316" t="s">
        <v>4796</v>
      </c>
      <c r="L1316" t="s">
        <v>3808</v>
      </c>
      <c r="P1316" t="s">
        <v>48</v>
      </c>
    </row>
    <row r="1317" spans="1:17" hidden="1" x14ac:dyDescent="0.25">
      <c r="A1317" t="s">
        <v>33</v>
      </c>
      <c r="B1317" t="s">
        <v>4797</v>
      </c>
      <c r="C1317" t="s">
        <v>21</v>
      </c>
      <c r="D1317" t="s">
        <v>4797</v>
      </c>
      <c r="E1317" t="s">
        <v>660</v>
      </c>
      <c r="F1317" t="s">
        <v>4798</v>
      </c>
      <c r="G1317" t="s">
        <v>24</v>
      </c>
      <c r="H1317" t="s">
        <v>4799</v>
      </c>
      <c r="L1317" t="s">
        <v>3868</v>
      </c>
      <c r="P1317" t="s">
        <v>48</v>
      </c>
    </row>
    <row r="1318" spans="1:17" hidden="1" x14ac:dyDescent="0.25">
      <c r="A1318" t="s">
        <v>33</v>
      </c>
      <c r="B1318" t="s">
        <v>4800</v>
      </c>
      <c r="C1318" t="s">
        <v>21</v>
      </c>
      <c r="D1318" t="s">
        <v>4800</v>
      </c>
      <c r="E1318" t="s">
        <v>1749</v>
      </c>
      <c r="F1318" t="s">
        <v>4801</v>
      </c>
      <c r="G1318" t="s">
        <v>24</v>
      </c>
      <c r="H1318" t="s">
        <v>4802</v>
      </c>
      <c r="L1318" t="s">
        <v>185</v>
      </c>
      <c r="P1318" t="s">
        <v>48</v>
      </c>
    </row>
    <row r="1319" spans="1:17" hidden="1" x14ac:dyDescent="0.25">
      <c r="A1319" t="s">
        <v>33</v>
      </c>
      <c r="B1319" t="s">
        <v>4803</v>
      </c>
      <c r="C1319" t="s">
        <v>21</v>
      </c>
      <c r="D1319" t="s">
        <v>4803</v>
      </c>
      <c r="E1319" t="s">
        <v>226</v>
      </c>
      <c r="F1319" t="s">
        <v>4701</v>
      </c>
      <c r="G1319" t="s">
        <v>24</v>
      </c>
      <c r="H1319" t="s">
        <v>4804</v>
      </c>
      <c r="L1319" t="s">
        <v>1013</v>
      </c>
      <c r="P1319" t="s">
        <v>48</v>
      </c>
    </row>
    <row r="1320" spans="1:17" hidden="1" x14ac:dyDescent="0.25">
      <c r="A1320" t="s">
        <v>33</v>
      </c>
      <c r="B1320" t="s">
        <v>4805</v>
      </c>
      <c r="C1320" t="s">
        <v>21</v>
      </c>
      <c r="D1320" t="s">
        <v>4806</v>
      </c>
      <c r="E1320" t="s">
        <v>4807</v>
      </c>
      <c r="F1320" t="s">
        <v>2831</v>
      </c>
      <c r="G1320" t="s">
        <v>24</v>
      </c>
      <c r="H1320" t="s">
        <v>4808</v>
      </c>
      <c r="I1320" t="s">
        <v>46</v>
      </c>
      <c r="L1320" t="s">
        <v>246</v>
      </c>
      <c r="Q1320" t="s">
        <v>48</v>
      </c>
    </row>
    <row r="1321" spans="1:17" hidden="1" x14ac:dyDescent="0.25">
      <c r="A1321" t="s">
        <v>33</v>
      </c>
      <c r="B1321" t="s">
        <v>4809</v>
      </c>
      <c r="C1321" t="s">
        <v>21</v>
      </c>
      <c r="D1321" t="s">
        <v>4809</v>
      </c>
      <c r="E1321" t="s">
        <v>4059</v>
      </c>
      <c r="F1321" t="s">
        <v>4810</v>
      </c>
      <c r="G1321" t="s">
        <v>24</v>
      </c>
      <c r="H1321" t="s">
        <v>4811</v>
      </c>
      <c r="L1321" t="s">
        <v>2758</v>
      </c>
      <c r="P1321" t="s">
        <v>48</v>
      </c>
    </row>
    <row r="1322" spans="1:17" hidden="1" x14ac:dyDescent="0.25">
      <c r="A1322" t="s">
        <v>33</v>
      </c>
      <c r="B1322" t="s">
        <v>4812</v>
      </c>
      <c r="C1322" t="s">
        <v>21</v>
      </c>
      <c r="D1322" t="s">
        <v>4812</v>
      </c>
      <c r="E1322" t="s">
        <v>4813</v>
      </c>
      <c r="F1322" t="s">
        <v>4814</v>
      </c>
      <c r="G1322" t="s">
        <v>24</v>
      </c>
      <c r="H1322" t="s">
        <v>4815</v>
      </c>
      <c r="I1322" t="s">
        <v>73</v>
      </c>
      <c r="L1322" t="s">
        <v>38</v>
      </c>
      <c r="P1322" t="s">
        <v>48</v>
      </c>
      <c r="Q1322" t="s">
        <v>75</v>
      </c>
    </row>
    <row r="1323" spans="1:17" hidden="1" x14ac:dyDescent="0.25">
      <c r="A1323" t="s">
        <v>33</v>
      </c>
      <c r="B1323" t="s">
        <v>4816</v>
      </c>
      <c r="C1323" t="s">
        <v>21</v>
      </c>
      <c r="D1323" t="s">
        <v>4816</v>
      </c>
      <c r="E1323" t="s">
        <v>1883</v>
      </c>
      <c r="F1323" t="s">
        <v>4817</v>
      </c>
      <c r="G1323" t="s">
        <v>24</v>
      </c>
      <c r="H1323" t="s">
        <v>4818</v>
      </c>
      <c r="L1323" t="s">
        <v>2975</v>
      </c>
      <c r="P1323" t="s">
        <v>48</v>
      </c>
    </row>
    <row r="1324" spans="1:17" hidden="1" x14ac:dyDescent="0.25">
      <c r="A1324" t="s">
        <v>33</v>
      </c>
      <c r="B1324" t="s">
        <v>4819</v>
      </c>
      <c r="C1324" t="s">
        <v>29</v>
      </c>
      <c r="D1324" t="s">
        <v>4819</v>
      </c>
      <c r="E1324" t="s">
        <v>3410</v>
      </c>
      <c r="F1324" t="s">
        <v>1664</v>
      </c>
      <c r="G1324" t="s">
        <v>24</v>
      </c>
      <c r="H1324" t="s">
        <v>4820</v>
      </c>
      <c r="L1324" t="s">
        <v>246</v>
      </c>
      <c r="P1324" t="s">
        <v>48</v>
      </c>
    </row>
    <row r="1325" spans="1:17" hidden="1" x14ac:dyDescent="0.25">
      <c r="A1325" t="s">
        <v>33</v>
      </c>
      <c r="B1325" t="s">
        <v>4821</v>
      </c>
      <c r="C1325" t="s">
        <v>29</v>
      </c>
      <c r="D1325" t="s">
        <v>4821</v>
      </c>
      <c r="E1325" t="s">
        <v>2910</v>
      </c>
      <c r="F1325" t="s">
        <v>4822</v>
      </c>
      <c r="G1325" t="s">
        <v>24</v>
      </c>
      <c r="H1325" t="s">
        <v>4823</v>
      </c>
      <c r="I1325" t="s">
        <v>46</v>
      </c>
      <c r="L1325" t="s">
        <v>3808</v>
      </c>
      <c r="Q1325" t="s">
        <v>48</v>
      </c>
    </row>
    <row r="1326" spans="1:17" hidden="1" x14ac:dyDescent="0.25">
      <c r="A1326" t="s">
        <v>33</v>
      </c>
      <c r="B1326" t="s">
        <v>4824</v>
      </c>
      <c r="C1326" t="s">
        <v>21</v>
      </c>
      <c r="D1326" t="s">
        <v>4824</v>
      </c>
      <c r="E1326" t="s">
        <v>1357</v>
      </c>
      <c r="F1326" t="s">
        <v>4825</v>
      </c>
      <c r="G1326" t="s">
        <v>24</v>
      </c>
      <c r="H1326" t="s">
        <v>4826</v>
      </c>
      <c r="P1326" t="s">
        <v>48</v>
      </c>
    </row>
    <row r="1327" spans="1:17" hidden="1" x14ac:dyDescent="0.25">
      <c r="A1327" t="s">
        <v>33</v>
      </c>
      <c r="B1327" t="s">
        <v>4827</v>
      </c>
      <c r="C1327" t="s">
        <v>21</v>
      </c>
      <c r="D1327" t="s">
        <v>4827</v>
      </c>
      <c r="E1327" t="s">
        <v>4828</v>
      </c>
      <c r="F1327" t="s">
        <v>4829</v>
      </c>
      <c r="G1327" t="s">
        <v>24</v>
      </c>
      <c r="H1327" t="s">
        <v>4830</v>
      </c>
      <c r="I1327" t="s">
        <v>46</v>
      </c>
      <c r="Q1327" t="s">
        <v>48</v>
      </c>
    </row>
    <row r="1328" spans="1:17" hidden="1" x14ac:dyDescent="0.25">
      <c r="A1328" t="s">
        <v>33</v>
      </c>
      <c r="B1328" t="s">
        <v>4831</v>
      </c>
      <c r="C1328" t="s">
        <v>21</v>
      </c>
      <c r="D1328" t="s">
        <v>4831</v>
      </c>
      <c r="E1328" t="s">
        <v>412</v>
      </c>
      <c r="F1328" t="s">
        <v>4832</v>
      </c>
      <c r="G1328" t="s">
        <v>24</v>
      </c>
      <c r="H1328" t="s">
        <v>4833</v>
      </c>
      <c r="I1328" t="s">
        <v>73</v>
      </c>
      <c r="L1328" t="s">
        <v>2826</v>
      </c>
      <c r="Q1328" t="s">
        <v>75</v>
      </c>
    </row>
    <row r="1329" spans="1:17" hidden="1" x14ac:dyDescent="0.25">
      <c r="A1329" t="s">
        <v>33</v>
      </c>
      <c r="B1329" t="s">
        <v>4834</v>
      </c>
      <c r="C1329" t="s">
        <v>21</v>
      </c>
      <c r="D1329" t="s">
        <v>4834</v>
      </c>
      <c r="E1329" t="s">
        <v>4835</v>
      </c>
      <c r="F1329" t="s">
        <v>4836</v>
      </c>
      <c r="G1329" t="s">
        <v>24</v>
      </c>
      <c r="H1329" t="s">
        <v>4837</v>
      </c>
    </row>
    <row r="1330" spans="1:17" hidden="1" x14ac:dyDescent="0.25">
      <c r="A1330" t="s">
        <v>33</v>
      </c>
      <c r="B1330" t="s">
        <v>4838</v>
      </c>
      <c r="C1330" t="s">
        <v>21</v>
      </c>
      <c r="D1330" t="s">
        <v>4838</v>
      </c>
      <c r="E1330" t="s">
        <v>2922</v>
      </c>
      <c r="F1330" t="s">
        <v>4839</v>
      </c>
      <c r="G1330" t="s">
        <v>24</v>
      </c>
      <c r="H1330" t="s">
        <v>4840</v>
      </c>
    </row>
    <row r="1331" spans="1:17" hidden="1" x14ac:dyDescent="0.25">
      <c r="A1331" t="s">
        <v>33</v>
      </c>
      <c r="B1331" t="s">
        <v>4841</v>
      </c>
      <c r="C1331" t="s">
        <v>21</v>
      </c>
      <c r="D1331" t="s">
        <v>4841</v>
      </c>
      <c r="E1331" t="s">
        <v>4842</v>
      </c>
      <c r="F1331" t="s">
        <v>1003</v>
      </c>
      <c r="G1331" t="s">
        <v>24</v>
      </c>
      <c r="H1331" t="s">
        <v>4843</v>
      </c>
      <c r="I1331" t="s">
        <v>73</v>
      </c>
      <c r="L1331" t="s">
        <v>181</v>
      </c>
      <c r="Q1331" t="s">
        <v>75</v>
      </c>
    </row>
    <row r="1332" spans="1:17" hidden="1" x14ac:dyDescent="0.25">
      <c r="A1332" t="s">
        <v>33</v>
      </c>
      <c r="B1332" t="s">
        <v>4844</v>
      </c>
      <c r="C1332" t="s">
        <v>21</v>
      </c>
      <c r="D1332" t="s">
        <v>4844</v>
      </c>
      <c r="E1332" t="s">
        <v>829</v>
      </c>
      <c r="F1332" t="s">
        <v>4845</v>
      </c>
      <c r="G1332" t="s">
        <v>24</v>
      </c>
      <c r="H1332" t="s">
        <v>4846</v>
      </c>
    </row>
    <row r="1333" spans="1:17" hidden="1" x14ac:dyDescent="0.25">
      <c r="A1333" t="s">
        <v>33</v>
      </c>
      <c r="B1333" t="s">
        <v>4847</v>
      </c>
      <c r="C1333" t="s">
        <v>21</v>
      </c>
      <c r="D1333" t="s">
        <v>4847</v>
      </c>
      <c r="E1333" t="s">
        <v>159</v>
      </c>
      <c r="F1333" t="s">
        <v>4601</v>
      </c>
      <c r="G1333" t="s">
        <v>24</v>
      </c>
      <c r="H1333" s="1" t="s">
        <v>4848</v>
      </c>
      <c r="I1333" t="s">
        <v>73</v>
      </c>
      <c r="L1333" t="s">
        <v>2439</v>
      </c>
      <c r="Q1333" t="s">
        <v>75</v>
      </c>
    </row>
    <row r="1334" spans="1:17" x14ac:dyDescent="0.25">
      <c r="A1334" t="s">
        <v>33</v>
      </c>
      <c r="B1334" t="s">
        <v>4849</v>
      </c>
      <c r="C1334" t="s">
        <v>21</v>
      </c>
      <c r="D1334" t="s">
        <v>4849</v>
      </c>
      <c r="E1334" t="s">
        <v>4850</v>
      </c>
      <c r="F1334" t="s">
        <v>4851</v>
      </c>
      <c r="G1334" t="s">
        <v>24</v>
      </c>
      <c r="H1334" t="s">
        <v>4852</v>
      </c>
      <c r="I1334" t="s">
        <v>4045</v>
      </c>
      <c r="L1334" t="s">
        <v>74</v>
      </c>
      <c r="Q1334" t="s">
        <v>4046</v>
      </c>
    </row>
    <row r="1335" spans="1:17" hidden="1" x14ac:dyDescent="0.25">
      <c r="A1335" t="s">
        <v>33</v>
      </c>
      <c r="B1335" t="s">
        <v>4853</v>
      </c>
      <c r="C1335" t="s">
        <v>29</v>
      </c>
      <c r="D1335" t="s">
        <v>4853</v>
      </c>
      <c r="E1335" t="s">
        <v>449</v>
      </c>
      <c r="F1335" t="s">
        <v>4854</v>
      </c>
      <c r="G1335" t="s">
        <v>24</v>
      </c>
      <c r="H1335" t="s">
        <v>4855</v>
      </c>
      <c r="I1335" t="s">
        <v>46</v>
      </c>
      <c r="L1335" t="s">
        <v>601</v>
      </c>
      <c r="Q1335" t="s">
        <v>48</v>
      </c>
    </row>
    <row r="1336" spans="1:17" hidden="1" x14ac:dyDescent="0.25">
      <c r="A1336" t="s">
        <v>33</v>
      </c>
      <c r="B1336" t="s">
        <v>4856</v>
      </c>
      <c r="C1336" t="s">
        <v>21</v>
      </c>
      <c r="D1336" t="s">
        <v>4856</v>
      </c>
      <c r="E1336" t="s">
        <v>4857</v>
      </c>
      <c r="F1336" t="s">
        <v>4858</v>
      </c>
      <c r="G1336" t="s">
        <v>24</v>
      </c>
      <c r="H1336" t="s">
        <v>4859</v>
      </c>
      <c r="I1336" t="s">
        <v>46</v>
      </c>
      <c r="L1336" t="s">
        <v>38</v>
      </c>
      <c r="Q1336" t="s">
        <v>48</v>
      </c>
    </row>
    <row r="1337" spans="1:17" hidden="1" x14ac:dyDescent="0.25">
      <c r="A1337" t="s">
        <v>33</v>
      </c>
      <c r="B1337" t="s">
        <v>4860</v>
      </c>
      <c r="C1337" t="s">
        <v>21</v>
      </c>
      <c r="D1337" t="s">
        <v>4860</v>
      </c>
      <c r="E1337" t="s">
        <v>4861</v>
      </c>
      <c r="F1337" t="s">
        <v>4862</v>
      </c>
      <c r="G1337" t="s">
        <v>24</v>
      </c>
      <c r="H1337" t="s">
        <v>4863</v>
      </c>
      <c r="I1337" t="s">
        <v>46</v>
      </c>
      <c r="L1337" t="s">
        <v>3868</v>
      </c>
      <c r="Q1337" t="s">
        <v>48</v>
      </c>
    </row>
    <row r="1338" spans="1:17" hidden="1" x14ac:dyDescent="0.25">
      <c r="A1338" t="s">
        <v>33</v>
      </c>
      <c r="B1338" t="s">
        <v>4864</v>
      </c>
      <c r="C1338" t="s">
        <v>21</v>
      </c>
      <c r="D1338" t="s">
        <v>4864</v>
      </c>
      <c r="E1338" t="s">
        <v>4865</v>
      </c>
      <c r="F1338" t="s">
        <v>792</v>
      </c>
      <c r="G1338" t="s">
        <v>24</v>
      </c>
      <c r="H1338" s="1" t="s">
        <v>4866</v>
      </c>
      <c r="I1338" t="s">
        <v>46</v>
      </c>
      <c r="L1338" t="s">
        <v>3868</v>
      </c>
      <c r="Q1338" t="s">
        <v>48</v>
      </c>
    </row>
    <row r="1339" spans="1:17" hidden="1" x14ac:dyDescent="0.25">
      <c r="A1339" t="s">
        <v>33</v>
      </c>
      <c r="B1339" t="s">
        <v>4867</v>
      </c>
      <c r="C1339" t="s">
        <v>21</v>
      </c>
      <c r="D1339" t="s">
        <v>4867</v>
      </c>
      <c r="E1339" t="s">
        <v>4868</v>
      </c>
      <c r="F1339" t="s">
        <v>4869</v>
      </c>
      <c r="G1339" t="s">
        <v>24</v>
      </c>
      <c r="H1339" t="s">
        <v>4870</v>
      </c>
    </row>
    <row r="1340" spans="1:17" hidden="1" x14ac:dyDescent="0.25">
      <c r="A1340" t="s">
        <v>33</v>
      </c>
      <c r="B1340" t="s">
        <v>4871</v>
      </c>
      <c r="C1340" t="s">
        <v>21</v>
      </c>
      <c r="D1340" t="s">
        <v>4871</v>
      </c>
      <c r="E1340" t="s">
        <v>236</v>
      </c>
      <c r="F1340" t="s">
        <v>2749</v>
      </c>
      <c r="G1340" t="s">
        <v>24</v>
      </c>
      <c r="H1340" t="s">
        <v>4872</v>
      </c>
      <c r="I1340" t="s">
        <v>46</v>
      </c>
      <c r="L1340" t="s">
        <v>620</v>
      </c>
      <c r="Q1340" t="s">
        <v>48</v>
      </c>
    </row>
    <row r="1341" spans="1:17" hidden="1" x14ac:dyDescent="0.25">
      <c r="A1341" t="s">
        <v>33</v>
      </c>
      <c r="B1341" t="s">
        <v>4873</v>
      </c>
      <c r="C1341" t="s">
        <v>21</v>
      </c>
      <c r="D1341" t="s">
        <v>4873</v>
      </c>
      <c r="E1341" t="s">
        <v>2527</v>
      </c>
      <c r="F1341" t="s">
        <v>4874</v>
      </c>
      <c r="G1341" t="s">
        <v>24</v>
      </c>
      <c r="H1341" s="1" t="s">
        <v>4875</v>
      </c>
      <c r="I1341" t="s">
        <v>73</v>
      </c>
      <c r="L1341" t="s">
        <v>38</v>
      </c>
      <c r="Q1341" t="s">
        <v>75</v>
      </c>
    </row>
    <row r="1342" spans="1:17" hidden="1" x14ac:dyDescent="0.25">
      <c r="A1342" t="s">
        <v>33</v>
      </c>
      <c r="B1342" t="s">
        <v>4876</v>
      </c>
      <c r="C1342" t="s">
        <v>29</v>
      </c>
      <c r="D1342" t="s">
        <v>4876</v>
      </c>
      <c r="E1342" t="s">
        <v>1424</v>
      </c>
      <c r="F1342" t="s">
        <v>2255</v>
      </c>
      <c r="G1342" t="s">
        <v>24</v>
      </c>
      <c r="H1342" t="s">
        <v>4877</v>
      </c>
      <c r="I1342" t="s">
        <v>73</v>
      </c>
      <c r="Q1342" t="s">
        <v>75</v>
      </c>
    </row>
    <row r="1343" spans="1:17" hidden="1" x14ac:dyDescent="0.25">
      <c r="A1343" t="s">
        <v>33</v>
      </c>
      <c r="B1343" t="s">
        <v>4878</v>
      </c>
      <c r="C1343" t="s">
        <v>21</v>
      </c>
      <c r="D1343" t="s">
        <v>4878</v>
      </c>
      <c r="E1343" t="s">
        <v>4879</v>
      </c>
      <c r="F1343" t="s">
        <v>4880</v>
      </c>
      <c r="G1343" t="s">
        <v>24</v>
      </c>
      <c r="H1343" t="s">
        <v>4881</v>
      </c>
      <c r="I1343" t="s">
        <v>73</v>
      </c>
      <c r="L1343" t="s">
        <v>692</v>
      </c>
      <c r="Q1343" t="s">
        <v>75</v>
      </c>
    </row>
    <row r="1344" spans="1:17" hidden="1" x14ac:dyDescent="0.25">
      <c r="A1344" t="s">
        <v>33</v>
      </c>
      <c r="B1344" t="s">
        <v>4882</v>
      </c>
      <c r="C1344" t="s">
        <v>21</v>
      </c>
      <c r="D1344" t="s">
        <v>4882</v>
      </c>
      <c r="E1344" t="s">
        <v>939</v>
      </c>
      <c r="F1344" t="s">
        <v>4883</v>
      </c>
      <c r="G1344" t="s">
        <v>24</v>
      </c>
      <c r="H1344" t="s">
        <v>4884</v>
      </c>
      <c r="I1344" t="s">
        <v>73</v>
      </c>
      <c r="L1344" t="s">
        <v>74</v>
      </c>
      <c r="Q1344" t="s">
        <v>75</v>
      </c>
    </row>
    <row r="1345" spans="1:17" hidden="1" x14ac:dyDescent="0.25">
      <c r="A1345" t="s">
        <v>33</v>
      </c>
      <c r="B1345" t="s">
        <v>4885</v>
      </c>
      <c r="C1345" t="s">
        <v>21</v>
      </c>
      <c r="D1345" t="s">
        <v>4885</v>
      </c>
      <c r="E1345" t="s">
        <v>367</v>
      </c>
      <c r="F1345" t="s">
        <v>4886</v>
      </c>
      <c r="G1345" t="s">
        <v>24</v>
      </c>
      <c r="H1345" t="s">
        <v>4887</v>
      </c>
      <c r="I1345" t="s">
        <v>46</v>
      </c>
      <c r="L1345" t="s">
        <v>185</v>
      </c>
      <c r="Q1345" t="s">
        <v>48</v>
      </c>
    </row>
    <row r="1346" spans="1:17" hidden="1" x14ac:dyDescent="0.25">
      <c r="A1346" t="s">
        <v>33</v>
      </c>
      <c r="B1346" t="s">
        <v>4888</v>
      </c>
      <c r="C1346" t="s">
        <v>29</v>
      </c>
      <c r="D1346" t="s">
        <v>4888</v>
      </c>
      <c r="E1346" t="s">
        <v>723</v>
      </c>
      <c r="F1346" t="s">
        <v>4889</v>
      </c>
      <c r="G1346" t="s">
        <v>24</v>
      </c>
      <c r="H1346" t="s">
        <v>4890</v>
      </c>
      <c r="I1346" t="s">
        <v>73</v>
      </c>
      <c r="L1346" t="s">
        <v>861</v>
      </c>
      <c r="Q1346" t="s">
        <v>75</v>
      </c>
    </row>
    <row r="1347" spans="1:17" hidden="1" x14ac:dyDescent="0.25">
      <c r="A1347" t="s">
        <v>33</v>
      </c>
      <c r="B1347" t="s">
        <v>4891</v>
      </c>
      <c r="C1347" t="s">
        <v>92</v>
      </c>
      <c r="D1347" t="s">
        <v>4891</v>
      </c>
      <c r="E1347" t="s">
        <v>1488</v>
      </c>
      <c r="F1347" t="s">
        <v>1068</v>
      </c>
      <c r="G1347" t="s">
        <v>24</v>
      </c>
      <c r="H1347" t="s">
        <v>4892</v>
      </c>
      <c r="I1347" t="s">
        <v>73</v>
      </c>
      <c r="L1347" t="s">
        <v>97</v>
      </c>
      <c r="Q1347" t="s">
        <v>75</v>
      </c>
    </row>
    <row r="1348" spans="1:17" hidden="1" x14ac:dyDescent="0.25">
      <c r="A1348" t="s">
        <v>33</v>
      </c>
      <c r="B1348" t="s">
        <v>4893</v>
      </c>
      <c r="C1348" t="s">
        <v>21</v>
      </c>
      <c r="D1348" t="s">
        <v>4893</v>
      </c>
      <c r="E1348" t="s">
        <v>4894</v>
      </c>
      <c r="F1348" t="s">
        <v>4895</v>
      </c>
      <c r="G1348" t="s">
        <v>24</v>
      </c>
      <c r="H1348" t="s">
        <v>4896</v>
      </c>
      <c r="I1348" t="s">
        <v>73</v>
      </c>
      <c r="L1348" t="s">
        <v>1923</v>
      </c>
      <c r="Q1348" t="s">
        <v>75</v>
      </c>
    </row>
    <row r="1349" spans="1:17" hidden="1" x14ac:dyDescent="0.25">
      <c r="A1349" t="s">
        <v>33</v>
      </c>
      <c r="B1349" t="s">
        <v>4897</v>
      </c>
      <c r="C1349" t="s">
        <v>29</v>
      </c>
      <c r="D1349" t="s">
        <v>4898</v>
      </c>
      <c r="E1349" t="s">
        <v>428</v>
      </c>
      <c r="F1349" t="s">
        <v>2480</v>
      </c>
      <c r="G1349" t="s">
        <v>24</v>
      </c>
      <c r="H1349" t="s">
        <v>4899</v>
      </c>
      <c r="I1349" t="s">
        <v>46</v>
      </c>
      <c r="L1349" t="s">
        <v>517</v>
      </c>
      <c r="Q1349" t="s">
        <v>48</v>
      </c>
    </row>
    <row r="1350" spans="1:17" hidden="1" x14ac:dyDescent="0.25">
      <c r="A1350" t="s">
        <v>33</v>
      </c>
      <c r="B1350" t="s">
        <v>4900</v>
      </c>
      <c r="C1350" t="s">
        <v>21</v>
      </c>
      <c r="D1350" t="s">
        <v>4900</v>
      </c>
      <c r="E1350" t="s">
        <v>3483</v>
      </c>
      <c r="F1350" t="s">
        <v>4503</v>
      </c>
      <c r="G1350" t="s">
        <v>24</v>
      </c>
      <c r="H1350" t="s">
        <v>4901</v>
      </c>
      <c r="I1350" t="s">
        <v>73</v>
      </c>
      <c r="L1350" t="s">
        <v>47</v>
      </c>
      <c r="Q1350" t="s">
        <v>75</v>
      </c>
    </row>
    <row r="1351" spans="1:17" hidden="1" x14ac:dyDescent="0.25">
      <c r="A1351" t="s">
        <v>33</v>
      </c>
      <c r="B1351" t="s">
        <v>4902</v>
      </c>
      <c r="C1351" t="s">
        <v>21</v>
      </c>
      <c r="D1351" t="s">
        <v>4902</v>
      </c>
      <c r="E1351" t="s">
        <v>4903</v>
      </c>
      <c r="F1351" t="s">
        <v>4904</v>
      </c>
      <c r="G1351" t="s">
        <v>24</v>
      </c>
      <c r="H1351" t="s">
        <v>4905</v>
      </c>
      <c r="I1351" t="s">
        <v>73</v>
      </c>
      <c r="L1351" t="s">
        <v>747</v>
      </c>
      <c r="Q1351" t="s">
        <v>75</v>
      </c>
    </row>
    <row r="1352" spans="1:17" hidden="1" x14ac:dyDescent="0.25">
      <c r="A1352" t="s">
        <v>33</v>
      </c>
      <c r="B1352" t="s">
        <v>4906</v>
      </c>
      <c r="C1352" t="s">
        <v>21</v>
      </c>
      <c r="D1352" t="s">
        <v>4906</v>
      </c>
      <c r="E1352" t="s">
        <v>4907</v>
      </c>
      <c r="F1352" t="s">
        <v>1073</v>
      </c>
      <c r="G1352" t="s">
        <v>24</v>
      </c>
      <c r="H1352" t="s">
        <v>4908</v>
      </c>
      <c r="I1352" t="s">
        <v>73</v>
      </c>
      <c r="L1352" t="s">
        <v>181</v>
      </c>
      <c r="Q1352" t="s">
        <v>75</v>
      </c>
    </row>
    <row r="1353" spans="1:17" hidden="1" x14ac:dyDescent="0.25">
      <c r="A1353" t="s">
        <v>33</v>
      </c>
      <c r="B1353" t="s">
        <v>4909</v>
      </c>
      <c r="C1353" t="s">
        <v>21</v>
      </c>
      <c r="D1353" t="s">
        <v>4909</v>
      </c>
      <c r="E1353" t="s">
        <v>727</v>
      </c>
      <c r="F1353" t="s">
        <v>595</v>
      </c>
      <c r="G1353" t="s">
        <v>24</v>
      </c>
      <c r="H1353" t="s">
        <v>4910</v>
      </c>
      <c r="I1353" t="s">
        <v>46</v>
      </c>
      <c r="L1353" t="s">
        <v>185</v>
      </c>
      <c r="Q1353" t="s">
        <v>48</v>
      </c>
    </row>
    <row r="1354" spans="1:17" hidden="1" x14ac:dyDescent="0.25">
      <c r="A1354" t="s">
        <v>33</v>
      </c>
      <c r="B1354" t="s">
        <v>4911</v>
      </c>
      <c r="C1354" t="s">
        <v>21</v>
      </c>
      <c r="D1354" t="s">
        <v>4911</v>
      </c>
      <c r="E1354" t="s">
        <v>894</v>
      </c>
      <c r="F1354" t="s">
        <v>4912</v>
      </c>
      <c r="G1354" t="s">
        <v>24</v>
      </c>
      <c r="H1354" t="s">
        <v>4913</v>
      </c>
      <c r="I1354" t="s">
        <v>73</v>
      </c>
      <c r="L1354" t="s">
        <v>803</v>
      </c>
      <c r="Q1354" t="s">
        <v>75</v>
      </c>
    </row>
    <row r="1355" spans="1:17" hidden="1" x14ac:dyDescent="0.25">
      <c r="A1355" t="s">
        <v>33</v>
      </c>
      <c r="B1355" t="s">
        <v>4914</v>
      </c>
      <c r="C1355" t="s">
        <v>21</v>
      </c>
      <c r="D1355" t="s">
        <v>4914</v>
      </c>
      <c r="E1355" t="s">
        <v>2269</v>
      </c>
      <c r="F1355" t="s">
        <v>4915</v>
      </c>
      <c r="G1355" t="s">
        <v>24</v>
      </c>
      <c r="H1355" t="s">
        <v>4916</v>
      </c>
      <c r="I1355" t="s">
        <v>46</v>
      </c>
      <c r="Q1355" t="s">
        <v>48</v>
      </c>
    </row>
    <row r="1356" spans="1:17" hidden="1" x14ac:dyDescent="0.25">
      <c r="A1356" t="s">
        <v>33</v>
      </c>
      <c r="B1356" t="s">
        <v>4917</v>
      </c>
      <c r="C1356" t="s">
        <v>21</v>
      </c>
      <c r="D1356" t="s">
        <v>4917</v>
      </c>
      <c r="E1356" t="s">
        <v>4918</v>
      </c>
      <c r="F1356" t="s">
        <v>4919</v>
      </c>
      <c r="G1356" t="s">
        <v>24</v>
      </c>
      <c r="H1356" t="s">
        <v>4920</v>
      </c>
      <c r="I1356" t="s">
        <v>46</v>
      </c>
      <c r="L1356" t="s">
        <v>620</v>
      </c>
      <c r="Q1356" t="s">
        <v>48</v>
      </c>
    </row>
    <row r="1357" spans="1:17" hidden="1" x14ac:dyDescent="0.25">
      <c r="A1357" t="s">
        <v>33</v>
      </c>
      <c r="B1357" t="s">
        <v>4921</v>
      </c>
      <c r="C1357" t="s">
        <v>21</v>
      </c>
      <c r="D1357" t="s">
        <v>4921</v>
      </c>
      <c r="E1357" t="s">
        <v>187</v>
      </c>
      <c r="F1357" t="s">
        <v>4922</v>
      </c>
      <c r="G1357" t="s">
        <v>24</v>
      </c>
      <c r="H1357" t="s">
        <v>4923</v>
      </c>
    </row>
    <row r="1358" spans="1:17" hidden="1" x14ac:dyDescent="0.25">
      <c r="A1358" t="s">
        <v>33</v>
      </c>
      <c r="B1358" t="s">
        <v>4924</v>
      </c>
      <c r="C1358" t="s">
        <v>29</v>
      </c>
      <c r="D1358" t="s">
        <v>4924</v>
      </c>
      <c r="E1358" t="s">
        <v>4925</v>
      </c>
      <c r="F1358" t="s">
        <v>4926</v>
      </c>
      <c r="G1358" t="s">
        <v>24</v>
      </c>
      <c r="H1358" t="s">
        <v>4927</v>
      </c>
      <c r="I1358" t="s">
        <v>46</v>
      </c>
      <c r="L1358" t="s">
        <v>2312</v>
      </c>
      <c r="Q1358" t="s">
        <v>48</v>
      </c>
    </row>
    <row r="1359" spans="1:17" hidden="1" x14ac:dyDescent="0.25">
      <c r="A1359" t="s">
        <v>33</v>
      </c>
      <c r="B1359" t="s">
        <v>4928</v>
      </c>
      <c r="C1359" t="s">
        <v>21</v>
      </c>
      <c r="D1359" t="s">
        <v>4928</v>
      </c>
      <c r="E1359" t="s">
        <v>606</v>
      </c>
      <c r="F1359" t="s">
        <v>4670</v>
      </c>
      <c r="G1359" t="s">
        <v>24</v>
      </c>
      <c r="H1359" t="s">
        <v>4929</v>
      </c>
    </row>
    <row r="1360" spans="1:17" hidden="1" x14ac:dyDescent="0.25">
      <c r="A1360" t="s">
        <v>33</v>
      </c>
      <c r="B1360" t="s">
        <v>4930</v>
      </c>
      <c r="C1360" t="s">
        <v>21</v>
      </c>
      <c r="D1360" t="s">
        <v>4930</v>
      </c>
      <c r="E1360" t="s">
        <v>126</v>
      </c>
      <c r="F1360" t="s">
        <v>4750</v>
      </c>
      <c r="G1360" t="s">
        <v>24</v>
      </c>
      <c r="H1360" t="s">
        <v>4931</v>
      </c>
      <c r="I1360" t="s">
        <v>73</v>
      </c>
      <c r="L1360" t="s">
        <v>803</v>
      </c>
      <c r="Q1360" t="s">
        <v>75</v>
      </c>
    </row>
    <row r="1361" spans="1:17" hidden="1" x14ac:dyDescent="0.25">
      <c r="A1361" t="s">
        <v>33</v>
      </c>
      <c r="B1361" t="s">
        <v>4932</v>
      </c>
      <c r="C1361" t="s">
        <v>21</v>
      </c>
      <c r="D1361" t="s">
        <v>4932</v>
      </c>
      <c r="E1361" t="s">
        <v>4933</v>
      </c>
      <c r="F1361" t="s">
        <v>4934</v>
      </c>
      <c r="G1361" t="s">
        <v>24</v>
      </c>
      <c r="H1361" t="s">
        <v>4935</v>
      </c>
      <c r="I1361" t="s">
        <v>73</v>
      </c>
      <c r="L1361" t="s">
        <v>349</v>
      </c>
      <c r="Q1361" t="s">
        <v>75</v>
      </c>
    </row>
    <row r="1362" spans="1:17" hidden="1" x14ac:dyDescent="0.25">
      <c r="A1362" t="s">
        <v>33</v>
      </c>
      <c r="B1362" t="s">
        <v>4936</v>
      </c>
      <c r="C1362" t="s">
        <v>21</v>
      </c>
      <c r="D1362" t="s">
        <v>4936</v>
      </c>
      <c r="E1362" t="s">
        <v>1076</v>
      </c>
      <c r="F1362" t="s">
        <v>432</v>
      </c>
      <c r="G1362" t="s">
        <v>24</v>
      </c>
      <c r="H1362" t="s">
        <v>4937</v>
      </c>
    </row>
    <row r="1363" spans="1:17" hidden="1" x14ac:dyDescent="0.25">
      <c r="A1363" t="s">
        <v>33</v>
      </c>
      <c r="B1363" t="s">
        <v>4938</v>
      </c>
      <c r="C1363" t="s">
        <v>29</v>
      </c>
      <c r="D1363" t="s">
        <v>4938</v>
      </c>
      <c r="E1363" t="s">
        <v>519</v>
      </c>
      <c r="F1363" t="s">
        <v>4939</v>
      </c>
      <c r="G1363" t="s">
        <v>24</v>
      </c>
      <c r="H1363" t="s">
        <v>4940</v>
      </c>
      <c r="I1363" t="s">
        <v>73</v>
      </c>
      <c r="Q1363" t="s">
        <v>75</v>
      </c>
    </row>
    <row r="1364" spans="1:17" hidden="1" x14ac:dyDescent="0.25">
      <c r="A1364" t="s">
        <v>33</v>
      </c>
      <c r="B1364" t="s">
        <v>4941</v>
      </c>
      <c r="C1364" t="s">
        <v>29</v>
      </c>
      <c r="D1364" t="s">
        <v>4941</v>
      </c>
      <c r="E1364" t="s">
        <v>1393</v>
      </c>
      <c r="F1364" t="s">
        <v>1424</v>
      </c>
      <c r="G1364" t="s">
        <v>24</v>
      </c>
      <c r="H1364" t="s">
        <v>4942</v>
      </c>
      <c r="P1364" t="s">
        <v>48</v>
      </c>
    </row>
    <row r="1365" spans="1:17" hidden="1" x14ac:dyDescent="0.25">
      <c r="A1365" t="s">
        <v>33</v>
      </c>
      <c r="B1365" t="s">
        <v>4943</v>
      </c>
      <c r="C1365" t="s">
        <v>21</v>
      </c>
      <c r="D1365" t="s">
        <v>4943</v>
      </c>
      <c r="E1365" t="s">
        <v>4944</v>
      </c>
      <c r="F1365" t="s">
        <v>4945</v>
      </c>
      <c r="G1365" t="s">
        <v>24</v>
      </c>
      <c r="H1365" t="s">
        <v>4946</v>
      </c>
      <c r="L1365" t="s">
        <v>53</v>
      </c>
      <c r="P1365" t="s">
        <v>48</v>
      </c>
    </row>
    <row r="1366" spans="1:17" hidden="1" x14ac:dyDescent="0.25">
      <c r="A1366" t="s">
        <v>33</v>
      </c>
      <c r="B1366" t="s">
        <v>4947</v>
      </c>
      <c r="C1366" t="s">
        <v>21</v>
      </c>
      <c r="D1366" t="s">
        <v>4947</v>
      </c>
      <c r="E1366" t="s">
        <v>4948</v>
      </c>
      <c r="F1366" t="s">
        <v>4949</v>
      </c>
      <c r="G1366" t="s">
        <v>24</v>
      </c>
      <c r="H1366" t="s">
        <v>4950</v>
      </c>
      <c r="I1366" t="s">
        <v>46</v>
      </c>
      <c r="L1366" t="s">
        <v>185</v>
      </c>
      <c r="Q1366" t="s">
        <v>48</v>
      </c>
    </row>
    <row r="1367" spans="1:17" hidden="1" x14ac:dyDescent="0.25">
      <c r="A1367" t="s">
        <v>33</v>
      </c>
      <c r="B1367" t="s">
        <v>4951</v>
      </c>
      <c r="C1367" t="s">
        <v>21</v>
      </c>
      <c r="D1367" t="s">
        <v>4951</v>
      </c>
      <c r="E1367" t="s">
        <v>1010</v>
      </c>
      <c r="F1367" t="s">
        <v>4952</v>
      </c>
      <c r="G1367" t="s">
        <v>24</v>
      </c>
      <c r="H1367" t="s">
        <v>4953</v>
      </c>
    </row>
    <row r="1368" spans="1:17" hidden="1" x14ac:dyDescent="0.25">
      <c r="A1368" t="s">
        <v>33</v>
      </c>
      <c r="B1368" t="s">
        <v>4954</v>
      </c>
      <c r="C1368" t="s">
        <v>21</v>
      </c>
      <c r="D1368" t="s">
        <v>4954</v>
      </c>
      <c r="E1368" t="s">
        <v>4955</v>
      </c>
      <c r="F1368" t="s">
        <v>4956</v>
      </c>
      <c r="G1368" t="s">
        <v>24</v>
      </c>
      <c r="H1368" t="s">
        <v>4957</v>
      </c>
      <c r="I1368" t="s">
        <v>46</v>
      </c>
      <c r="Q1368" t="s">
        <v>48</v>
      </c>
    </row>
    <row r="1369" spans="1:17" hidden="1" x14ac:dyDescent="0.25">
      <c r="A1369" t="s">
        <v>33</v>
      </c>
      <c r="B1369" t="s">
        <v>4958</v>
      </c>
      <c r="C1369" t="s">
        <v>21</v>
      </c>
      <c r="D1369" t="s">
        <v>4958</v>
      </c>
      <c r="E1369" t="s">
        <v>1749</v>
      </c>
      <c r="F1369" t="s">
        <v>1291</v>
      </c>
      <c r="G1369" t="s">
        <v>24</v>
      </c>
      <c r="H1369" t="s">
        <v>4959</v>
      </c>
      <c r="I1369" t="s">
        <v>46</v>
      </c>
      <c r="L1369" t="s">
        <v>3868</v>
      </c>
      <c r="Q1369" t="s">
        <v>48</v>
      </c>
    </row>
    <row r="1370" spans="1:17" hidden="1" x14ac:dyDescent="0.25">
      <c r="A1370" t="s">
        <v>33</v>
      </c>
      <c r="B1370" t="s">
        <v>4960</v>
      </c>
      <c r="C1370" t="s">
        <v>29</v>
      </c>
      <c r="D1370" t="s">
        <v>4961</v>
      </c>
      <c r="E1370" t="s">
        <v>796</v>
      </c>
      <c r="F1370" t="s">
        <v>4642</v>
      </c>
      <c r="G1370" t="s">
        <v>24</v>
      </c>
      <c r="H1370" t="s">
        <v>4962</v>
      </c>
    </row>
    <row r="1371" spans="1:17" hidden="1" x14ac:dyDescent="0.25">
      <c r="A1371" t="s">
        <v>33</v>
      </c>
      <c r="B1371" t="s">
        <v>4963</v>
      </c>
      <c r="C1371" t="s">
        <v>21</v>
      </c>
      <c r="D1371" t="s">
        <v>4963</v>
      </c>
      <c r="E1371" t="s">
        <v>4964</v>
      </c>
      <c r="F1371" t="s">
        <v>4540</v>
      </c>
      <c r="G1371" t="s">
        <v>24</v>
      </c>
      <c r="H1371" t="s">
        <v>4965</v>
      </c>
      <c r="I1371" t="s">
        <v>73</v>
      </c>
      <c r="Q1371" t="s">
        <v>75</v>
      </c>
    </row>
    <row r="1372" spans="1:17" hidden="1" x14ac:dyDescent="0.25">
      <c r="A1372" t="s">
        <v>33</v>
      </c>
      <c r="B1372" t="s">
        <v>4966</v>
      </c>
      <c r="C1372" t="s">
        <v>92</v>
      </c>
      <c r="D1372" t="s">
        <v>4966</v>
      </c>
      <c r="E1372" t="s">
        <v>131</v>
      </c>
      <c r="F1372" t="s">
        <v>4967</v>
      </c>
      <c r="G1372" t="s">
        <v>24</v>
      </c>
      <c r="H1372" t="s">
        <v>4968</v>
      </c>
      <c r="I1372" t="s">
        <v>73</v>
      </c>
      <c r="L1372" t="s">
        <v>1577</v>
      </c>
      <c r="Q1372" t="s">
        <v>75</v>
      </c>
    </row>
    <row r="1373" spans="1:17" hidden="1" x14ac:dyDescent="0.25">
      <c r="A1373" t="s">
        <v>19</v>
      </c>
      <c r="B1373" t="s">
        <v>4969</v>
      </c>
      <c r="C1373" t="s">
        <v>4970</v>
      </c>
      <c r="D1373" t="s">
        <v>4969</v>
      </c>
      <c r="E1373" t="s">
        <v>1357</v>
      </c>
      <c r="F1373" t="s">
        <v>3169</v>
      </c>
      <c r="G1373" t="s">
        <v>2391</v>
      </c>
      <c r="H1373" t="s">
        <v>4971</v>
      </c>
      <c r="I1373" t="s">
        <v>46</v>
      </c>
      <c r="L1373" t="s">
        <v>4972</v>
      </c>
      <c r="Q1373" t="s">
        <v>48</v>
      </c>
    </row>
    <row r="1374" spans="1:17" hidden="1" x14ac:dyDescent="0.25">
      <c r="A1374" t="s">
        <v>19</v>
      </c>
      <c r="B1374" t="s">
        <v>4973</v>
      </c>
      <c r="C1374" t="s">
        <v>4970</v>
      </c>
      <c r="D1374" t="s">
        <v>4973</v>
      </c>
      <c r="E1374" t="s">
        <v>4974</v>
      </c>
      <c r="F1374" t="s">
        <v>3239</v>
      </c>
      <c r="G1374" t="s">
        <v>2391</v>
      </c>
      <c r="H1374" t="s">
        <v>4975</v>
      </c>
      <c r="I1374" t="s">
        <v>46</v>
      </c>
      <c r="L1374" t="s">
        <v>4972</v>
      </c>
      <c r="Q1374" t="s">
        <v>48</v>
      </c>
    </row>
    <row r="1375" spans="1:17" hidden="1" x14ac:dyDescent="0.25">
      <c r="A1375" t="s">
        <v>19</v>
      </c>
      <c r="B1375" t="s">
        <v>4976</v>
      </c>
      <c r="C1375" t="s">
        <v>4970</v>
      </c>
      <c r="D1375" t="s">
        <v>4976</v>
      </c>
      <c r="E1375" t="s">
        <v>4038</v>
      </c>
      <c r="F1375" t="s">
        <v>1847</v>
      </c>
      <c r="G1375" t="s">
        <v>2391</v>
      </c>
      <c r="H1375" t="s">
        <v>4977</v>
      </c>
      <c r="I1375" t="s">
        <v>46</v>
      </c>
      <c r="L1375" t="s">
        <v>4972</v>
      </c>
      <c r="Q1375" t="s">
        <v>48</v>
      </c>
    </row>
    <row r="1376" spans="1:17" hidden="1" x14ac:dyDescent="0.25">
      <c r="A1376" t="s">
        <v>33</v>
      </c>
      <c r="B1376" t="s">
        <v>4978</v>
      </c>
      <c r="C1376" t="s">
        <v>21</v>
      </c>
      <c r="D1376" t="s">
        <v>4978</v>
      </c>
      <c r="E1376" t="s">
        <v>100</v>
      </c>
      <c r="F1376" t="s">
        <v>4979</v>
      </c>
      <c r="G1376" t="s">
        <v>24</v>
      </c>
      <c r="H1376" t="s">
        <v>4980</v>
      </c>
      <c r="I1376" t="s">
        <v>46</v>
      </c>
      <c r="L1376" t="s">
        <v>914</v>
      </c>
      <c r="Q1376" t="s">
        <v>48</v>
      </c>
    </row>
    <row r="1377" spans="1:17" hidden="1" x14ac:dyDescent="0.25">
      <c r="A1377" t="s">
        <v>33</v>
      </c>
      <c r="B1377" t="s">
        <v>4981</v>
      </c>
      <c r="C1377" t="s">
        <v>21</v>
      </c>
      <c r="D1377" t="s">
        <v>4981</v>
      </c>
      <c r="E1377" t="s">
        <v>710</v>
      </c>
      <c r="F1377" t="s">
        <v>4278</v>
      </c>
      <c r="G1377" t="s">
        <v>24</v>
      </c>
      <c r="H1377" t="s">
        <v>4982</v>
      </c>
    </row>
    <row r="1378" spans="1:17" hidden="1" x14ac:dyDescent="0.25">
      <c r="A1378" t="s">
        <v>33</v>
      </c>
      <c r="B1378" t="s">
        <v>4983</v>
      </c>
      <c r="C1378" t="s">
        <v>29</v>
      </c>
      <c r="D1378" t="s">
        <v>4983</v>
      </c>
      <c r="E1378" t="s">
        <v>424</v>
      </c>
      <c r="F1378" t="s">
        <v>4984</v>
      </c>
      <c r="G1378" t="s">
        <v>24</v>
      </c>
      <c r="H1378" t="s">
        <v>4985</v>
      </c>
      <c r="I1378" t="s">
        <v>46</v>
      </c>
      <c r="L1378" t="s">
        <v>190</v>
      </c>
      <c r="Q1378" t="s">
        <v>48</v>
      </c>
    </row>
    <row r="1379" spans="1:17" hidden="1" x14ac:dyDescent="0.25">
      <c r="A1379" t="s">
        <v>33</v>
      </c>
      <c r="B1379" t="s">
        <v>4986</v>
      </c>
      <c r="C1379" t="s">
        <v>21</v>
      </c>
      <c r="D1379" t="s">
        <v>4986</v>
      </c>
      <c r="E1379" t="s">
        <v>4987</v>
      </c>
      <c r="F1379" t="s">
        <v>4988</v>
      </c>
      <c r="G1379" t="s">
        <v>24</v>
      </c>
      <c r="H1379" t="s">
        <v>4989</v>
      </c>
      <c r="I1379" t="s">
        <v>73</v>
      </c>
      <c r="L1379" t="s">
        <v>185</v>
      </c>
      <c r="Q1379" t="s">
        <v>75</v>
      </c>
    </row>
    <row r="1380" spans="1:17" hidden="1" x14ac:dyDescent="0.25">
      <c r="A1380" t="s">
        <v>33</v>
      </c>
      <c r="B1380" t="s">
        <v>4990</v>
      </c>
      <c r="C1380" t="s">
        <v>29</v>
      </c>
      <c r="D1380" t="s">
        <v>4990</v>
      </c>
      <c r="E1380" t="s">
        <v>3645</v>
      </c>
      <c r="F1380" t="s">
        <v>4991</v>
      </c>
      <c r="G1380" t="s">
        <v>24</v>
      </c>
      <c r="H1380" t="s">
        <v>4992</v>
      </c>
      <c r="I1380" t="s">
        <v>73</v>
      </c>
      <c r="L1380" t="s">
        <v>601</v>
      </c>
      <c r="Q1380" t="s">
        <v>75</v>
      </c>
    </row>
    <row r="1381" spans="1:17" hidden="1" x14ac:dyDescent="0.25">
      <c r="A1381" t="s">
        <v>33</v>
      </c>
      <c r="B1381" t="s">
        <v>4993</v>
      </c>
      <c r="C1381" t="s">
        <v>21</v>
      </c>
      <c r="D1381" t="s">
        <v>4993</v>
      </c>
      <c r="E1381" t="s">
        <v>4994</v>
      </c>
      <c r="F1381" t="s">
        <v>4995</v>
      </c>
      <c r="G1381" t="s">
        <v>24</v>
      </c>
      <c r="H1381" t="s">
        <v>4996</v>
      </c>
      <c r="L1381" t="s">
        <v>53</v>
      </c>
      <c r="P1381" t="s">
        <v>48</v>
      </c>
    </row>
    <row r="1382" spans="1:17" hidden="1" x14ac:dyDescent="0.25">
      <c r="A1382" t="s">
        <v>33</v>
      </c>
      <c r="B1382" t="s">
        <v>4997</v>
      </c>
      <c r="C1382" t="s">
        <v>21</v>
      </c>
      <c r="D1382" t="s">
        <v>4997</v>
      </c>
      <c r="E1382" t="s">
        <v>334</v>
      </c>
      <c r="F1382" t="s">
        <v>4998</v>
      </c>
      <c r="G1382" t="s">
        <v>24</v>
      </c>
      <c r="H1382" t="s">
        <v>4999</v>
      </c>
      <c r="I1382" t="s">
        <v>46</v>
      </c>
      <c r="L1382" t="s">
        <v>317</v>
      </c>
      <c r="Q1382" t="s">
        <v>48</v>
      </c>
    </row>
    <row r="1383" spans="1:17" hidden="1" x14ac:dyDescent="0.25">
      <c r="A1383" t="s">
        <v>33</v>
      </c>
      <c r="B1383" t="s">
        <v>5000</v>
      </c>
      <c r="C1383" t="s">
        <v>21</v>
      </c>
      <c r="D1383" t="s">
        <v>5000</v>
      </c>
      <c r="E1383" t="s">
        <v>145</v>
      </c>
      <c r="F1383" t="s">
        <v>5001</v>
      </c>
      <c r="G1383" t="s">
        <v>24</v>
      </c>
      <c r="H1383" t="s">
        <v>5002</v>
      </c>
      <c r="I1383" t="s">
        <v>73</v>
      </c>
      <c r="L1383" t="s">
        <v>1042</v>
      </c>
      <c r="Q1383" t="s">
        <v>75</v>
      </c>
    </row>
    <row r="1384" spans="1:17" hidden="1" x14ac:dyDescent="0.25">
      <c r="A1384" t="s">
        <v>33</v>
      </c>
      <c r="B1384" t="s">
        <v>5003</v>
      </c>
      <c r="C1384" t="s">
        <v>21</v>
      </c>
      <c r="D1384" t="s">
        <v>5003</v>
      </c>
      <c r="E1384" t="s">
        <v>135</v>
      </c>
      <c r="F1384" t="s">
        <v>5004</v>
      </c>
      <c r="G1384" t="s">
        <v>24</v>
      </c>
      <c r="H1384" t="s">
        <v>5005</v>
      </c>
    </row>
    <row r="1385" spans="1:17" hidden="1" x14ac:dyDescent="0.25">
      <c r="A1385" t="s">
        <v>33</v>
      </c>
      <c r="B1385" t="s">
        <v>5006</v>
      </c>
      <c r="C1385" t="s">
        <v>29</v>
      </c>
      <c r="D1385" t="s">
        <v>5007</v>
      </c>
      <c r="E1385" t="s">
        <v>939</v>
      </c>
      <c r="F1385" t="s">
        <v>5008</v>
      </c>
      <c r="G1385" t="s">
        <v>24</v>
      </c>
      <c r="H1385" t="s">
        <v>5009</v>
      </c>
      <c r="I1385" t="s">
        <v>73</v>
      </c>
      <c r="L1385" t="s">
        <v>601</v>
      </c>
      <c r="Q1385" t="s">
        <v>75</v>
      </c>
    </row>
    <row r="1386" spans="1:17" hidden="1" x14ac:dyDescent="0.25">
      <c r="A1386" t="s">
        <v>33</v>
      </c>
      <c r="B1386" t="s">
        <v>5010</v>
      </c>
      <c r="C1386" t="s">
        <v>21</v>
      </c>
      <c r="D1386" t="s">
        <v>5010</v>
      </c>
      <c r="E1386" t="s">
        <v>3549</v>
      </c>
      <c r="F1386" t="s">
        <v>922</v>
      </c>
      <c r="G1386" t="s">
        <v>24</v>
      </c>
      <c r="H1386" t="s">
        <v>5011</v>
      </c>
      <c r="I1386" t="s">
        <v>73</v>
      </c>
      <c r="L1386" t="s">
        <v>207</v>
      </c>
      <c r="Q1386" t="s">
        <v>75</v>
      </c>
    </row>
    <row r="1387" spans="1:17" hidden="1" x14ac:dyDescent="0.25">
      <c r="A1387" t="s">
        <v>33</v>
      </c>
      <c r="B1387" t="s">
        <v>5012</v>
      </c>
      <c r="C1387" t="s">
        <v>21</v>
      </c>
      <c r="D1387" t="s">
        <v>5012</v>
      </c>
      <c r="E1387" t="s">
        <v>5013</v>
      </c>
      <c r="F1387" t="s">
        <v>2712</v>
      </c>
      <c r="G1387" t="s">
        <v>24</v>
      </c>
      <c r="H1387" t="s">
        <v>5014</v>
      </c>
      <c r="I1387" t="s">
        <v>73</v>
      </c>
      <c r="L1387" t="s">
        <v>2014</v>
      </c>
      <c r="Q1387" t="s">
        <v>75</v>
      </c>
    </row>
    <row r="1388" spans="1:17" hidden="1" x14ac:dyDescent="0.25">
      <c r="A1388" t="s">
        <v>33</v>
      </c>
      <c r="B1388" t="s">
        <v>5015</v>
      </c>
      <c r="C1388" t="s">
        <v>21</v>
      </c>
      <c r="D1388" t="s">
        <v>5015</v>
      </c>
      <c r="E1388" t="s">
        <v>5016</v>
      </c>
      <c r="F1388" t="s">
        <v>5017</v>
      </c>
      <c r="G1388" t="s">
        <v>24</v>
      </c>
      <c r="H1388" t="s">
        <v>5018</v>
      </c>
      <c r="I1388" t="s">
        <v>73</v>
      </c>
      <c r="L1388" t="s">
        <v>2762</v>
      </c>
      <c r="Q1388" t="s">
        <v>75</v>
      </c>
    </row>
    <row r="1389" spans="1:17" hidden="1" x14ac:dyDescent="0.25">
      <c r="A1389" t="s">
        <v>33</v>
      </c>
      <c r="B1389" t="s">
        <v>5019</v>
      </c>
      <c r="C1389" t="s">
        <v>21</v>
      </c>
      <c r="D1389" t="s">
        <v>5019</v>
      </c>
      <c r="E1389" t="s">
        <v>131</v>
      </c>
      <c r="F1389" t="s">
        <v>5020</v>
      </c>
      <c r="G1389" t="s">
        <v>24</v>
      </c>
      <c r="H1389" t="s">
        <v>5021</v>
      </c>
    </row>
    <row r="1390" spans="1:17" hidden="1" x14ac:dyDescent="0.25">
      <c r="A1390" t="s">
        <v>33</v>
      </c>
      <c r="B1390" t="s">
        <v>5022</v>
      </c>
      <c r="C1390" t="s">
        <v>21</v>
      </c>
      <c r="D1390" t="s">
        <v>5022</v>
      </c>
      <c r="E1390" t="s">
        <v>4304</v>
      </c>
      <c r="F1390" t="s">
        <v>330</v>
      </c>
      <c r="G1390" t="s">
        <v>24</v>
      </c>
      <c r="H1390" t="s">
        <v>5023</v>
      </c>
      <c r="I1390" t="s">
        <v>73</v>
      </c>
      <c r="L1390" t="s">
        <v>38</v>
      </c>
      <c r="Q1390" t="s">
        <v>75</v>
      </c>
    </row>
    <row r="1391" spans="1:17" hidden="1" x14ac:dyDescent="0.25">
      <c r="A1391" t="s">
        <v>33</v>
      </c>
      <c r="B1391" t="s">
        <v>5024</v>
      </c>
      <c r="C1391" t="s">
        <v>29</v>
      </c>
      <c r="D1391" t="s">
        <v>5024</v>
      </c>
      <c r="E1391" t="s">
        <v>2281</v>
      </c>
      <c r="F1391" t="s">
        <v>854</v>
      </c>
      <c r="G1391" t="s">
        <v>24</v>
      </c>
      <c r="H1391" t="s">
        <v>5025</v>
      </c>
      <c r="I1391" t="s">
        <v>73</v>
      </c>
      <c r="L1391" t="s">
        <v>5026</v>
      </c>
      <c r="Q1391" t="s">
        <v>75</v>
      </c>
    </row>
    <row r="1392" spans="1:17" hidden="1" x14ac:dyDescent="0.25">
      <c r="A1392" t="s">
        <v>33</v>
      </c>
      <c r="B1392" t="s">
        <v>5027</v>
      </c>
      <c r="C1392" t="s">
        <v>21</v>
      </c>
      <c r="D1392" t="s">
        <v>5027</v>
      </c>
      <c r="E1392" t="s">
        <v>5028</v>
      </c>
      <c r="F1392" t="s">
        <v>5029</v>
      </c>
      <c r="G1392" t="s">
        <v>24</v>
      </c>
      <c r="H1392" t="s">
        <v>5030</v>
      </c>
      <c r="I1392" t="s">
        <v>46</v>
      </c>
      <c r="L1392" t="s">
        <v>119</v>
      </c>
      <c r="Q1392" t="s">
        <v>48</v>
      </c>
    </row>
    <row r="1393" spans="1:17" hidden="1" x14ac:dyDescent="0.25">
      <c r="A1393" t="s">
        <v>33</v>
      </c>
      <c r="B1393" t="s">
        <v>5031</v>
      </c>
      <c r="C1393" t="s">
        <v>21</v>
      </c>
      <c r="D1393" t="s">
        <v>5031</v>
      </c>
      <c r="E1393" t="s">
        <v>135</v>
      </c>
      <c r="F1393" t="s">
        <v>2831</v>
      </c>
      <c r="G1393" t="s">
        <v>24</v>
      </c>
      <c r="H1393" t="s">
        <v>5032</v>
      </c>
      <c r="I1393" t="s">
        <v>46</v>
      </c>
      <c r="L1393" t="s">
        <v>74</v>
      </c>
      <c r="Q1393" t="s">
        <v>48</v>
      </c>
    </row>
    <row r="1394" spans="1:17" hidden="1" x14ac:dyDescent="0.25">
      <c r="A1394" t="s">
        <v>33</v>
      </c>
      <c r="B1394" t="s">
        <v>5033</v>
      </c>
      <c r="C1394" t="s">
        <v>29</v>
      </c>
      <c r="D1394" t="s">
        <v>5033</v>
      </c>
      <c r="E1394" t="s">
        <v>757</v>
      </c>
      <c r="F1394" t="s">
        <v>5034</v>
      </c>
      <c r="G1394" t="s">
        <v>24</v>
      </c>
      <c r="H1394" t="s">
        <v>5035</v>
      </c>
      <c r="I1394" t="s">
        <v>46</v>
      </c>
      <c r="L1394" t="s">
        <v>511</v>
      </c>
      <c r="Q1394" t="s">
        <v>48</v>
      </c>
    </row>
    <row r="1395" spans="1:17" hidden="1" x14ac:dyDescent="0.25">
      <c r="A1395" t="s">
        <v>33</v>
      </c>
      <c r="B1395" t="s">
        <v>5036</v>
      </c>
      <c r="C1395" t="s">
        <v>29</v>
      </c>
      <c r="D1395" t="s">
        <v>5036</v>
      </c>
      <c r="E1395" t="s">
        <v>3222</v>
      </c>
      <c r="F1395" t="s">
        <v>4133</v>
      </c>
      <c r="G1395" t="s">
        <v>24</v>
      </c>
      <c r="H1395" t="s">
        <v>5037</v>
      </c>
    </row>
    <row r="1396" spans="1:17" hidden="1" x14ac:dyDescent="0.25">
      <c r="A1396" t="s">
        <v>33</v>
      </c>
      <c r="B1396" t="s">
        <v>5038</v>
      </c>
      <c r="C1396" t="s">
        <v>21</v>
      </c>
      <c r="D1396" t="s">
        <v>5038</v>
      </c>
      <c r="E1396" t="s">
        <v>5039</v>
      </c>
      <c r="F1396" t="s">
        <v>5040</v>
      </c>
      <c r="G1396" t="s">
        <v>24</v>
      </c>
      <c r="H1396" t="s">
        <v>5041</v>
      </c>
      <c r="I1396" t="s">
        <v>46</v>
      </c>
      <c r="L1396" t="s">
        <v>3868</v>
      </c>
      <c r="Q1396" t="s">
        <v>48</v>
      </c>
    </row>
    <row r="1397" spans="1:17" hidden="1" x14ac:dyDescent="0.25">
      <c r="A1397" t="s">
        <v>33</v>
      </c>
      <c r="B1397" t="s">
        <v>5042</v>
      </c>
      <c r="C1397" t="s">
        <v>21</v>
      </c>
      <c r="D1397" t="s">
        <v>5042</v>
      </c>
      <c r="E1397" t="s">
        <v>5043</v>
      </c>
      <c r="F1397" t="s">
        <v>5044</v>
      </c>
      <c r="G1397" t="s">
        <v>24</v>
      </c>
      <c r="H1397" t="s">
        <v>5045</v>
      </c>
      <c r="I1397" t="s">
        <v>46</v>
      </c>
      <c r="L1397" t="s">
        <v>292</v>
      </c>
      <c r="Q1397" t="s">
        <v>48</v>
      </c>
    </row>
    <row r="1398" spans="1:17" hidden="1" x14ac:dyDescent="0.25">
      <c r="A1398" t="s">
        <v>33</v>
      </c>
      <c r="B1398" t="s">
        <v>5046</v>
      </c>
      <c r="C1398" t="s">
        <v>29</v>
      </c>
      <c r="D1398" t="s">
        <v>5046</v>
      </c>
      <c r="E1398" t="s">
        <v>5047</v>
      </c>
      <c r="F1398" t="s">
        <v>5048</v>
      </c>
      <c r="G1398" t="s">
        <v>24</v>
      </c>
      <c r="H1398" t="s">
        <v>5049</v>
      </c>
      <c r="I1398" t="s">
        <v>46</v>
      </c>
      <c r="Q1398" t="s">
        <v>48</v>
      </c>
    </row>
    <row r="1399" spans="1:17" hidden="1" x14ac:dyDescent="0.25">
      <c r="A1399" t="s">
        <v>33</v>
      </c>
      <c r="B1399" t="s">
        <v>5050</v>
      </c>
      <c r="C1399" t="s">
        <v>29</v>
      </c>
      <c r="D1399" t="s">
        <v>5050</v>
      </c>
      <c r="E1399" t="s">
        <v>5051</v>
      </c>
      <c r="F1399" t="s">
        <v>5052</v>
      </c>
      <c r="G1399" t="s">
        <v>24</v>
      </c>
      <c r="H1399" t="s">
        <v>5053</v>
      </c>
      <c r="I1399" t="s">
        <v>73</v>
      </c>
      <c r="L1399" t="s">
        <v>511</v>
      </c>
      <c r="Q1399" t="s">
        <v>75</v>
      </c>
    </row>
    <row r="1400" spans="1:17" hidden="1" x14ac:dyDescent="0.25">
      <c r="A1400" t="s">
        <v>33</v>
      </c>
      <c r="B1400" t="s">
        <v>5054</v>
      </c>
      <c r="C1400" t="s">
        <v>29</v>
      </c>
      <c r="D1400" t="s">
        <v>5054</v>
      </c>
      <c r="E1400" t="s">
        <v>5055</v>
      </c>
      <c r="F1400" t="s">
        <v>5056</v>
      </c>
      <c r="G1400" t="s">
        <v>24</v>
      </c>
      <c r="H1400" t="s">
        <v>5057</v>
      </c>
      <c r="I1400" t="s">
        <v>46</v>
      </c>
      <c r="L1400" t="s">
        <v>511</v>
      </c>
      <c r="Q1400" t="s">
        <v>48</v>
      </c>
    </row>
    <row r="1401" spans="1:17" hidden="1" x14ac:dyDescent="0.25">
      <c r="A1401" t="s">
        <v>33</v>
      </c>
      <c r="B1401" t="s">
        <v>5058</v>
      </c>
      <c r="C1401" t="s">
        <v>21</v>
      </c>
      <c r="D1401" t="s">
        <v>5058</v>
      </c>
      <c r="E1401" t="s">
        <v>400</v>
      </c>
      <c r="F1401" t="s">
        <v>5059</v>
      </c>
      <c r="G1401" t="s">
        <v>24</v>
      </c>
      <c r="H1401" t="s">
        <v>5060</v>
      </c>
      <c r="I1401" t="s">
        <v>46</v>
      </c>
      <c r="L1401" t="s">
        <v>5061</v>
      </c>
      <c r="Q1401" t="s">
        <v>48</v>
      </c>
    </row>
    <row r="1402" spans="1:17" hidden="1" x14ac:dyDescent="0.25">
      <c r="A1402" t="s">
        <v>33</v>
      </c>
      <c r="B1402" t="s">
        <v>5062</v>
      </c>
      <c r="C1402" t="s">
        <v>21</v>
      </c>
      <c r="D1402" t="s">
        <v>5062</v>
      </c>
      <c r="E1402" t="s">
        <v>70</v>
      </c>
      <c r="F1402" t="s">
        <v>5063</v>
      </c>
      <c r="G1402" t="s">
        <v>24</v>
      </c>
      <c r="H1402" t="s">
        <v>5064</v>
      </c>
      <c r="I1402" t="s">
        <v>96</v>
      </c>
      <c r="L1402" t="s">
        <v>148</v>
      </c>
      <c r="Q1402" t="s">
        <v>98</v>
      </c>
    </row>
    <row r="1403" spans="1:17" x14ac:dyDescent="0.25">
      <c r="A1403" t="s">
        <v>33</v>
      </c>
      <c r="B1403" t="s">
        <v>5065</v>
      </c>
      <c r="C1403" t="s">
        <v>21</v>
      </c>
      <c r="D1403" t="s">
        <v>5065</v>
      </c>
      <c r="E1403" t="s">
        <v>5066</v>
      </c>
      <c r="F1403" t="s">
        <v>1376</v>
      </c>
      <c r="G1403" t="s">
        <v>24</v>
      </c>
      <c r="H1403" t="s">
        <v>5067</v>
      </c>
      <c r="I1403" t="s">
        <v>118</v>
      </c>
      <c r="L1403" t="s">
        <v>119</v>
      </c>
      <c r="Q1403" t="s">
        <v>120</v>
      </c>
    </row>
    <row r="1404" spans="1:17" hidden="1" x14ac:dyDescent="0.25">
      <c r="A1404" t="s">
        <v>33</v>
      </c>
      <c r="B1404" t="s">
        <v>5068</v>
      </c>
      <c r="C1404" t="s">
        <v>21</v>
      </c>
      <c r="D1404" t="s">
        <v>5068</v>
      </c>
      <c r="E1404" t="s">
        <v>60</v>
      </c>
      <c r="F1404" t="s">
        <v>5069</v>
      </c>
      <c r="G1404" t="s">
        <v>24</v>
      </c>
      <c r="H1404" t="s">
        <v>5070</v>
      </c>
      <c r="I1404" t="s">
        <v>73</v>
      </c>
      <c r="L1404" t="s">
        <v>4302</v>
      </c>
      <c r="Q1404" t="s">
        <v>75</v>
      </c>
    </row>
    <row r="1405" spans="1:17" hidden="1" x14ac:dyDescent="0.25">
      <c r="A1405" t="s">
        <v>33</v>
      </c>
      <c r="B1405" t="s">
        <v>5071</v>
      </c>
      <c r="C1405" t="s">
        <v>21</v>
      </c>
      <c r="D1405" t="s">
        <v>5071</v>
      </c>
      <c r="E1405" t="s">
        <v>5072</v>
      </c>
      <c r="F1405" t="s">
        <v>5073</v>
      </c>
      <c r="G1405" t="s">
        <v>24</v>
      </c>
      <c r="H1405" t="s">
        <v>5074</v>
      </c>
      <c r="I1405" t="s">
        <v>73</v>
      </c>
      <c r="L1405" t="s">
        <v>2592</v>
      </c>
      <c r="Q1405" t="s">
        <v>75</v>
      </c>
    </row>
    <row r="1406" spans="1:17" hidden="1" x14ac:dyDescent="0.25">
      <c r="A1406" t="s">
        <v>33</v>
      </c>
      <c r="B1406" t="s">
        <v>5075</v>
      </c>
      <c r="C1406" t="s">
        <v>29</v>
      </c>
      <c r="D1406" t="s">
        <v>5076</v>
      </c>
      <c r="E1406" t="s">
        <v>778</v>
      </c>
      <c r="F1406" t="s">
        <v>2717</v>
      </c>
      <c r="G1406" t="s">
        <v>24</v>
      </c>
      <c r="H1406" t="s">
        <v>5077</v>
      </c>
      <c r="L1406" t="s">
        <v>861</v>
      </c>
    </row>
    <row r="1407" spans="1:17" hidden="1" x14ac:dyDescent="0.25">
      <c r="A1407" t="s">
        <v>33</v>
      </c>
      <c r="B1407" t="s">
        <v>5078</v>
      </c>
      <c r="C1407" t="s">
        <v>21</v>
      </c>
      <c r="D1407" t="s">
        <v>5078</v>
      </c>
      <c r="E1407" t="s">
        <v>209</v>
      </c>
      <c r="F1407" t="s">
        <v>5079</v>
      </c>
      <c r="G1407" t="s">
        <v>24</v>
      </c>
      <c r="H1407" t="s">
        <v>5080</v>
      </c>
    </row>
    <row r="1408" spans="1:17" hidden="1" x14ac:dyDescent="0.25">
      <c r="A1408" t="s">
        <v>33</v>
      </c>
      <c r="B1408" t="s">
        <v>5081</v>
      </c>
      <c r="C1408" t="s">
        <v>21</v>
      </c>
      <c r="D1408" t="s">
        <v>5081</v>
      </c>
      <c r="E1408" t="s">
        <v>1706</v>
      </c>
      <c r="F1408" t="s">
        <v>5082</v>
      </c>
      <c r="G1408" t="s">
        <v>24</v>
      </c>
      <c r="H1408" t="s">
        <v>5083</v>
      </c>
      <c r="I1408" t="s">
        <v>46</v>
      </c>
      <c r="L1408" t="s">
        <v>74</v>
      </c>
      <c r="Q1408" t="s">
        <v>48</v>
      </c>
    </row>
    <row r="1409" spans="1:17" hidden="1" x14ac:dyDescent="0.25">
      <c r="A1409" t="s">
        <v>33</v>
      </c>
      <c r="B1409" t="s">
        <v>5084</v>
      </c>
      <c r="C1409" t="s">
        <v>21</v>
      </c>
      <c r="D1409" t="s">
        <v>5084</v>
      </c>
      <c r="E1409" t="s">
        <v>87</v>
      </c>
      <c r="F1409" t="s">
        <v>5085</v>
      </c>
      <c r="G1409" t="s">
        <v>24</v>
      </c>
      <c r="H1409" t="s">
        <v>5086</v>
      </c>
    </row>
    <row r="1410" spans="1:17" hidden="1" x14ac:dyDescent="0.25">
      <c r="A1410" t="s">
        <v>33</v>
      </c>
      <c r="B1410" t="s">
        <v>5087</v>
      </c>
      <c r="C1410" t="s">
        <v>92</v>
      </c>
      <c r="D1410" t="s">
        <v>5087</v>
      </c>
      <c r="E1410" t="s">
        <v>1968</v>
      </c>
      <c r="F1410" t="s">
        <v>5088</v>
      </c>
      <c r="G1410" t="s">
        <v>24</v>
      </c>
      <c r="H1410" t="s">
        <v>5089</v>
      </c>
      <c r="I1410" t="s">
        <v>46</v>
      </c>
      <c r="L1410" t="s">
        <v>4057</v>
      </c>
      <c r="Q1410" t="s">
        <v>48</v>
      </c>
    </row>
    <row r="1411" spans="1:17" hidden="1" x14ac:dyDescent="0.25">
      <c r="A1411" t="s">
        <v>33</v>
      </c>
      <c r="B1411" t="s">
        <v>5090</v>
      </c>
      <c r="C1411" t="s">
        <v>29</v>
      </c>
      <c r="D1411" t="s">
        <v>5090</v>
      </c>
      <c r="E1411" t="s">
        <v>3283</v>
      </c>
      <c r="F1411" t="s">
        <v>4503</v>
      </c>
      <c r="G1411" t="s">
        <v>24</v>
      </c>
      <c r="H1411" t="s">
        <v>5091</v>
      </c>
      <c r="I1411" t="s">
        <v>46</v>
      </c>
      <c r="L1411" t="s">
        <v>397</v>
      </c>
      <c r="Q1411" t="s">
        <v>48</v>
      </c>
    </row>
    <row r="1412" spans="1:17" hidden="1" x14ac:dyDescent="0.25">
      <c r="A1412" t="s">
        <v>33</v>
      </c>
      <c r="B1412" t="s">
        <v>5092</v>
      </c>
      <c r="C1412" t="s">
        <v>21</v>
      </c>
      <c r="D1412" t="s">
        <v>5092</v>
      </c>
      <c r="E1412" t="s">
        <v>5093</v>
      </c>
      <c r="F1412" t="s">
        <v>5094</v>
      </c>
      <c r="G1412" t="s">
        <v>24</v>
      </c>
      <c r="H1412" t="s">
        <v>5095</v>
      </c>
    </row>
    <row r="1413" spans="1:17" hidden="1" x14ac:dyDescent="0.25">
      <c r="A1413" t="s">
        <v>33</v>
      </c>
      <c r="B1413" t="s">
        <v>5096</v>
      </c>
      <c r="C1413" t="s">
        <v>29</v>
      </c>
      <c r="D1413" t="s">
        <v>5096</v>
      </c>
      <c r="E1413" t="s">
        <v>5097</v>
      </c>
      <c r="F1413" t="s">
        <v>5098</v>
      </c>
      <c r="G1413" t="s">
        <v>24</v>
      </c>
      <c r="H1413" t="s">
        <v>5099</v>
      </c>
      <c r="I1413" t="s">
        <v>73</v>
      </c>
      <c r="L1413" t="s">
        <v>3808</v>
      </c>
      <c r="Q1413" t="s">
        <v>75</v>
      </c>
    </row>
    <row r="1414" spans="1:17" hidden="1" x14ac:dyDescent="0.25">
      <c r="A1414" t="s">
        <v>33</v>
      </c>
      <c r="B1414" t="s">
        <v>5100</v>
      </c>
      <c r="C1414" t="s">
        <v>21</v>
      </c>
      <c r="D1414" t="s">
        <v>5100</v>
      </c>
      <c r="E1414" t="s">
        <v>5101</v>
      </c>
      <c r="F1414" t="s">
        <v>5102</v>
      </c>
      <c r="G1414" t="s">
        <v>24</v>
      </c>
      <c r="H1414" t="s">
        <v>5103</v>
      </c>
      <c r="I1414" t="s">
        <v>46</v>
      </c>
      <c r="L1414" t="s">
        <v>1042</v>
      </c>
      <c r="Q1414" t="s">
        <v>48</v>
      </c>
    </row>
    <row r="1415" spans="1:17" hidden="1" x14ac:dyDescent="0.25">
      <c r="A1415" t="s">
        <v>33</v>
      </c>
      <c r="B1415" t="s">
        <v>5104</v>
      </c>
      <c r="C1415" t="s">
        <v>29</v>
      </c>
      <c r="D1415" t="s">
        <v>5104</v>
      </c>
      <c r="E1415" t="s">
        <v>4567</v>
      </c>
      <c r="F1415" t="s">
        <v>5105</v>
      </c>
      <c r="G1415" t="s">
        <v>24</v>
      </c>
      <c r="H1415" t="s">
        <v>5106</v>
      </c>
    </row>
    <row r="1416" spans="1:17" hidden="1" x14ac:dyDescent="0.25">
      <c r="A1416" t="s">
        <v>33</v>
      </c>
      <c r="B1416" t="s">
        <v>5107</v>
      </c>
      <c r="C1416" t="s">
        <v>21</v>
      </c>
      <c r="D1416" t="s">
        <v>5107</v>
      </c>
      <c r="E1416" t="s">
        <v>710</v>
      </c>
      <c r="F1416" t="s">
        <v>5108</v>
      </c>
      <c r="G1416" t="s">
        <v>24</v>
      </c>
      <c r="H1416" t="s">
        <v>5109</v>
      </c>
      <c r="I1416" t="s">
        <v>46</v>
      </c>
      <c r="L1416" t="s">
        <v>3868</v>
      </c>
      <c r="Q1416" t="s">
        <v>48</v>
      </c>
    </row>
    <row r="1417" spans="1:17" hidden="1" x14ac:dyDescent="0.25">
      <c r="A1417" t="s">
        <v>33</v>
      </c>
      <c r="B1417" t="s">
        <v>5110</v>
      </c>
      <c r="C1417" t="s">
        <v>21</v>
      </c>
      <c r="D1417" t="s">
        <v>5110</v>
      </c>
      <c r="E1417" t="s">
        <v>5111</v>
      </c>
      <c r="F1417" t="s">
        <v>5112</v>
      </c>
      <c r="G1417" t="s">
        <v>24</v>
      </c>
      <c r="H1417" t="s">
        <v>5113</v>
      </c>
      <c r="I1417" t="s">
        <v>46</v>
      </c>
      <c r="L1417" t="s">
        <v>185</v>
      </c>
      <c r="Q1417" t="s">
        <v>48</v>
      </c>
    </row>
    <row r="1418" spans="1:17" hidden="1" x14ac:dyDescent="0.25">
      <c r="A1418" t="s">
        <v>33</v>
      </c>
      <c r="B1418" t="s">
        <v>5114</v>
      </c>
      <c r="C1418" t="s">
        <v>29</v>
      </c>
      <c r="D1418" t="s">
        <v>5114</v>
      </c>
      <c r="E1418" t="s">
        <v>4527</v>
      </c>
      <c r="F1418" t="s">
        <v>5115</v>
      </c>
      <c r="G1418" t="s">
        <v>24</v>
      </c>
      <c r="H1418" t="s">
        <v>5116</v>
      </c>
      <c r="I1418" t="s">
        <v>73</v>
      </c>
      <c r="L1418" t="s">
        <v>246</v>
      </c>
      <c r="Q1418" t="s">
        <v>75</v>
      </c>
    </row>
    <row r="1419" spans="1:17" hidden="1" x14ac:dyDescent="0.25">
      <c r="A1419" t="s">
        <v>33</v>
      </c>
      <c r="B1419" t="s">
        <v>5117</v>
      </c>
      <c r="C1419" t="s">
        <v>21</v>
      </c>
      <c r="D1419" t="s">
        <v>5117</v>
      </c>
      <c r="E1419" t="s">
        <v>1484</v>
      </c>
      <c r="F1419" t="s">
        <v>5118</v>
      </c>
      <c r="G1419" t="s">
        <v>24</v>
      </c>
      <c r="H1419" t="s">
        <v>5119</v>
      </c>
      <c r="I1419" t="s">
        <v>46</v>
      </c>
      <c r="L1419" t="s">
        <v>3868</v>
      </c>
      <c r="Q1419" t="s">
        <v>48</v>
      </c>
    </row>
    <row r="1420" spans="1:17" hidden="1" x14ac:dyDescent="0.25">
      <c r="A1420" t="s">
        <v>33</v>
      </c>
      <c r="B1420" t="s">
        <v>5120</v>
      </c>
      <c r="C1420" t="s">
        <v>29</v>
      </c>
      <c r="D1420" t="s">
        <v>5120</v>
      </c>
      <c r="E1420" t="s">
        <v>5121</v>
      </c>
      <c r="F1420" t="s">
        <v>5122</v>
      </c>
      <c r="G1420" t="s">
        <v>24</v>
      </c>
      <c r="H1420" t="s">
        <v>5123</v>
      </c>
      <c r="I1420" t="s">
        <v>46</v>
      </c>
      <c r="L1420" t="s">
        <v>2312</v>
      </c>
      <c r="Q1420" t="s">
        <v>48</v>
      </c>
    </row>
    <row r="1421" spans="1:17" hidden="1" x14ac:dyDescent="0.25">
      <c r="A1421" t="s">
        <v>33</v>
      </c>
      <c r="B1421" t="s">
        <v>5124</v>
      </c>
      <c r="C1421" t="s">
        <v>29</v>
      </c>
      <c r="D1421" t="s">
        <v>5124</v>
      </c>
      <c r="E1421" t="s">
        <v>5125</v>
      </c>
      <c r="F1421" t="s">
        <v>5126</v>
      </c>
      <c r="G1421" t="s">
        <v>24</v>
      </c>
      <c r="H1421" t="s">
        <v>5127</v>
      </c>
    </row>
    <row r="1422" spans="1:17" hidden="1" x14ac:dyDescent="0.25">
      <c r="A1422" t="s">
        <v>33</v>
      </c>
      <c r="B1422" t="s">
        <v>5128</v>
      </c>
      <c r="C1422" t="s">
        <v>21</v>
      </c>
      <c r="D1422" t="s">
        <v>5128</v>
      </c>
      <c r="E1422" t="s">
        <v>5129</v>
      </c>
      <c r="F1422" t="s">
        <v>432</v>
      </c>
      <c r="G1422" t="s">
        <v>24</v>
      </c>
      <c r="H1422" t="s">
        <v>5130</v>
      </c>
      <c r="I1422" t="s">
        <v>46</v>
      </c>
      <c r="L1422" t="s">
        <v>38</v>
      </c>
      <c r="Q1422" t="s">
        <v>48</v>
      </c>
    </row>
    <row r="1423" spans="1:17" hidden="1" x14ac:dyDescent="0.25">
      <c r="A1423" t="s">
        <v>33</v>
      </c>
      <c r="B1423" t="s">
        <v>5131</v>
      </c>
      <c r="C1423" t="s">
        <v>21</v>
      </c>
      <c r="D1423" t="s">
        <v>5131</v>
      </c>
      <c r="E1423" t="s">
        <v>5132</v>
      </c>
      <c r="F1423" t="s">
        <v>5133</v>
      </c>
      <c r="G1423" t="s">
        <v>24</v>
      </c>
      <c r="H1423" t="s">
        <v>5134</v>
      </c>
      <c r="I1423" t="s">
        <v>46</v>
      </c>
      <c r="L1423" t="s">
        <v>878</v>
      </c>
      <c r="Q1423" t="s">
        <v>48</v>
      </c>
    </row>
    <row r="1424" spans="1:17" hidden="1" x14ac:dyDescent="0.25">
      <c r="A1424" t="s">
        <v>33</v>
      </c>
      <c r="B1424" t="s">
        <v>5135</v>
      </c>
      <c r="C1424" t="s">
        <v>21</v>
      </c>
      <c r="D1424" t="s">
        <v>5135</v>
      </c>
      <c r="E1424" t="s">
        <v>372</v>
      </c>
      <c r="F1424" t="s">
        <v>912</v>
      </c>
      <c r="G1424" t="s">
        <v>24</v>
      </c>
      <c r="H1424" t="s">
        <v>5136</v>
      </c>
    </row>
    <row r="1425" spans="1:17" hidden="1" x14ac:dyDescent="0.25">
      <c r="A1425" t="s">
        <v>33</v>
      </c>
      <c r="B1425" t="s">
        <v>5137</v>
      </c>
      <c r="C1425" t="s">
        <v>21</v>
      </c>
      <c r="D1425" t="s">
        <v>5137</v>
      </c>
      <c r="E1425" t="s">
        <v>5138</v>
      </c>
      <c r="F1425" t="s">
        <v>5139</v>
      </c>
      <c r="G1425" t="s">
        <v>24</v>
      </c>
      <c r="H1425" t="s">
        <v>5140</v>
      </c>
      <c r="I1425" t="s">
        <v>46</v>
      </c>
      <c r="L1425" t="s">
        <v>273</v>
      </c>
      <c r="Q1425" t="s">
        <v>48</v>
      </c>
    </row>
    <row r="1426" spans="1:17" hidden="1" x14ac:dyDescent="0.25">
      <c r="A1426" t="s">
        <v>33</v>
      </c>
      <c r="B1426" t="s">
        <v>5141</v>
      </c>
      <c r="C1426" t="s">
        <v>21</v>
      </c>
      <c r="D1426" t="s">
        <v>5141</v>
      </c>
      <c r="E1426" t="s">
        <v>5142</v>
      </c>
      <c r="F1426" t="s">
        <v>368</v>
      </c>
      <c r="G1426" t="s">
        <v>24</v>
      </c>
      <c r="H1426" t="s">
        <v>5143</v>
      </c>
      <c r="I1426" t="s">
        <v>46</v>
      </c>
      <c r="L1426" t="s">
        <v>3868</v>
      </c>
      <c r="Q1426" t="s">
        <v>48</v>
      </c>
    </row>
    <row r="1427" spans="1:17" hidden="1" x14ac:dyDescent="0.25">
      <c r="A1427" t="s">
        <v>33</v>
      </c>
      <c r="B1427" t="s">
        <v>5144</v>
      </c>
      <c r="C1427" t="s">
        <v>92</v>
      </c>
      <c r="D1427" t="s">
        <v>5144</v>
      </c>
      <c r="E1427" t="s">
        <v>598</v>
      </c>
      <c r="F1427" t="s">
        <v>5145</v>
      </c>
      <c r="G1427" t="s">
        <v>24</v>
      </c>
      <c r="H1427" t="s">
        <v>5146</v>
      </c>
    </row>
    <row r="1428" spans="1:17" hidden="1" x14ac:dyDescent="0.25">
      <c r="A1428" t="s">
        <v>33</v>
      </c>
      <c r="B1428" t="s">
        <v>5147</v>
      </c>
      <c r="C1428" t="s">
        <v>29</v>
      </c>
      <c r="D1428" t="s">
        <v>5147</v>
      </c>
      <c r="E1428" t="s">
        <v>126</v>
      </c>
      <c r="F1428" t="s">
        <v>5148</v>
      </c>
      <c r="G1428" t="s">
        <v>24</v>
      </c>
      <c r="H1428" t="s">
        <v>5149</v>
      </c>
    </row>
    <row r="1429" spans="1:17" hidden="1" x14ac:dyDescent="0.25">
      <c r="A1429" t="s">
        <v>33</v>
      </c>
      <c r="B1429" t="s">
        <v>5150</v>
      </c>
      <c r="C1429" t="s">
        <v>21</v>
      </c>
      <c r="D1429" t="s">
        <v>5150</v>
      </c>
      <c r="E1429" t="s">
        <v>5151</v>
      </c>
      <c r="F1429" t="s">
        <v>710</v>
      </c>
      <c r="G1429" t="s">
        <v>24</v>
      </c>
      <c r="H1429" t="s">
        <v>5152</v>
      </c>
      <c r="I1429" t="s">
        <v>46</v>
      </c>
      <c r="L1429" t="s">
        <v>2083</v>
      </c>
      <c r="Q1429" t="s">
        <v>48</v>
      </c>
    </row>
    <row r="1430" spans="1:17" hidden="1" x14ac:dyDescent="0.25">
      <c r="A1430" t="s">
        <v>33</v>
      </c>
      <c r="B1430" t="s">
        <v>5153</v>
      </c>
      <c r="C1430" t="s">
        <v>21</v>
      </c>
      <c r="D1430" t="s">
        <v>5153</v>
      </c>
      <c r="E1430" t="s">
        <v>187</v>
      </c>
      <c r="F1430" t="s">
        <v>1258</v>
      </c>
      <c r="G1430" t="s">
        <v>24</v>
      </c>
      <c r="H1430" t="s">
        <v>5154</v>
      </c>
      <c r="I1430" t="s">
        <v>73</v>
      </c>
      <c r="L1430" t="s">
        <v>38</v>
      </c>
      <c r="Q1430" t="s">
        <v>75</v>
      </c>
    </row>
    <row r="1431" spans="1:17" hidden="1" x14ac:dyDescent="0.25">
      <c r="A1431" t="s">
        <v>33</v>
      </c>
      <c r="B1431" t="s">
        <v>5155</v>
      </c>
      <c r="C1431" t="s">
        <v>29</v>
      </c>
      <c r="D1431" t="s">
        <v>5155</v>
      </c>
      <c r="E1431" t="s">
        <v>4427</v>
      </c>
      <c r="F1431" t="s">
        <v>4428</v>
      </c>
      <c r="G1431" t="s">
        <v>24</v>
      </c>
      <c r="H1431" t="s">
        <v>5156</v>
      </c>
      <c r="I1431" t="s">
        <v>73</v>
      </c>
      <c r="L1431" t="s">
        <v>3808</v>
      </c>
      <c r="Q1431" t="s">
        <v>75</v>
      </c>
    </row>
    <row r="1432" spans="1:17" hidden="1" x14ac:dyDescent="0.25">
      <c r="A1432" t="s">
        <v>33</v>
      </c>
      <c r="B1432" t="s">
        <v>5157</v>
      </c>
      <c r="C1432" t="s">
        <v>29</v>
      </c>
      <c r="D1432" t="s">
        <v>5157</v>
      </c>
      <c r="E1432" t="s">
        <v>367</v>
      </c>
      <c r="F1432" t="s">
        <v>5158</v>
      </c>
      <c r="G1432" t="s">
        <v>24</v>
      </c>
      <c r="H1432" t="s">
        <v>5159</v>
      </c>
      <c r="I1432" t="s">
        <v>73</v>
      </c>
      <c r="L1432" t="s">
        <v>4159</v>
      </c>
      <c r="Q1432" t="s">
        <v>75</v>
      </c>
    </row>
    <row r="1433" spans="1:17" hidden="1" x14ac:dyDescent="0.25">
      <c r="A1433" t="s">
        <v>33</v>
      </c>
      <c r="B1433" t="s">
        <v>5160</v>
      </c>
      <c r="C1433" t="s">
        <v>21</v>
      </c>
      <c r="D1433" t="s">
        <v>5160</v>
      </c>
      <c r="E1433" t="s">
        <v>200</v>
      </c>
      <c r="F1433" t="s">
        <v>5161</v>
      </c>
      <c r="G1433" t="s">
        <v>24</v>
      </c>
      <c r="H1433" t="s">
        <v>5162</v>
      </c>
      <c r="I1433" t="s">
        <v>46</v>
      </c>
      <c r="L1433" t="s">
        <v>389</v>
      </c>
      <c r="Q1433" t="s">
        <v>48</v>
      </c>
    </row>
    <row r="1434" spans="1:17" hidden="1" x14ac:dyDescent="0.25">
      <c r="A1434" t="s">
        <v>33</v>
      </c>
      <c r="B1434" t="s">
        <v>5163</v>
      </c>
      <c r="C1434" t="s">
        <v>21</v>
      </c>
      <c r="D1434" t="s">
        <v>5163</v>
      </c>
      <c r="E1434" t="s">
        <v>5164</v>
      </c>
      <c r="F1434" t="s">
        <v>5165</v>
      </c>
      <c r="G1434" t="s">
        <v>24</v>
      </c>
      <c r="H1434" t="s">
        <v>5166</v>
      </c>
      <c r="I1434" t="s">
        <v>46</v>
      </c>
      <c r="L1434" t="s">
        <v>3868</v>
      </c>
      <c r="Q1434" t="s">
        <v>48</v>
      </c>
    </row>
    <row r="1435" spans="1:17" hidden="1" x14ac:dyDescent="0.25">
      <c r="A1435" t="s">
        <v>33</v>
      </c>
      <c r="B1435" t="s">
        <v>5167</v>
      </c>
      <c r="C1435" t="s">
        <v>21</v>
      </c>
      <c r="D1435" t="s">
        <v>5167</v>
      </c>
      <c r="E1435" t="s">
        <v>2281</v>
      </c>
      <c r="F1435" t="s">
        <v>5168</v>
      </c>
      <c r="G1435" t="s">
        <v>24</v>
      </c>
      <c r="H1435" t="s">
        <v>5169</v>
      </c>
    </row>
    <row r="1436" spans="1:17" hidden="1" x14ac:dyDescent="0.25">
      <c r="A1436" t="s">
        <v>33</v>
      </c>
      <c r="B1436" t="s">
        <v>5170</v>
      </c>
      <c r="C1436" t="s">
        <v>21</v>
      </c>
      <c r="D1436" t="s">
        <v>5170</v>
      </c>
      <c r="E1436" t="s">
        <v>519</v>
      </c>
      <c r="F1436" t="s">
        <v>580</v>
      </c>
      <c r="G1436" t="s">
        <v>24</v>
      </c>
      <c r="H1436" t="s">
        <v>5171</v>
      </c>
      <c r="I1436" t="s">
        <v>46</v>
      </c>
      <c r="L1436" t="s">
        <v>38</v>
      </c>
      <c r="Q1436" t="s">
        <v>48</v>
      </c>
    </row>
    <row r="1437" spans="1:17" hidden="1" x14ac:dyDescent="0.25">
      <c r="A1437" t="s">
        <v>33</v>
      </c>
      <c r="B1437" t="s">
        <v>5172</v>
      </c>
      <c r="C1437" t="s">
        <v>21</v>
      </c>
      <c r="D1437" t="s">
        <v>5173</v>
      </c>
      <c r="E1437" t="s">
        <v>284</v>
      </c>
      <c r="F1437" t="s">
        <v>5174</v>
      </c>
      <c r="G1437" t="s">
        <v>24</v>
      </c>
      <c r="H1437" t="s">
        <v>5175</v>
      </c>
      <c r="I1437" t="s">
        <v>46</v>
      </c>
      <c r="L1437" t="s">
        <v>171</v>
      </c>
      <c r="Q1437" t="s">
        <v>48</v>
      </c>
    </row>
    <row r="1438" spans="1:17" hidden="1" x14ac:dyDescent="0.25">
      <c r="A1438" t="s">
        <v>33</v>
      </c>
      <c r="B1438" t="s">
        <v>5176</v>
      </c>
      <c r="C1438" t="s">
        <v>21</v>
      </c>
      <c r="D1438" t="s">
        <v>5176</v>
      </c>
      <c r="E1438" t="s">
        <v>4784</v>
      </c>
      <c r="F1438" t="s">
        <v>5177</v>
      </c>
      <c r="G1438" t="s">
        <v>24</v>
      </c>
      <c r="H1438" t="s">
        <v>5178</v>
      </c>
      <c r="L1438" t="s">
        <v>803</v>
      </c>
    </row>
    <row r="1439" spans="1:17" hidden="1" x14ac:dyDescent="0.25">
      <c r="A1439" t="s">
        <v>33</v>
      </c>
      <c r="B1439" t="s">
        <v>5179</v>
      </c>
      <c r="C1439" t="s">
        <v>21</v>
      </c>
      <c r="D1439" t="s">
        <v>5179</v>
      </c>
      <c r="E1439" t="s">
        <v>5180</v>
      </c>
      <c r="F1439" t="s">
        <v>110</v>
      </c>
      <c r="G1439" t="s">
        <v>24</v>
      </c>
      <c r="H1439" t="s">
        <v>5181</v>
      </c>
    </row>
    <row r="1440" spans="1:17" hidden="1" x14ac:dyDescent="0.25">
      <c r="A1440" t="s">
        <v>33</v>
      </c>
      <c r="B1440" t="s">
        <v>5182</v>
      </c>
      <c r="C1440" t="s">
        <v>92</v>
      </c>
      <c r="D1440" t="s">
        <v>5182</v>
      </c>
      <c r="E1440" t="s">
        <v>5183</v>
      </c>
      <c r="F1440" t="s">
        <v>5184</v>
      </c>
      <c r="G1440" t="s">
        <v>24</v>
      </c>
      <c r="H1440" t="s">
        <v>5185</v>
      </c>
      <c r="I1440" t="s">
        <v>46</v>
      </c>
      <c r="L1440" t="s">
        <v>97</v>
      </c>
      <c r="Q1440" t="s">
        <v>48</v>
      </c>
    </row>
    <row r="1441" spans="1:17" hidden="1" x14ac:dyDescent="0.25">
      <c r="A1441" t="s">
        <v>33</v>
      </c>
      <c r="B1441" t="s">
        <v>5186</v>
      </c>
      <c r="C1441" t="s">
        <v>21</v>
      </c>
      <c r="D1441" t="s">
        <v>5186</v>
      </c>
      <c r="E1441" t="s">
        <v>1146</v>
      </c>
      <c r="F1441" t="s">
        <v>5187</v>
      </c>
      <c r="G1441" t="s">
        <v>24</v>
      </c>
      <c r="H1441" t="s">
        <v>5188</v>
      </c>
      <c r="I1441" t="s">
        <v>46</v>
      </c>
      <c r="L1441" t="s">
        <v>4585</v>
      </c>
      <c r="Q1441" t="s">
        <v>48</v>
      </c>
    </row>
    <row r="1442" spans="1:17" hidden="1" x14ac:dyDescent="0.25">
      <c r="A1442" t="s">
        <v>33</v>
      </c>
      <c r="B1442" t="s">
        <v>5189</v>
      </c>
      <c r="C1442" t="s">
        <v>29</v>
      </c>
      <c r="D1442" t="s">
        <v>5190</v>
      </c>
      <c r="E1442" t="s">
        <v>2819</v>
      </c>
      <c r="F1442" t="s">
        <v>5191</v>
      </c>
      <c r="G1442" t="s">
        <v>24</v>
      </c>
      <c r="H1442" t="s">
        <v>5192</v>
      </c>
      <c r="I1442" t="s">
        <v>73</v>
      </c>
      <c r="L1442" t="s">
        <v>246</v>
      </c>
      <c r="Q1442" t="s">
        <v>75</v>
      </c>
    </row>
    <row r="1443" spans="1:17" hidden="1" x14ac:dyDescent="0.25">
      <c r="A1443" t="s">
        <v>33</v>
      </c>
      <c r="B1443" t="s">
        <v>5193</v>
      </c>
      <c r="C1443" t="s">
        <v>21</v>
      </c>
      <c r="D1443" t="s">
        <v>5193</v>
      </c>
      <c r="E1443" t="s">
        <v>5194</v>
      </c>
      <c r="F1443" t="s">
        <v>5195</v>
      </c>
      <c r="G1443" t="s">
        <v>24</v>
      </c>
      <c r="H1443" t="s">
        <v>5196</v>
      </c>
    </row>
    <row r="1444" spans="1:17" hidden="1" x14ac:dyDescent="0.25">
      <c r="A1444" t="s">
        <v>33</v>
      </c>
      <c r="B1444" t="s">
        <v>5197</v>
      </c>
      <c r="C1444" t="s">
        <v>21</v>
      </c>
      <c r="D1444" t="s">
        <v>5197</v>
      </c>
      <c r="E1444" t="s">
        <v>4527</v>
      </c>
      <c r="F1444" t="s">
        <v>5198</v>
      </c>
      <c r="G1444" t="s">
        <v>24</v>
      </c>
      <c r="H1444" t="s">
        <v>5199</v>
      </c>
      <c r="I1444" t="s">
        <v>46</v>
      </c>
      <c r="L1444" t="s">
        <v>3868</v>
      </c>
      <c r="Q1444" t="s">
        <v>48</v>
      </c>
    </row>
    <row r="1445" spans="1:17" hidden="1" x14ac:dyDescent="0.25">
      <c r="A1445" t="s">
        <v>33</v>
      </c>
      <c r="B1445" t="s">
        <v>5200</v>
      </c>
      <c r="C1445" t="s">
        <v>21</v>
      </c>
      <c r="D1445" t="s">
        <v>5200</v>
      </c>
      <c r="E1445" t="s">
        <v>568</v>
      </c>
      <c r="F1445" t="s">
        <v>5201</v>
      </c>
      <c r="G1445" t="s">
        <v>24</v>
      </c>
      <c r="H1445" t="s">
        <v>5202</v>
      </c>
      <c r="I1445" t="s">
        <v>46</v>
      </c>
      <c r="L1445" t="s">
        <v>3868</v>
      </c>
      <c r="Q1445" t="s">
        <v>48</v>
      </c>
    </row>
    <row r="1446" spans="1:17" hidden="1" x14ac:dyDescent="0.25">
      <c r="A1446" t="s">
        <v>33</v>
      </c>
      <c r="B1446" t="s">
        <v>5203</v>
      </c>
      <c r="C1446" t="s">
        <v>21</v>
      </c>
      <c r="D1446" t="s">
        <v>5203</v>
      </c>
      <c r="E1446" t="s">
        <v>3939</v>
      </c>
      <c r="F1446" t="s">
        <v>5204</v>
      </c>
      <c r="G1446" t="s">
        <v>24</v>
      </c>
      <c r="H1446" t="s">
        <v>5205</v>
      </c>
      <c r="I1446" t="s">
        <v>46</v>
      </c>
      <c r="L1446" t="s">
        <v>185</v>
      </c>
      <c r="Q1446" t="s">
        <v>48</v>
      </c>
    </row>
    <row r="1447" spans="1:17" hidden="1" x14ac:dyDescent="0.25">
      <c r="A1447" t="s">
        <v>33</v>
      </c>
      <c r="B1447" t="s">
        <v>5206</v>
      </c>
      <c r="C1447" t="s">
        <v>21</v>
      </c>
      <c r="D1447" t="s">
        <v>5206</v>
      </c>
      <c r="E1447" t="s">
        <v>5207</v>
      </c>
      <c r="F1447" t="s">
        <v>5208</v>
      </c>
      <c r="G1447" t="s">
        <v>24</v>
      </c>
      <c r="H1447" t="s">
        <v>5209</v>
      </c>
      <c r="I1447" t="s">
        <v>46</v>
      </c>
      <c r="L1447" t="s">
        <v>3868</v>
      </c>
      <c r="Q1447" t="s">
        <v>48</v>
      </c>
    </row>
    <row r="1448" spans="1:17" hidden="1" x14ac:dyDescent="0.25">
      <c r="A1448" t="s">
        <v>33</v>
      </c>
      <c r="B1448" t="s">
        <v>5210</v>
      </c>
      <c r="C1448" t="s">
        <v>21</v>
      </c>
      <c r="D1448" t="s">
        <v>5210</v>
      </c>
      <c r="E1448" t="s">
        <v>1003</v>
      </c>
      <c r="F1448" t="s">
        <v>5211</v>
      </c>
      <c r="G1448" t="s">
        <v>24</v>
      </c>
      <c r="H1448" t="s">
        <v>5212</v>
      </c>
    </row>
    <row r="1449" spans="1:17" hidden="1" x14ac:dyDescent="0.25">
      <c r="A1449" t="s">
        <v>33</v>
      </c>
      <c r="B1449" t="s">
        <v>5213</v>
      </c>
      <c r="C1449" t="s">
        <v>21</v>
      </c>
      <c r="D1449" t="s">
        <v>5213</v>
      </c>
      <c r="E1449" t="s">
        <v>583</v>
      </c>
      <c r="F1449" t="s">
        <v>5214</v>
      </c>
      <c r="G1449" t="s">
        <v>24</v>
      </c>
      <c r="H1449" t="s">
        <v>5215</v>
      </c>
      <c r="I1449" t="s">
        <v>73</v>
      </c>
      <c r="L1449" t="s">
        <v>3868</v>
      </c>
      <c r="Q1449" t="s">
        <v>75</v>
      </c>
    </row>
    <row r="1450" spans="1:17" hidden="1" x14ac:dyDescent="0.25">
      <c r="A1450" t="s">
        <v>33</v>
      </c>
      <c r="B1450" t="s">
        <v>5216</v>
      </c>
      <c r="C1450" t="s">
        <v>21</v>
      </c>
      <c r="D1450" t="s">
        <v>5216</v>
      </c>
      <c r="E1450" t="s">
        <v>5217</v>
      </c>
      <c r="F1450" t="s">
        <v>330</v>
      </c>
      <c r="G1450" t="s">
        <v>24</v>
      </c>
      <c r="H1450" t="s">
        <v>5218</v>
      </c>
      <c r="I1450" t="s">
        <v>46</v>
      </c>
      <c r="L1450" t="s">
        <v>4302</v>
      </c>
      <c r="Q1450" t="s">
        <v>48</v>
      </c>
    </row>
    <row r="1451" spans="1:17" hidden="1" x14ac:dyDescent="0.25">
      <c r="A1451" t="s">
        <v>33</v>
      </c>
      <c r="B1451" t="s">
        <v>5219</v>
      </c>
      <c r="C1451" t="s">
        <v>21</v>
      </c>
      <c r="D1451" t="s">
        <v>5219</v>
      </c>
      <c r="E1451" t="s">
        <v>1010</v>
      </c>
      <c r="F1451" t="s">
        <v>5220</v>
      </c>
      <c r="G1451" t="s">
        <v>24</v>
      </c>
      <c r="H1451" t="s">
        <v>5221</v>
      </c>
      <c r="I1451" t="s">
        <v>46</v>
      </c>
      <c r="L1451" t="s">
        <v>74</v>
      </c>
      <c r="Q1451" t="s">
        <v>48</v>
      </c>
    </row>
    <row r="1452" spans="1:17" hidden="1" x14ac:dyDescent="0.25">
      <c r="A1452" t="s">
        <v>33</v>
      </c>
      <c r="B1452" t="s">
        <v>5222</v>
      </c>
      <c r="C1452" t="s">
        <v>21</v>
      </c>
      <c r="D1452" t="s">
        <v>5222</v>
      </c>
      <c r="E1452" t="s">
        <v>2664</v>
      </c>
      <c r="F1452" t="s">
        <v>3218</v>
      </c>
      <c r="G1452" t="s">
        <v>24</v>
      </c>
      <c r="H1452" t="s">
        <v>5223</v>
      </c>
      <c r="I1452" t="s">
        <v>46</v>
      </c>
      <c r="L1452" t="s">
        <v>38</v>
      </c>
      <c r="Q1452" t="s">
        <v>48</v>
      </c>
    </row>
    <row r="1453" spans="1:17" hidden="1" x14ac:dyDescent="0.25">
      <c r="A1453" t="s">
        <v>33</v>
      </c>
      <c r="B1453" t="s">
        <v>5224</v>
      </c>
      <c r="C1453" t="s">
        <v>21</v>
      </c>
      <c r="D1453" t="s">
        <v>5224</v>
      </c>
      <c r="E1453" t="s">
        <v>1242</v>
      </c>
      <c r="F1453" t="s">
        <v>5225</v>
      </c>
      <c r="G1453" t="s">
        <v>24</v>
      </c>
      <c r="H1453" t="s">
        <v>5226</v>
      </c>
      <c r="I1453" t="s">
        <v>73</v>
      </c>
      <c r="L1453" t="s">
        <v>138</v>
      </c>
      <c r="Q1453" t="s">
        <v>75</v>
      </c>
    </row>
    <row r="1454" spans="1:17" hidden="1" x14ac:dyDescent="0.25">
      <c r="A1454" t="s">
        <v>33</v>
      </c>
      <c r="B1454" t="s">
        <v>5227</v>
      </c>
      <c r="C1454" t="s">
        <v>21</v>
      </c>
      <c r="D1454" t="s">
        <v>5227</v>
      </c>
      <c r="E1454" t="s">
        <v>5228</v>
      </c>
      <c r="F1454" t="s">
        <v>5229</v>
      </c>
      <c r="G1454" t="s">
        <v>24</v>
      </c>
      <c r="H1454" t="s">
        <v>5230</v>
      </c>
      <c r="I1454" t="s">
        <v>46</v>
      </c>
      <c r="L1454" t="s">
        <v>119</v>
      </c>
      <c r="Q1454" t="s">
        <v>48</v>
      </c>
    </row>
    <row r="1455" spans="1:17" hidden="1" x14ac:dyDescent="0.25">
      <c r="A1455" t="s">
        <v>33</v>
      </c>
      <c r="B1455" t="s">
        <v>5231</v>
      </c>
      <c r="C1455" t="s">
        <v>29</v>
      </c>
      <c r="D1455" t="s">
        <v>5231</v>
      </c>
      <c r="E1455" t="s">
        <v>5232</v>
      </c>
      <c r="F1455" t="s">
        <v>5233</v>
      </c>
      <c r="G1455" t="s">
        <v>24</v>
      </c>
      <c r="H1455" t="s">
        <v>5234</v>
      </c>
      <c r="I1455" t="s">
        <v>46</v>
      </c>
      <c r="L1455" t="s">
        <v>246</v>
      </c>
      <c r="Q1455" t="s">
        <v>48</v>
      </c>
    </row>
    <row r="1456" spans="1:17" hidden="1" x14ac:dyDescent="0.25">
      <c r="A1456" t="s">
        <v>33</v>
      </c>
      <c r="B1456" t="s">
        <v>5235</v>
      </c>
      <c r="C1456" t="s">
        <v>21</v>
      </c>
      <c r="D1456" t="s">
        <v>5235</v>
      </c>
      <c r="E1456" t="s">
        <v>5236</v>
      </c>
      <c r="F1456" t="s">
        <v>5237</v>
      </c>
      <c r="G1456" t="s">
        <v>24</v>
      </c>
      <c r="H1456" t="s">
        <v>5238</v>
      </c>
      <c r="I1456" t="s">
        <v>73</v>
      </c>
      <c r="Q1456" t="s">
        <v>75</v>
      </c>
    </row>
    <row r="1457" spans="1:17" hidden="1" x14ac:dyDescent="0.25">
      <c r="A1457" t="s">
        <v>33</v>
      </c>
      <c r="B1457" t="s">
        <v>5239</v>
      </c>
      <c r="C1457" t="s">
        <v>21</v>
      </c>
      <c r="D1457" t="s">
        <v>5239</v>
      </c>
      <c r="E1457" t="s">
        <v>3222</v>
      </c>
      <c r="F1457" t="s">
        <v>5240</v>
      </c>
      <c r="G1457" t="s">
        <v>24</v>
      </c>
      <c r="H1457" t="s">
        <v>5241</v>
      </c>
      <c r="I1457" t="s">
        <v>46</v>
      </c>
      <c r="L1457" t="s">
        <v>3868</v>
      </c>
      <c r="Q1457" t="s">
        <v>48</v>
      </c>
    </row>
    <row r="1458" spans="1:17" hidden="1" x14ac:dyDescent="0.25">
      <c r="A1458" t="s">
        <v>33</v>
      </c>
      <c r="B1458" t="s">
        <v>5242</v>
      </c>
      <c r="C1458" t="s">
        <v>21</v>
      </c>
      <c r="D1458" t="s">
        <v>5242</v>
      </c>
      <c r="E1458" t="s">
        <v>1912</v>
      </c>
      <c r="F1458" t="s">
        <v>1431</v>
      </c>
      <c r="G1458" t="s">
        <v>24</v>
      </c>
      <c r="H1458" t="s">
        <v>5243</v>
      </c>
      <c r="I1458" t="s">
        <v>46</v>
      </c>
      <c r="L1458" t="s">
        <v>3868</v>
      </c>
      <c r="Q1458" t="s">
        <v>48</v>
      </c>
    </row>
    <row r="1459" spans="1:17" hidden="1" x14ac:dyDescent="0.25">
      <c r="A1459" t="s">
        <v>33</v>
      </c>
      <c r="B1459" t="s">
        <v>5244</v>
      </c>
      <c r="C1459" t="s">
        <v>21</v>
      </c>
      <c r="D1459" t="s">
        <v>5244</v>
      </c>
      <c r="E1459" t="s">
        <v>4627</v>
      </c>
      <c r="F1459" t="s">
        <v>5245</v>
      </c>
      <c r="G1459" t="s">
        <v>24</v>
      </c>
      <c r="H1459" t="s">
        <v>5246</v>
      </c>
      <c r="I1459" t="s">
        <v>46</v>
      </c>
      <c r="L1459" t="s">
        <v>1624</v>
      </c>
      <c r="Q1459" t="s">
        <v>48</v>
      </c>
    </row>
    <row r="1460" spans="1:17" hidden="1" x14ac:dyDescent="0.25">
      <c r="A1460" t="s">
        <v>33</v>
      </c>
      <c r="B1460" t="s">
        <v>5247</v>
      </c>
      <c r="C1460" t="s">
        <v>21</v>
      </c>
      <c r="D1460" t="s">
        <v>5247</v>
      </c>
      <c r="E1460" t="s">
        <v>5248</v>
      </c>
      <c r="F1460" t="s">
        <v>5249</v>
      </c>
      <c r="G1460" t="s">
        <v>24</v>
      </c>
      <c r="H1460" t="s">
        <v>5250</v>
      </c>
    </row>
    <row r="1461" spans="1:17" hidden="1" x14ac:dyDescent="0.25">
      <c r="A1461" t="s">
        <v>33</v>
      </c>
      <c r="B1461" t="s">
        <v>5251</v>
      </c>
      <c r="C1461" t="s">
        <v>21</v>
      </c>
      <c r="D1461" t="s">
        <v>5251</v>
      </c>
      <c r="E1461" t="s">
        <v>1537</v>
      </c>
      <c r="F1461" t="s">
        <v>4133</v>
      </c>
      <c r="G1461" t="s">
        <v>24</v>
      </c>
      <c r="H1461" t="s">
        <v>5252</v>
      </c>
      <c r="I1461" t="s">
        <v>46</v>
      </c>
      <c r="L1461" t="s">
        <v>878</v>
      </c>
      <c r="Q1461" t="s">
        <v>48</v>
      </c>
    </row>
    <row r="1462" spans="1:17" hidden="1" x14ac:dyDescent="0.25">
      <c r="A1462" t="s">
        <v>33</v>
      </c>
      <c r="B1462" t="s">
        <v>5253</v>
      </c>
      <c r="C1462" t="s">
        <v>21</v>
      </c>
      <c r="D1462" t="s">
        <v>5253</v>
      </c>
      <c r="E1462" t="s">
        <v>1929</v>
      </c>
      <c r="F1462" t="s">
        <v>5214</v>
      </c>
      <c r="G1462" t="s">
        <v>24</v>
      </c>
      <c r="H1462" t="s">
        <v>5254</v>
      </c>
      <c r="I1462" t="s">
        <v>73</v>
      </c>
      <c r="L1462" t="s">
        <v>3868</v>
      </c>
      <c r="Q1462" t="s">
        <v>75</v>
      </c>
    </row>
    <row r="1463" spans="1:17" hidden="1" x14ac:dyDescent="0.25">
      <c r="A1463" t="s">
        <v>33</v>
      </c>
      <c r="B1463" t="s">
        <v>5255</v>
      </c>
      <c r="C1463" t="s">
        <v>21</v>
      </c>
      <c r="D1463" t="s">
        <v>5255</v>
      </c>
      <c r="E1463" t="s">
        <v>435</v>
      </c>
      <c r="F1463" t="s">
        <v>5256</v>
      </c>
      <c r="G1463" t="s">
        <v>24</v>
      </c>
      <c r="H1463" t="s">
        <v>5257</v>
      </c>
      <c r="I1463" t="s">
        <v>46</v>
      </c>
      <c r="Q1463" t="s">
        <v>48</v>
      </c>
    </row>
    <row r="1464" spans="1:17" hidden="1" x14ac:dyDescent="0.25">
      <c r="A1464" t="s">
        <v>33</v>
      </c>
      <c r="B1464" t="s">
        <v>5258</v>
      </c>
      <c r="C1464" t="s">
        <v>21</v>
      </c>
      <c r="D1464" t="s">
        <v>5258</v>
      </c>
      <c r="E1464" t="s">
        <v>3283</v>
      </c>
      <c r="F1464" t="s">
        <v>5259</v>
      </c>
      <c r="G1464" t="s">
        <v>24</v>
      </c>
      <c r="H1464" t="s">
        <v>5260</v>
      </c>
    </row>
    <row r="1465" spans="1:17" hidden="1" x14ac:dyDescent="0.25">
      <c r="A1465" t="s">
        <v>33</v>
      </c>
      <c r="B1465" t="s">
        <v>5261</v>
      </c>
      <c r="C1465" t="s">
        <v>21</v>
      </c>
      <c r="D1465" t="s">
        <v>5261</v>
      </c>
      <c r="E1465" t="s">
        <v>1883</v>
      </c>
      <c r="F1465" t="s">
        <v>5262</v>
      </c>
      <c r="G1465" t="s">
        <v>24</v>
      </c>
      <c r="H1465" t="s">
        <v>5263</v>
      </c>
      <c r="I1465" t="s">
        <v>46</v>
      </c>
      <c r="L1465" t="s">
        <v>4229</v>
      </c>
      <c r="Q1465" t="s">
        <v>48</v>
      </c>
    </row>
    <row r="1466" spans="1:17" hidden="1" x14ac:dyDescent="0.25">
      <c r="A1466" t="s">
        <v>33</v>
      </c>
      <c r="B1466" t="s">
        <v>5264</v>
      </c>
      <c r="C1466" t="s">
        <v>21</v>
      </c>
      <c r="D1466" t="s">
        <v>5264</v>
      </c>
      <c r="E1466" t="s">
        <v>5265</v>
      </c>
      <c r="F1466" t="s">
        <v>5266</v>
      </c>
      <c r="G1466" t="s">
        <v>24</v>
      </c>
      <c r="H1466" t="s">
        <v>5267</v>
      </c>
      <c r="I1466" t="s">
        <v>73</v>
      </c>
      <c r="L1466" t="s">
        <v>3868</v>
      </c>
      <c r="Q1466" t="s">
        <v>75</v>
      </c>
    </row>
    <row r="1467" spans="1:17" hidden="1" x14ac:dyDescent="0.25">
      <c r="A1467" t="s">
        <v>33</v>
      </c>
      <c r="B1467" t="s">
        <v>5268</v>
      </c>
      <c r="C1467" t="s">
        <v>21</v>
      </c>
      <c r="D1467" t="s">
        <v>5268</v>
      </c>
      <c r="E1467" t="s">
        <v>1658</v>
      </c>
      <c r="F1467" t="s">
        <v>5269</v>
      </c>
      <c r="G1467" t="s">
        <v>24</v>
      </c>
      <c r="H1467" t="s">
        <v>5270</v>
      </c>
      <c r="I1467" t="s">
        <v>46</v>
      </c>
      <c r="L1467" t="s">
        <v>53</v>
      </c>
      <c r="Q1467" t="s">
        <v>48</v>
      </c>
    </row>
    <row r="1468" spans="1:17" hidden="1" x14ac:dyDescent="0.25">
      <c r="A1468" t="s">
        <v>33</v>
      </c>
      <c r="B1468" t="s">
        <v>5271</v>
      </c>
      <c r="C1468" t="s">
        <v>21</v>
      </c>
      <c r="D1468" t="s">
        <v>5271</v>
      </c>
      <c r="E1468" t="s">
        <v>5272</v>
      </c>
      <c r="F1468" t="s">
        <v>5273</v>
      </c>
      <c r="G1468" t="s">
        <v>24</v>
      </c>
      <c r="H1468" t="s">
        <v>5274</v>
      </c>
      <c r="I1468" t="s">
        <v>73</v>
      </c>
      <c r="L1468" t="s">
        <v>389</v>
      </c>
      <c r="Q1468" t="s">
        <v>75</v>
      </c>
    </row>
    <row r="1469" spans="1:17" hidden="1" x14ac:dyDescent="0.25">
      <c r="A1469" t="s">
        <v>33</v>
      </c>
      <c r="B1469" t="s">
        <v>5275</v>
      </c>
      <c r="C1469" t="s">
        <v>29</v>
      </c>
      <c r="D1469" t="s">
        <v>5275</v>
      </c>
      <c r="E1469" t="s">
        <v>5276</v>
      </c>
      <c r="F1469" t="s">
        <v>5277</v>
      </c>
      <c r="G1469" t="s">
        <v>24</v>
      </c>
      <c r="H1469" t="s">
        <v>5278</v>
      </c>
      <c r="I1469" t="s">
        <v>73</v>
      </c>
      <c r="L1469" t="s">
        <v>511</v>
      </c>
      <c r="Q1469" t="s">
        <v>75</v>
      </c>
    </row>
    <row r="1470" spans="1:17" hidden="1" x14ac:dyDescent="0.25">
      <c r="A1470" t="s">
        <v>33</v>
      </c>
      <c r="B1470" t="s">
        <v>5279</v>
      </c>
      <c r="C1470" t="s">
        <v>29</v>
      </c>
      <c r="D1470" t="s">
        <v>5279</v>
      </c>
      <c r="E1470" t="s">
        <v>5280</v>
      </c>
      <c r="F1470" t="s">
        <v>3504</v>
      </c>
      <c r="G1470" t="s">
        <v>24</v>
      </c>
      <c r="H1470" t="s">
        <v>5281</v>
      </c>
    </row>
    <row r="1471" spans="1:17" hidden="1" x14ac:dyDescent="0.25">
      <c r="A1471" t="s">
        <v>33</v>
      </c>
      <c r="B1471" t="s">
        <v>5282</v>
      </c>
      <c r="C1471" t="s">
        <v>21</v>
      </c>
      <c r="D1471" t="s">
        <v>5282</v>
      </c>
      <c r="E1471" t="s">
        <v>3549</v>
      </c>
      <c r="F1471" t="s">
        <v>5283</v>
      </c>
      <c r="G1471" t="s">
        <v>24</v>
      </c>
      <c r="H1471" t="s">
        <v>5284</v>
      </c>
      <c r="I1471" t="s">
        <v>73</v>
      </c>
      <c r="L1471" t="s">
        <v>755</v>
      </c>
      <c r="Q1471" t="s">
        <v>75</v>
      </c>
    </row>
    <row r="1472" spans="1:17" hidden="1" x14ac:dyDescent="0.25">
      <c r="A1472" t="s">
        <v>33</v>
      </c>
      <c r="B1472" t="s">
        <v>5285</v>
      </c>
      <c r="C1472" t="s">
        <v>29</v>
      </c>
      <c r="D1472" t="s">
        <v>5285</v>
      </c>
      <c r="E1472" t="s">
        <v>2527</v>
      </c>
      <c r="F1472" t="s">
        <v>650</v>
      </c>
      <c r="G1472" t="s">
        <v>24</v>
      </c>
      <c r="H1472" t="s">
        <v>5286</v>
      </c>
      <c r="I1472" t="s">
        <v>73</v>
      </c>
      <c r="L1472" t="s">
        <v>4159</v>
      </c>
      <c r="Q1472" t="s">
        <v>75</v>
      </c>
    </row>
    <row r="1473" spans="1:17" hidden="1" x14ac:dyDescent="0.25">
      <c r="A1473" t="s">
        <v>33</v>
      </c>
      <c r="B1473" t="s">
        <v>5287</v>
      </c>
      <c r="C1473" t="s">
        <v>21</v>
      </c>
      <c r="D1473" t="s">
        <v>5287</v>
      </c>
      <c r="E1473" t="s">
        <v>5288</v>
      </c>
      <c r="F1473" t="s">
        <v>78</v>
      </c>
      <c r="G1473" t="s">
        <v>24</v>
      </c>
      <c r="H1473" t="s">
        <v>5289</v>
      </c>
      <c r="I1473" t="s">
        <v>73</v>
      </c>
      <c r="L1473" t="s">
        <v>4159</v>
      </c>
      <c r="Q1473" t="s">
        <v>75</v>
      </c>
    </row>
    <row r="1474" spans="1:17" hidden="1" x14ac:dyDescent="0.25">
      <c r="A1474" t="s">
        <v>33</v>
      </c>
      <c r="B1474" t="s">
        <v>5290</v>
      </c>
      <c r="C1474" t="s">
        <v>29</v>
      </c>
      <c r="D1474" t="s">
        <v>5290</v>
      </c>
      <c r="E1474" t="s">
        <v>5291</v>
      </c>
      <c r="G1474" t="s">
        <v>24</v>
      </c>
      <c r="H1474" t="s">
        <v>5292</v>
      </c>
      <c r="I1474" t="s">
        <v>73</v>
      </c>
      <c r="L1474" t="s">
        <v>4159</v>
      </c>
      <c r="Q1474" t="s">
        <v>75</v>
      </c>
    </row>
    <row r="1475" spans="1:17" hidden="1" x14ac:dyDescent="0.25">
      <c r="A1475" t="s">
        <v>33</v>
      </c>
      <c r="B1475" t="s">
        <v>5293</v>
      </c>
      <c r="C1475" t="s">
        <v>29</v>
      </c>
      <c r="D1475" t="s">
        <v>5293</v>
      </c>
      <c r="E1475" t="s">
        <v>1738</v>
      </c>
      <c r="F1475" t="s">
        <v>876</v>
      </c>
      <c r="G1475" t="s">
        <v>24</v>
      </c>
      <c r="H1475" t="s">
        <v>5294</v>
      </c>
      <c r="I1475" t="s">
        <v>73</v>
      </c>
      <c r="L1475" t="s">
        <v>4159</v>
      </c>
      <c r="Q1475" t="s">
        <v>75</v>
      </c>
    </row>
    <row r="1476" spans="1:17" hidden="1" x14ac:dyDescent="0.25">
      <c r="A1476" t="s">
        <v>33</v>
      </c>
      <c r="B1476" t="s">
        <v>5295</v>
      </c>
      <c r="C1476" t="s">
        <v>21</v>
      </c>
      <c r="D1476" t="s">
        <v>5295</v>
      </c>
      <c r="E1476" t="s">
        <v>5296</v>
      </c>
      <c r="F1476" t="s">
        <v>5297</v>
      </c>
      <c r="G1476" t="s">
        <v>24</v>
      </c>
      <c r="H1476" t="s">
        <v>5298</v>
      </c>
      <c r="I1476" t="s">
        <v>46</v>
      </c>
      <c r="L1476" t="s">
        <v>3868</v>
      </c>
      <c r="Q1476" t="s">
        <v>48</v>
      </c>
    </row>
    <row r="1477" spans="1:17" hidden="1" x14ac:dyDescent="0.25">
      <c r="A1477" t="s">
        <v>33</v>
      </c>
      <c r="B1477" t="s">
        <v>5299</v>
      </c>
      <c r="C1477" t="s">
        <v>21</v>
      </c>
      <c r="D1477" t="s">
        <v>5299</v>
      </c>
      <c r="E1477" t="s">
        <v>3597</v>
      </c>
      <c r="F1477" t="s">
        <v>580</v>
      </c>
      <c r="G1477" t="s">
        <v>24</v>
      </c>
      <c r="H1477" t="s">
        <v>5300</v>
      </c>
      <c r="I1477" t="s">
        <v>46</v>
      </c>
      <c r="L1477" t="s">
        <v>3258</v>
      </c>
      <c r="Q1477" t="s">
        <v>48</v>
      </c>
    </row>
    <row r="1478" spans="1:17" hidden="1" x14ac:dyDescent="0.25">
      <c r="A1478" t="s">
        <v>33</v>
      </c>
      <c r="B1478" t="s">
        <v>5301</v>
      </c>
      <c r="C1478" t="s">
        <v>21</v>
      </c>
      <c r="D1478" t="s">
        <v>5301</v>
      </c>
      <c r="E1478" t="s">
        <v>5302</v>
      </c>
      <c r="F1478" t="s">
        <v>5303</v>
      </c>
      <c r="G1478" t="s">
        <v>24</v>
      </c>
      <c r="H1478" t="s">
        <v>5304</v>
      </c>
      <c r="I1478" t="s">
        <v>46</v>
      </c>
      <c r="L1478" t="s">
        <v>3868</v>
      </c>
      <c r="Q1478" t="s">
        <v>48</v>
      </c>
    </row>
    <row r="1479" spans="1:17" hidden="1" x14ac:dyDescent="0.25">
      <c r="A1479" t="s">
        <v>33</v>
      </c>
      <c r="B1479" t="s">
        <v>5305</v>
      </c>
      <c r="C1479" t="s">
        <v>21</v>
      </c>
      <c r="D1479" t="s">
        <v>5305</v>
      </c>
      <c r="E1479" t="s">
        <v>5306</v>
      </c>
      <c r="F1479" t="s">
        <v>5307</v>
      </c>
      <c r="G1479" t="s">
        <v>24</v>
      </c>
      <c r="H1479" t="s">
        <v>5308</v>
      </c>
      <c r="I1479" t="s">
        <v>46</v>
      </c>
      <c r="L1479" t="s">
        <v>3868</v>
      </c>
      <c r="Q1479" t="s">
        <v>48</v>
      </c>
    </row>
    <row r="1480" spans="1:17" hidden="1" x14ac:dyDescent="0.25">
      <c r="A1480" t="s">
        <v>33</v>
      </c>
      <c r="B1480" t="s">
        <v>5309</v>
      </c>
      <c r="C1480" t="s">
        <v>21</v>
      </c>
      <c r="D1480" t="s">
        <v>5309</v>
      </c>
      <c r="E1480" t="s">
        <v>5310</v>
      </c>
      <c r="F1480" t="s">
        <v>3320</v>
      </c>
      <c r="G1480" t="s">
        <v>24</v>
      </c>
      <c r="H1480" t="s">
        <v>5311</v>
      </c>
      <c r="L1480" t="s">
        <v>5312</v>
      </c>
      <c r="P1480" t="s">
        <v>48</v>
      </c>
    </row>
    <row r="1481" spans="1:17" hidden="1" x14ac:dyDescent="0.25">
      <c r="A1481" t="s">
        <v>33</v>
      </c>
      <c r="B1481" t="s">
        <v>5313</v>
      </c>
      <c r="C1481" t="s">
        <v>21</v>
      </c>
      <c r="D1481" t="s">
        <v>5313</v>
      </c>
      <c r="E1481" t="s">
        <v>1619</v>
      </c>
      <c r="F1481" t="s">
        <v>5314</v>
      </c>
      <c r="G1481" t="s">
        <v>24</v>
      </c>
      <c r="H1481" t="s">
        <v>5315</v>
      </c>
      <c r="I1481" t="s">
        <v>46</v>
      </c>
      <c r="L1481" t="s">
        <v>166</v>
      </c>
      <c r="Q1481" t="s">
        <v>48</v>
      </c>
    </row>
    <row r="1482" spans="1:17" hidden="1" x14ac:dyDescent="0.25">
      <c r="A1482" t="s">
        <v>33</v>
      </c>
      <c r="B1482" t="s">
        <v>5316</v>
      </c>
      <c r="C1482" t="s">
        <v>21</v>
      </c>
      <c r="D1482" t="s">
        <v>5316</v>
      </c>
      <c r="E1482" t="s">
        <v>2819</v>
      </c>
      <c r="F1482" t="s">
        <v>5317</v>
      </c>
      <c r="G1482" t="s">
        <v>24</v>
      </c>
      <c r="H1482" t="s">
        <v>5318</v>
      </c>
      <c r="I1482" t="s">
        <v>73</v>
      </c>
      <c r="L1482" t="s">
        <v>1179</v>
      </c>
      <c r="Q1482" t="s">
        <v>75</v>
      </c>
    </row>
    <row r="1483" spans="1:17" hidden="1" x14ac:dyDescent="0.25">
      <c r="A1483" t="s">
        <v>33</v>
      </c>
      <c r="B1483" t="s">
        <v>5319</v>
      </c>
      <c r="C1483" t="s">
        <v>92</v>
      </c>
      <c r="D1483" t="s">
        <v>5319</v>
      </c>
      <c r="E1483" t="s">
        <v>200</v>
      </c>
      <c r="F1483" t="s">
        <v>5320</v>
      </c>
      <c r="G1483" t="s">
        <v>24</v>
      </c>
      <c r="H1483" t="s">
        <v>5321</v>
      </c>
    </row>
    <row r="1484" spans="1:17" hidden="1" x14ac:dyDescent="0.25">
      <c r="A1484" t="s">
        <v>33</v>
      </c>
      <c r="B1484" t="s">
        <v>5322</v>
      </c>
      <c r="C1484" t="s">
        <v>29</v>
      </c>
      <c r="D1484" t="s">
        <v>5322</v>
      </c>
      <c r="E1484" t="s">
        <v>3345</v>
      </c>
      <c r="F1484" t="s">
        <v>899</v>
      </c>
      <c r="G1484" t="s">
        <v>24</v>
      </c>
      <c r="H1484" t="s">
        <v>5323</v>
      </c>
      <c r="I1484" t="s">
        <v>46</v>
      </c>
      <c r="L1484" t="s">
        <v>861</v>
      </c>
      <c r="Q1484" t="s">
        <v>48</v>
      </c>
    </row>
    <row r="1485" spans="1:17" hidden="1" x14ac:dyDescent="0.25">
      <c r="A1485" t="s">
        <v>19</v>
      </c>
      <c r="B1485" t="s">
        <v>5324</v>
      </c>
      <c r="C1485" t="s">
        <v>5325</v>
      </c>
      <c r="D1485" t="s">
        <v>5324</v>
      </c>
      <c r="E1485" t="s">
        <v>4454</v>
      </c>
      <c r="F1485" t="s">
        <v>5326</v>
      </c>
      <c r="G1485" t="s">
        <v>4085</v>
      </c>
      <c r="H1485" t="s">
        <v>5327</v>
      </c>
      <c r="I1485" t="s">
        <v>46</v>
      </c>
      <c r="Q1485" t="s">
        <v>48</v>
      </c>
    </row>
    <row r="1486" spans="1:17" hidden="1" x14ac:dyDescent="0.25">
      <c r="A1486" t="s">
        <v>33</v>
      </c>
      <c r="B1486" t="s">
        <v>5328</v>
      </c>
      <c r="C1486" t="s">
        <v>21</v>
      </c>
      <c r="D1486" t="s">
        <v>5328</v>
      </c>
      <c r="E1486" t="s">
        <v>302</v>
      </c>
      <c r="F1486" t="s">
        <v>5329</v>
      </c>
      <c r="G1486" t="s">
        <v>24</v>
      </c>
      <c r="H1486" t="s">
        <v>5330</v>
      </c>
      <c r="I1486" t="s">
        <v>46</v>
      </c>
      <c r="L1486" t="s">
        <v>620</v>
      </c>
      <c r="Q1486" t="s">
        <v>48</v>
      </c>
    </row>
    <row r="1487" spans="1:17" hidden="1" x14ac:dyDescent="0.25">
      <c r="A1487" t="s">
        <v>33</v>
      </c>
      <c r="B1487" t="s">
        <v>5331</v>
      </c>
      <c r="C1487" t="s">
        <v>21</v>
      </c>
      <c r="D1487" t="s">
        <v>5331</v>
      </c>
      <c r="E1487" t="s">
        <v>187</v>
      </c>
      <c r="F1487" t="s">
        <v>5332</v>
      </c>
      <c r="G1487" t="s">
        <v>24</v>
      </c>
      <c r="H1487" t="s">
        <v>5333</v>
      </c>
    </row>
    <row r="1488" spans="1:17" hidden="1" x14ac:dyDescent="0.25">
      <c r="A1488" t="s">
        <v>33</v>
      </c>
      <c r="B1488" t="s">
        <v>5334</v>
      </c>
      <c r="C1488" t="s">
        <v>21</v>
      </c>
      <c r="D1488" t="s">
        <v>5334</v>
      </c>
      <c r="E1488" t="s">
        <v>5335</v>
      </c>
      <c r="F1488" t="s">
        <v>5336</v>
      </c>
      <c r="G1488" t="s">
        <v>24</v>
      </c>
      <c r="H1488" t="s">
        <v>5337</v>
      </c>
      <c r="I1488" t="s">
        <v>73</v>
      </c>
      <c r="L1488" t="s">
        <v>4229</v>
      </c>
      <c r="Q1488" t="s">
        <v>75</v>
      </c>
    </row>
    <row r="1489" spans="1:17" hidden="1" x14ac:dyDescent="0.25">
      <c r="A1489" t="s">
        <v>33</v>
      </c>
      <c r="B1489" t="s">
        <v>5338</v>
      </c>
      <c r="C1489" t="s">
        <v>21</v>
      </c>
      <c r="D1489" t="s">
        <v>5338</v>
      </c>
      <c r="E1489" t="s">
        <v>5339</v>
      </c>
      <c r="F1489" t="s">
        <v>5340</v>
      </c>
      <c r="G1489" t="s">
        <v>24</v>
      </c>
      <c r="H1489" t="s">
        <v>5341</v>
      </c>
      <c r="I1489" t="s">
        <v>46</v>
      </c>
      <c r="L1489" t="s">
        <v>3868</v>
      </c>
      <c r="Q1489" t="s">
        <v>48</v>
      </c>
    </row>
    <row r="1490" spans="1:17" hidden="1" x14ac:dyDescent="0.25">
      <c r="A1490" t="s">
        <v>33</v>
      </c>
      <c r="B1490" t="s">
        <v>5342</v>
      </c>
      <c r="C1490" t="s">
        <v>21</v>
      </c>
      <c r="D1490" t="s">
        <v>5342</v>
      </c>
      <c r="E1490" t="s">
        <v>2222</v>
      </c>
      <c r="F1490" t="s">
        <v>5343</v>
      </c>
      <c r="G1490" t="s">
        <v>24</v>
      </c>
      <c r="H1490" t="s">
        <v>5344</v>
      </c>
      <c r="I1490" t="s">
        <v>46</v>
      </c>
      <c r="L1490" t="s">
        <v>3868</v>
      </c>
      <c r="Q1490" t="s">
        <v>48</v>
      </c>
    </row>
    <row r="1491" spans="1:17" hidden="1" x14ac:dyDescent="0.25">
      <c r="A1491" t="s">
        <v>33</v>
      </c>
      <c r="B1491" t="s">
        <v>5345</v>
      </c>
      <c r="C1491" t="s">
        <v>21</v>
      </c>
      <c r="D1491" t="s">
        <v>5345</v>
      </c>
      <c r="E1491" t="s">
        <v>5346</v>
      </c>
      <c r="F1491" t="s">
        <v>5347</v>
      </c>
      <c r="G1491" t="s">
        <v>24</v>
      </c>
      <c r="H1491" t="s">
        <v>5348</v>
      </c>
      <c r="I1491" t="s">
        <v>46</v>
      </c>
      <c r="L1491" t="s">
        <v>3868</v>
      </c>
      <c r="Q1491" t="s">
        <v>48</v>
      </c>
    </row>
    <row r="1492" spans="1:17" hidden="1" x14ac:dyDescent="0.25">
      <c r="A1492" t="s">
        <v>33</v>
      </c>
      <c r="B1492" t="s">
        <v>5349</v>
      </c>
      <c r="C1492" t="s">
        <v>21</v>
      </c>
      <c r="D1492" t="s">
        <v>5349</v>
      </c>
      <c r="E1492" t="s">
        <v>727</v>
      </c>
      <c r="F1492" t="s">
        <v>5350</v>
      </c>
      <c r="G1492" t="s">
        <v>24</v>
      </c>
      <c r="H1492" t="s">
        <v>5351</v>
      </c>
      <c r="I1492" t="s">
        <v>46</v>
      </c>
      <c r="L1492" t="s">
        <v>3868</v>
      </c>
      <c r="Q1492" t="s">
        <v>48</v>
      </c>
    </row>
    <row r="1493" spans="1:17" hidden="1" x14ac:dyDescent="0.25">
      <c r="A1493" t="s">
        <v>33</v>
      </c>
      <c r="B1493" t="s">
        <v>5352</v>
      </c>
      <c r="C1493" t="s">
        <v>21</v>
      </c>
      <c r="D1493" t="s">
        <v>5352</v>
      </c>
      <c r="E1493" t="s">
        <v>5353</v>
      </c>
      <c r="F1493" t="s">
        <v>5354</v>
      </c>
      <c r="G1493" t="s">
        <v>24</v>
      </c>
      <c r="H1493" t="s">
        <v>5355</v>
      </c>
      <c r="I1493" t="s">
        <v>46</v>
      </c>
      <c r="L1493" t="s">
        <v>38</v>
      </c>
      <c r="Q1493" t="s">
        <v>48</v>
      </c>
    </row>
    <row r="1494" spans="1:17" hidden="1" x14ac:dyDescent="0.25">
      <c r="A1494" t="s">
        <v>33</v>
      </c>
      <c r="B1494" t="s">
        <v>5356</v>
      </c>
      <c r="C1494" t="s">
        <v>21</v>
      </c>
      <c r="D1494" t="s">
        <v>5356</v>
      </c>
      <c r="E1494" t="s">
        <v>60</v>
      </c>
      <c r="F1494" t="s">
        <v>5357</v>
      </c>
      <c r="G1494" t="s">
        <v>24</v>
      </c>
      <c r="H1494" t="s">
        <v>5358</v>
      </c>
      <c r="I1494" t="s">
        <v>46</v>
      </c>
      <c r="L1494" t="s">
        <v>3868</v>
      </c>
      <c r="Q1494" t="s">
        <v>48</v>
      </c>
    </row>
    <row r="1495" spans="1:17" hidden="1" x14ac:dyDescent="0.25">
      <c r="A1495" t="s">
        <v>33</v>
      </c>
      <c r="B1495" t="s">
        <v>5359</v>
      </c>
      <c r="C1495" t="s">
        <v>21</v>
      </c>
      <c r="D1495" t="s">
        <v>5359</v>
      </c>
      <c r="E1495" t="s">
        <v>284</v>
      </c>
      <c r="F1495" t="s">
        <v>5360</v>
      </c>
      <c r="G1495" t="s">
        <v>24</v>
      </c>
      <c r="H1495" t="s">
        <v>5361</v>
      </c>
      <c r="I1495" t="s">
        <v>46</v>
      </c>
      <c r="L1495" t="s">
        <v>697</v>
      </c>
      <c r="Q1495" t="s">
        <v>48</v>
      </c>
    </row>
    <row r="1496" spans="1:17" hidden="1" x14ac:dyDescent="0.25">
      <c r="A1496" t="s">
        <v>33</v>
      </c>
      <c r="B1496" t="s">
        <v>5362</v>
      </c>
      <c r="C1496" t="s">
        <v>92</v>
      </c>
      <c r="D1496" t="s">
        <v>5362</v>
      </c>
      <c r="E1496" t="s">
        <v>5363</v>
      </c>
      <c r="F1496" t="s">
        <v>145</v>
      </c>
      <c r="G1496" t="s">
        <v>24</v>
      </c>
      <c r="H1496" t="s">
        <v>5364</v>
      </c>
      <c r="I1496" t="s">
        <v>73</v>
      </c>
      <c r="L1496" t="s">
        <v>97</v>
      </c>
      <c r="Q1496" t="s">
        <v>75</v>
      </c>
    </row>
    <row r="1497" spans="1:17" hidden="1" x14ac:dyDescent="0.25">
      <c r="A1497" t="s">
        <v>33</v>
      </c>
      <c r="B1497" t="s">
        <v>5365</v>
      </c>
      <c r="C1497" t="s">
        <v>21</v>
      </c>
      <c r="D1497" t="s">
        <v>5365</v>
      </c>
      <c r="E1497" t="s">
        <v>2044</v>
      </c>
      <c r="F1497" t="s">
        <v>5366</v>
      </c>
      <c r="G1497" t="s">
        <v>24</v>
      </c>
      <c r="H1497" t="s">
        <v>5367</v>
      </c>
      <c r="I1497" t="s">
        <v>46</v>
      </c>
      <c r="L1497" t="s">
        <v>1389</v>
      </c>
      <c r="Q1497" t="s">
        <v>48</v>
      </c>
    </row>
    <row r="1498" spans="1:17" hidden="1" x14ac:dyDescent="0.25">
      <c r="A1498" t="s">
        <v>33</v>
      </c>
      <c r="B1498" t="s">
        <v>5368</v>
      </c>
      <c r="C1498" t="s">
        <v>21</v>
      </c>
      <c r="D1498" t="s">
        <v>5368</v>
      </c>
      <c r="E1498" t="s">
        <v>1806</v>
      </c>
      <c r="F1498" t="s">
        <v>5369</v>
      </c>
      <c r="G1498" t="s">
        <v>24</v>
      </c>
      <c r="H1498" t="s">
        <v>5370</v>
      </c>
      <c r="I1498" t="s">
        <v>46</v>
      </c>
      <c r="L1498" t="s">
        <v>74</v>
      </c>
      <c r="Q1498" t="s">
        <v>48</v>
      </c>
    </row>
    <row r="1499" spans="1:17" hidden="1" x14ac:dyDescent="0.25">
      <c r="A1499" t="s">
        <v>33</v>
      </c>
      <c r="B1499" t="s">
        <v>5371</v>
      </c>
      <c r="C1499" t="s">
        <v>21</v>
      </c>
      <c r="D1499" t="s">
        <v>5371</v>
      </c>
      <c r="E1499" t="s">
        <v>4269</v>
      </c>
      <c r="F1499" t="s">
        <v>1435</v>
      </c>
      <c r="G1499" t="s">
        <v>24</v>
      </c>
      <c r="H1499" t="s">
        <v>5372</v>
      </c>
      <c r="I1499" t="s">
        <v>46</v>
      </c>
      <c r="L1499" t="s">
        <v>47</v>
      </c>
      <c r="Q1499" t="s">
        <v>48</v>
      </c>
    </row>
    <row r="1500" spans="1:17" hidden="1" x14ac:dyDescent="0.25">
      <c r="A1500" t="s">
        <v>33</v>
      </c>
      <c r="B1500" t="s">
        <v>5373</v>
      </c>
      <c r="C1500" t="s">
        <v>21</v>
      </c>
      <c r="D1500" t="s">
        <v>5373</v>
      </c>
      <c r="E1500" t="s">
        <v>3700</v>
      </c>
      <c r="F1500" t="s">
        <v>5374</v>
      </c>
      <c r="G1500" t="s">
        <v>24</v>
      </c>
      <c r="H1500" t="s">
        <v>5375</v>
      </c>
      <c r="I1500" t="s">
        <v>3206</v>
      </c>
      <c r="Q1500" t="s">
        <v>3207</v>
      </c>
    </row>
    <row r="1501" spans="1:17" hidden="1" x14ac:dyDescent="0.25">
      <c r="A1501" t="s">
        <v>33</v>
      </c>
      <c r="B1501" t="s">
        <v>5376</v>
      </c>
      <c r="C1501" t="s">
        <v>29</v>
      </c>
      <c r="D1501" t="s">
        <v>5376</v>
      </c>
      <c r="E1501" t="s">
        <v>1315</v>
      </c>
      <c r="F1501" t="s">
        <v>5377</v>
      </c>
      <c r="G1501" t="s">
        <v>24</v>
      </c>
      <c r="H1501" t="s">
        <v>5378</v>
      </c>
      <c r="I1501" t="s">
        <v>73</v>
      </c>
      <c r="L1501" t="s">
        <v>517</v>
      </c>
      <c r="Q1501" t="s">
        <v>75</v>
      </c>
    </row>
    <row r="1502" spans="1:17" hidden="1" x14ac:dyDescent="0.25">
      <c r="A1502" t="s">
        <v>33</v>
      </c>
      <c r="B1502" t="s">
        <v>5379</v>
      </c>
      <c r="C1502" t="s">
        <v>29</v>
      </c>
      <c r="D1502" t="s">
        <v>5379</v>
      </c>
      <c r="E1502" t="s">
        <v>2731</v>
      </c>
      <c r="F1502" t="s">
        <v>5380</v>
      </c>
      <c r="G1502" t="s">
        <v>24</v>
      </c>
      <c r="H1502" t="s">
        <v>5381</v>
      </c>
      <c r="L1502" t="s">
        <v>3808</v>
      </c>
    </row>
    <row r="1503" spans="1:17" hidden="1" x14ac:dyDescent="0.25">
      <c r="A1503" t="s">
        <v>33</v>
      </c>
      <c r="B1503" t="s">
        <v>5382</v>
      </c>
      <c r="C1503" t="s">
        <v>21</v>
      </c>
      <c r="D1503" t="s">
        <v>5382</v>
      </c>
      <c r="E1503" t="s">
        <v>126</v>
      </c>
      <c r="F1503" t="s">
        <v>5383</v>
      </c>
      <c r="G1503" t="s">
        <v>24</v>
      </c>
      <c r="H1503" t="s">
        <v>5384</v>
      </c>
      <c r="I1503" t="s">
        <v>46</v>
      </c>
      <c r="L1503" t="s">
        <v>3258</v>
      </c>
      <c r="Q1503" t="s">
        <v>48</v>
      </c>
    </row>
    <row r="1504" spans="1:17" hidden="1" x14ac:dyDescent="0.25">
      <c r="A1504" t="s">
        <v>33</v>
      </c>
      <c r="B1504" t="s">
        <v>5385</v>
      </c>
      <c r="C1504" t="s">
        <v>21</v>
      </c>
      <c r="D1504" t="s">
        <v>5385</v>
      </c>
      <c r="E1504" t="s">
        <v>1357</v>
      </c>
      <c r="F1504" t="s">
        <v>87</v>
      </c>
      <c r="G1504" t="s">
        <v>24</v>
      </c>
      <c r="H1504" t="s">
        <v>5386</v>
      </c>
    </row>
    <row r="1505" spans="1:17" hidden="1" x14ac:dyDescent="0.25">
      <c r="A1505" t="s">
        <v>33</v>
      </c>
      <c r="B1505" t="s">
        <v>5387</v>
      </c>
      <c r="C1505" t="s">
        <v>21</v>
      </c>
      <c r="D1505" t="s">
        <v>5387</v>
      </c>
      <c r="E1505" t="s">
        <v>435</v>
      </c>
      <c r="F1505" t="s">
        <v>5388</v>
      </c>
      <c r="G1505" t="s">
        <v>24</v>
      </c>
      <c r="H1505" t="s">
        <v>5389</v>
      </c>
      <c r="I1505" t="s">
        <v>73</v>
      </c>
      <c r="L1505" t="s">
        <v>47</v>
      </c>
      <c r="Q1505" t="s">
        <v>75</v>
      </c>
    </row>
    <row r="1506" spans="1:17" hidden="1" x14ac:dyDescent="0.25">
      <c r="A1506" t="s">
        <v>33</v>
      </c>
      <c r="B1506" t="s">
        <v>5390</v>
      </c>
      <c r="C1506" t="s">
        <v>21</v>
      </c>
      <c r="D1506" t="s">
        <v>5390</v>
      </c>
      <c r="E1506" t="s">
        <v>275</v>
      </c>
      <c r="F1506" t="s">
        <v>5391</v>
      </c>
      <c r="G1506" t="s">
        <v>24</v>
      </c>
      <c r="H1506" t="s">
        <v>5392</v>
      </c>
      <c r="I1506" t="s">
        <v>46</v>
      </c>
      <c r="L1506" t="s">
        <v>3868</v>
      </c>
      <c r="Q1506" t="s">
        <v>48</v>
      </c>
    </row>
    <row r="1507" spans="1:17" hidden="1" x14ac:dyDescent="0.25">
      <c r="A1507" t="s">
        <v>33</v>
      </c>
      <c r="B1507" t="s">
        <v>5393</v>
      </c>
      <c r="C1507" t="s">
        <v>21</v>
      </c>
      <c r="D1507" t="s">
        <v>5393</v>
      </c>
      <c r="E1507" t="s">
        <v>5394</v>
      </c>
      <c r="F1507" t="s">
        <v>2495</v>
      </c>
      <c r="G1507" t="s">
        <v>24</v>
      </c>
      <c r="H1507" t="s">
        <v>5395</v>
      </c>
      <c r="I1507" t="s">
        <v>46</v>
      </c>
      <c r="L1507" t="s">
        <v>3868</v>
      </c>
      <c r="Q1507" t="s">
        <v>48</v>
      </c>
    </row>
    <row r="1508" spans="1:17" hidden="1" x14ac:dyDescent="0.25">
      <c r="A1508" t="s">
        <v>19</v>
      </c>
      <c r="B1508" t="s">
        <v>5396</v>
      </c>
      <c r="C1508" t="s">
        <v>5397</v>
      </c>
      <c r="D1508" t="s">
        <v>5396</v>
      </c>
      <c r="E1508" t="s">
        <v>5398</v>
      </c>
      <c r="F1508" t="s">
        <v>5399</v>
      </c>
      <c r="G1508" t="s">
        <v>2391</v>
      </c>
      <c r="H1508" s="1" t="s">
        <v>5400</v>
      </c>
      <c r="I1508" t="s">
        <v>46</v>
      </c>
      <c r="L1508" t="s">
        <v>3868</v>
      </c>
      <c r="Q1508" t="s">
        <v>48</v>
      </c>
    </row>
    <row r="1509" spans="1:17" hidden="1" x14ac:dyDescent="0.25">
      <c r="A1509" t="s">
        <v>33</v>
      </c>
      <c r="B1509" t="s">
        <v>5401</v>
      </c>
      <c r="C1509" t="s">
        <v>21</v>
      </c>
      <c r="D1509" t="s">
        <v>5401</v>
      </c>
      <c r="E1509" t="s">
        <v>372</v>
      </c>
      <c r="F1509" t="s">
        <v>5402</v>
      </c>
      <c r="G1509" t="s">
        <v>24</v>
      </c>
      <c r="H1509" t="s">
        <v>5403</v>
      </c>
      <c r="I1509" t="s">
        <v>46</v>
      </c>
      <c r="L1509" t="s">
        <v>3868</v>
      </c>
      <c r="Q1509" t="s">
        <v>48</v>
      </c>
    </row>
    <row r="1510" spans="1:17" hidden="1" x14ac:dyDescent="0.25">
      <c r="A1510" t="s">
        <v>33</v>
      </c>
      <c r="B1510" t="s">
        <v>5404</v>
      </c>
      <c r="C1510" t="s">
        <v>21</v>
      </c>
      <c r="D1510" t="s">
        <v>5404</v>
      </c>
      <c r="E1510" t="s">
        <v>2136</v>
      </c>
      <c r="F1510" t="s">
        <v>1739</v>
      </c>
      <c r="G1510" t="s">
        <v>24</v>
      </c>
      <c r="H1510" t="s">
        <v>5405</v>
      </c>
      <c r="I1510" t="s">
        <v>46</v>
      </c>
      <c r="L1510" t="s">
        <v>511</v>
      </c>
      <c r="Q1510" t="s">
        <v>48</v>
      </c>
    </row>
    <row r="1511" spans="1:17" hidden="1" x14ac:dyDescent="0.25">
      <c r="A1511" t="s">
        <v>33</v>
      </c>
      <c r="B1511" t="s">
        <v>5406</v>
      </c>
      <c r="C1511" t="s">
        <v>21</v>
      </c>
      <c r="D1511" t="s">
        <v>5406</v>
      </c>
      <c r="E1511" t="s">
        <v>3283</v>
      </c>
      <c r="F1511" t="s">
        <v>5407</v>
      </c>
      <c r="G1511" t="s">
        <v>24</v>
      </c>
      <c r="H1511" t="s">
        <v>5408</v>
      </c>
      <c r="I1511" t="s">
        <v>46</v>
      </c>
      <c r="L1511" t="s">
        <v>3868</v>
      </c>
      <c r="Q1511" t="s">
        <v>48</v>
      </c>
    </row>
    <row r="1512" spans="1:17" hidden="1" x14ac:dyDescent="0.25">
      <c r="A1512" t="s">
        <v>33</v>
      </c>
      <c r="B1512" t="s">
        <v>5409</v>
      </c>
      <c r="C1512" t="s">
        <v>21</v>
      </c>
      <c r="D1512" t="s">
        <v>5409</v>
      </c>
      <c r="E1512" t="s">
        <v>5410</v>
      </c>
      <c r="F1512" t="s">
        <v>5411</v>
      </c>
      <c r="G1512" t="s">
        <v>24</v>
      </c>
      <c r="H1512" t="s">
        <v>5412</v>
      </c>
      <c r="I1512" t="s">
        <v>46</v>
      </c>
      <c r="L1512" t="s">
        <v>3868</v>
      </c>
      <c r="Q1512" t="s">
        <v>48</v>
      </c>
    </row>
    <row r="1513" spans="1:17" hidden="1" x14ac:dyDescent="0.25">
      <c r="A1513" t="s">
        <v>33</v>
      </c>
      <c r="B1513" t="s">
        <v>5413</v>
      </c>
      <c r="C1513" t="s">
        <v>21</v>
      </c>
      <c r="D1513" t="s">
        <v>5413</v>
      </c>
      <c r="E1513" t="s">
        <v>140</v>
      </c>
      <c r="F1513" t="s">
        <v>5414</v>
      </c>
      <c r="G1513" t="s">
        <v>24</v>
      </c>
      <c r="H1513" t="s">
        <v>5415</v>
      </c>
      <c r="I1513" t="s">
        <v>73</v>
      </c>
      <c r="L1513" t="s">
        <v>692</v>
      </c>
      <c r="Q1513" t="s">
        <v>75</v>
      </c>
    </row>
    <row r="1514" spans="1:17" hidden="1" x14ac:dyDescent="0.25">
      <c r="A1514" t="s">
        <v>33</v>
      </c>
      <c r="B1514" t="s">
        <v>5416</v>
      </c>
      <c r="C1514" t="s">
        <v>21</v>
      </c>
      <c r="D1514" t="s">
        <v>5416</v>
      </c>
      <c r="E1514" t="s">
        <v>5417</v>
      </c>
      <c r="F1514" t="s">
        <v>2437</v>
      </c>
      <c r="G1514" t="s">
        <v>24</v>
      </c>
      <c r="H1514" t="s">
        <v>5418</v>
      </c>
      <c r="I1514" t="s">
        <v>46</v>
      </c>
      <c r="L1514" t="s">
        <v>3868</v>
      </c>
      <c r="Q1514" t="s">
        <v>48</v>
      </c>
    </row>
    <row r="1515" spans="1:17" hidden="1" x14ac:dyDescent="0.25">
      <c r="A1515" t="s">
        <v>33</v>
      </c>
      <c r="B1515" t="s">
        <v>5419</v>
      </c>
      <c r="C1515" t="s">
        <v>29</v>
      </c>
      <c r="D1515" t="s">
        <v>5419</v>
      </c>
      <c r="E1515" t="s">
        <v>1189</v>
      </c>
      <c r="F1515" t="s">
        <v>5420</v>
      </c>
      <c r="G1515" t="s">
        <v>24</v>
      </c>
      <c r="H1515" t="s">
        <v>5421</v>
      </c>
      <c r="I1515" t="s">
        <v>73</v>
      </c>
      <c r="L1515" t="s">
        <v>511</v>
      </c>
      <c r="Q1515" t="s">
        <v>75</v>
      </c>
    </row>
    <row r="1516" spans="1:17" hidden="1" x14ac:dyDescent="0.25">
      <c r="A1516" t="s">
        <v>33</v>
      </c>
      <c r="B1516" t="s">
        <v>5422</v>
      </c>
      <c r="C1516" t="s">
        <v>21</v>
      </c>
      <c r="D1516" t="s">
        <v>5422</v>
      </c>
      <c r="E1516" t="s">
        <v>5423</v>
      </c>
      <c r="F1516" t="s">
        <v>591</v>
      </c>
      <c r="G1516" t="s">
        <v>24</v>
      </c>
      <c r="H1516" t="s">
        <v>5424</v>
      </c>
      <c r="I1516" t="s">
        <v>46</v>
      </c>
      <c r="L1516" t="s">
        <v>3868</v>
      </c>
      <c r="Q1516" t="s">
        <v>48</v>
      </c>
    </row>
    <row r="1517" spans="1:17" hidden="1" x14ac:dyDescent="0.25">
      <c r="A1517" t="s">
        <v>33</v>
      </c>
      <c r="B1517" t="s">
        <v>5425</v>
      </c>
      <c r="C1517" t="s">
        <v>21</v>
      </c>
      <c r="D1517" t="s">
        <v>5425</v>
      </c>
      <c r="E1517" t="s">
        <v>187</v>
      </c>
      <c r="F1517" t="s">
        <v>5426</v>
      </c>
      <c r="G1517" t="s">
        <v>24</v>
      </c>
      <c r="H1517" t="s">
        <v>5427</v>
      </c>
      <c r="I1517" t="s">
        <v>46</v>
      </c>
      <c r="L1517" t="s">
        <v>914</v>
      </c>
      <c r="Q1517" t="s">
        <v>48</v>
      </c>
    </row>
    <row r="1518" spans="1:17" hidden="1" x14ac:dyDescent="0.25">
      <c r="A1518" t="s">
        <v>33</v>
      </c>
      <c r="B1518" t="s">
        <v>5428</v>
      </c>
      <c r="C1518" t="s">
        <v>21</v>
      </c>
      <c r="D1518" t="s">
        <v>5429</v>
      </c>
      <c r="E1518" t="s">
        <v>4211</v>
      </c>
      <c r="F1518" t="s">
        <v>5430</v>
      </c>
      <c r="G1518" t="s">
        <v>24</v>
      </c>
      <c r="H1518" t="s">
        <v>5431</v>
      </c>
      <c r="I1518" t="s">
        <v>46</v>
      </c>
      <c r="L1518" t="s">
        <v>3868</v>
      </c>
      <c r="Q1518" t="s">
        <v>48</v>
      </c>
    </row>
    <row r="1519" spans="1:17" hidden="1" x14ac:dyDescent="0.25">
      <c r="A1519" t="s">
        <v>33</v>
      </c>
      <c r="B1519" t="s">
        <v>5432</v>
      </c>
      <c r="C1519" t="s">
        <v>21</v>
      </c>
      <c r="D1519" t="s">
        <v>5432</v>
      </c>
      <c r="E1519" t="s">
        <v>351</v>
      </c>
      <c r="F1519" t="s">
        <v>5433</v>
      </c>
      <c r="G1519" t="s">
        <v>24</v>
      </c>
      <c r="H1519" s="1" t="s">
        <v>5434</v>
      </c>
      <c r="I1519" t="s">
        <v>73</v>
      </c>
      <c r="L1519" t="s">
        <v>1923</v>
      </c>
      <c r="Q1519" t="s">
        <v>75</v>
      </c>
    </row>
    <row r="1520" spans="1:17" hidden="1" x14ac:dyDescent="0.25">
      <c r="A1520" t="s">
        <v>33</v>
      </c>
      <c r="B1520" t="s">
        <v>5435</v>
      </c>
      <c r="C1520" t="s">
        <v>21</v>
      </c>
      <c r="D1520" t="s">
        <v>5435</v>
      </c>
      <c r="E1520" t="s">
        <v>5436</v>
      </c>
      <c r="F1520" t="s">
        <v>5437</v>
      </c>
      <c r="G1520" t="s">
        <v>24</v>
      </c>
      <c r="H1520" t="s">
        <v>5438</v>
      </c>
      <c r="I1520" t="s">
        <v>46</v>
      </c>
      <c r="L1520" t="s">
        <v>166</v>
      </c>
      <c r="Q1520" t="s">
        <v>48</v>
      </c>
    </row>
    <row r="1521" spans="1:17" hidden="1" x14ac:dyDescent="0.25">
      <c r="A1521" t="s">
        <v>33</v>
      </c>
      <c r="B1521" t="s">
        <v>5439</v>
      </c>
      <c r="C1521" t="s">
        <v>21</v>
      </c>
      <c r="D1521" t="s">
        <v>5440</v>
      </c>
      <c r="E1521" t="s">
        <v>3450</v>
      </c>
      <c r="F1521" t="s">
        <v>5441</v>
      </c>
      <c r="G1521" t="s">
        <v>24</v>
      </c>
      <c r="H1521" t="s">
        <v>5442</v>
      </c>
      <c r="L1521" t="s">
        <v>914</v>
      </c>
    </row>
    <row r="1522" spans="1:17" hidden="1" x14ac:dyDescent="0.25">
      <c r="A1522" t="s">
        <v>33</v>
      </c>
      <c r="B1522" t="s">
        <v>5443</v>
      </c>
      <c r="C1522" t="s">
        <v>21</v>
      </c>
      <c r="D1522" t="s">
        <v>5443</v>
      </c>
      <c r="E1522" t="s">
        <v>1893</v>
      </c>
      <c r="F1522" t="s">
        <v>5444</v>
      </c>
      <c r="G1522" t="s">
        <v>24</v>
      </c>
      <c r="H1522" s="1" t="s">
        <v>5445</v>
      </c>
      <c r="I1522" t="s">
        <v>46</v>
      </c>
      <c r="L1522" t="s">
        <v>4585</v>
      </c>
      <c r="Q1522" t="s">
        <v>48</v>
      </c>
    </row>
    <row r="1523" spans="1:17" hidden="1" x14ac:dyDescent="0.25">
      <c r="A1523" t="s">
        <v>33</v>
      </c>
      <c r="B1523" t="s">
        <v>5446</v>
      </c>
      <c r="C1523" t="s">
        <v>21</v>
      </c>
      <c r="D1523" t="s">
        <v>5446</v>
      </c>
      <c r="E1523" t="s">
        <v>435</v>
      </c>
      <c r="F1523" t="s">
        <v>5447</v>
      </c>
      <c r="G1523" t="s">
        <v>24</v>
      </c>
      <c r="H1523" t="s">
        <v>5448</v>
      </c>
      <c r="I1523" t="s">
        <v>46</v>
      </c>
      <c r="L1523" t="s">
        <v>692</v>
      </c>
      <c r="Q1523" t="s">
        <v>48</v>
      </c>
    </row>
    <row r="1524" spans="1:17" hidden="1" x14ac:dyDescent="0.25">
      <c r="A1524" t="s">
        <v>33</v>
      </c>
      <c r="B1524" t="s">
        <v>5449</v>
      </c>
      <c r="C1524" t="s">
        <v>21</v>
      </c>
      <c r="D1524" t="s">
        <v>5449</v>
      </c>
      <c r="E1524" t="s">
        <v>372</v>
      </c>
      <c r="F1524" t="s">
        <v>5450</v>
      </c>
      <c r="G1524" t="s">
        <v>24</v>
      </c>
      <c r="H1524" t="s">
        <v>5451</v>
      </c>
      <c r="I1524" t="s">
        <v>46</v>
      </c>
      <c r="L1524" t="s">
        <v>2780</v>
      </c>
      <c r="Q1524" t="s">
        <v>48</v>
      </c>
    </row>
    <row r="1525" spans="1:17" hidden="1" x14ac:dyDescent="0.25">
      <c r="A1525" t="s">
        <v>33</v>
      </c>
      <c r="B1525" t="s">
        <v>5452</v>
      </c>
      <c r="C1525" t="s">
        <v>21</v>
      </c>
      <c r="D1525" t="s">
        <v>5452</v>
      </c>
      <c r="E1525" t="s">
        <v>3405</v>
      </c>
      <c r="F1525" t="s">
        <v>5453</v>
      </c>
      <c r="G1525" t="s">
        <v>24</v>
      </c>
      <c r="H1525" t="s">
        <v>5454</v>
      </c>
      <c r="I1525" t="s">
        <v>46</v>
      </c>
      <c r="L1525" t="s">
        <v>4229</v>
      </c>
      <c r="Q1525" t="s">
        <v>48</v>
      </c>
    </row>
    <row r="1526" spans="1:17" hidden="1" x14ac:dyDescent="0.25">
      <c r="A1526" t="s">
        <v>33</v>
      </c>
      <c r="B1526" t="s">
        <v>5455</v>
      </c>
      <c r="C1526" t="s">
        <v>29</v>
      </c>
      <c r="D1526" t="s">
        <v>5455</v>
      </c>
      <c r="E1526" t="s">
        <v>5456</v>
      </c>
      <c r="F1526" t="s">
        <v>5457</v>
      </c>
      <c r="G1526" t="s">
        <v>24</v>
      </c>
      <c r="H1526" t="s">
        <v>5458</v>
      </c>
      <c r="I1526" t="s">
        <v>73</v>
      </c>
      <c r="L1526" t="s">
        <v>861</v>
      </c>
      <c r="Q1526" t="s">
        <v>75</v>
      </c>
    </row>
    <row r="1527" spans="1:17" hidden="1" x14ac:dyDescent="0.25">
      <c r="A1527" t="s">
        <v>33</v>
      </c>
      <c r="B1527" t="s">
        <v>5459</v>
      </c>
      <c r="C1527" t="s">
        <v>21</v>
      </c>
      <c r="D1527" t="s">
        <v>5459</v>
      </c>
      <c r="E1527" t="s">
        <v>5460</v>
      </c>
      <c r="F1527" t="s">
        <v>5461</v>
      </c>
      <c r="G1527" t="s">
        <v>24</v>
      </c>
      <c r="H1527" t="s">
        <v>5462</v>
      </c>
      <c r="I1527" t="s">
        <v>3565</v>
      </c>
      <c r="L1527" t="s">
        <v>148</v>
      </c>
      <c r="Q1527" t="s">
        <v>3566</v>
      </c>
    </row>
    <row r="1528" spans="1:17" hidden="1" x14ac:dyDescent="0.25">
      <c r="A1528" t="s">
        <v>33</v>
      </c>
      <c r="B1528" t="s">
        <v>5463</v>
      </c>
      <c r="C1528" t="s">
        <v>21</v>
      </c>
      <c r="D1528" t="s">
        <v>5464</v>
      </c>
      <c r="E1528" t="s">
        <v>319</v>
      </c>
      <c r="F1528" t="s">
        <v>5465</v>
      </c>
      <c r="G1528" t="s">
        <v>24</v>
      </c>
      <c r="H1528" t="s">
        <v>5466</v>
      </c>
      <c r="I1528" t="s">
        <v>46</v>
      </c>
      <c r="L1528" t="s">
        <v>27</v>
      </c>
      <c r="Q1528" t="s">
        <v>48</v>
      </c>
    </row>
    <row r="1529" spans="1:17" hidden="1" x14ac:dyDescent="0.25">
      <c r="A1529" t="s">
        <v>33</v>
      </c>
      <c r="B1529" t="s">
        <v>5467</v>
      </c>
      <c r="C1529" t="s">
        <v>21</v>
      </c>
      <c r="D1529" t="s">
        <v>5467</v>
      </c>
      <c r="E1529" t="s">
        <v>1488</v>
      </c>
      <c r="F1529" t="s">
        <v>5468</v>
      </c>
      <c r="G1529" t="s">
        <v>24</v>
      </c>
      <c r="H1529" t="s">
        <v>5469</v>
      </c>
      <c r="I1529" t="s">
        <v>46</v>
      </c>
      <c r="L1529" t="s">
        <v>415</v>
      </c>
      <c r="Q1529" t="s">
        <v>48</v>
      </c>
    </row>
    <row r="1530" spans="1:17" hidden="1" x14ac:dyDescent="0.25">
      <c r="A1530" t="s">
        <v>33</v>
      </c>
      <c r="B1530" t="s">
        <v>5470</v>
      </c>
      <c r="C1530" t="s">
        <v>21</v>
      </c>
      <c r="D1530" t="s">
        <v>5470</v>
      </c>
      <c r="E1530" t="s">
        <v>5471</v>
      </c>
      <c r="F1530" t="s">
        <v>5472</v>
      </c>
      <c r="G1530" t="s">
        <v>24</v>
      </c>
      <c r="H1530" t="s">
        <v>5473</v>
      </c>
    </row>
    <row r="1531" spans="1:17" hidden="1" x14ac:dyDescent="0.25">
      <c r="A1531" t="s">
        <v>33</v>
      </c>
      <c r="B1531" t="s">
        <v>5474</v>
      </c>
      <c r="C1531" t="s">
        <v>29</v>
      </c>
      <c r="D1531" t="s">
        <v>5474</v>
      </c>
      <c r="E1531" t="s">
        <v>5475</v>
      </c>
      <c r="F1531" t="s">
        <v>5476</v>
      </c>
      <c r="G1531" t="s">
        <v>24</v>
      </c>
      <c r="H1531" t="s">
        <v>5477</v>
      </c>
      <c r="I1531" t="s">
        <v>73</v>
      </c>
      <c r="L1531" t="s">
        <v>1389</v>
      </c>
      <c r="Q1531" t="s">
        <v>75</v>
      </c>
    </row>
    <row r="1532" spans="1:17" hidden="1" x14ac:dyDescent="0.25">
      <c r="A1532" t="s">
        <v>33</v>
      </c>
      <c r="B1532" t="s">
        <v>5478</v>
      </c>
      <c r="C1532" t="s">
        <v>21</v>
      </c>
      <c r="D1532" t="s">
        <v>5478</v>
      </c>
      <c r="E1532" t="s">
        <v>778</v>
      </c>
      <c r="F1532" t="s">
        <v>5479</v>
      </c>
      <c r="G1532" t="s">
        <v>24</v>
      </c>
      <c r="H1532" t="s">
        <v>5480</v>
      </c>
      <c r="I1532" t="s">
        <v>46</v>
      </c>
      <c r="L1532" t="s">
        <v>2700</v>
      </c>
      <c r="Q1532" t="s">
        <v>48</v>
      </c>
    </row>
    <row r="1533" spans="1:17" hidden="1" x14ac:dyDescent="0.25">
      <c r="A1533" t="s">
        <v>33</v>
      </c>
      <c r="B1533" t="s">
        <v>5481</v>
      </c>
      <c r="C1533" t="s">
        <v>21</v>
      </c>
      <c r="D1533" t="s">
        <v>5481</v>
      </c>
      <c r="E1533" t="s">
        <v>5482</v>
      </c>
      <c r="F1533" t="s">
        <v>3901</v>
      </c>
      <c r="G1533" t="s">
        <v>24</v>
      </c>
      <c r="H1533" t="s">
        <v>5483</v>
      </c>
      <c r="I1533" t="s">
        <v>46</v>
      </c>
      <c r="L1533" t="s">
        <v>3868</v>
      </c>
      <c r="Q1533" t="s">
        <v>48</v>
      </c>
    </row>
    <row r="1534" spans="1:17" hidden="1" x14ac:dyDescent="0.25">
      <c r="A1534" t="s">
        <v>33</v>
      </c>
      <c r="B1534" t="s">
        <v>5484</v>
      </c>
      <c r="C1534" t="s">
        <v>21</v>
      </c>
      <c r="D1534" t="s">
        <v>5484</v>
      </c>
      <c r="E1534" t="s">
        <v>5485</v>
      </c>
      <c r="F1534" t="s">
        <v>5486</v>
      </c>
      <c r="G1534" t="s">
        <v>24</v>
      </c>
      <c r="H1534" t="s">
        <v>5487</v>
      </c>
    </row>
    <row r="1535" spans="1:17" hidden="1" x14ac:dyDescent="0.25">
      <c r="A1535" t="s">
        <v>33</v>
      </c>
      <c r="B1535" t="s">
        <v>5488</v>
      </c>
      <c r="C1535" t="s">
        <v>21</v>
      </c>
      <c r="D1535" t="s">
        <v>5488</v>
      </c>
      <c r="E1535" t="s">
        <v>3166</v>
      </c>
      <c r="F1535" t="s">
        <v>1247</v>
      </c>
      <c r="G1535" t="s">
        <v>24</v>
      </c>
      <c r="H1535" t="s">
        <v>5489</v>
      </c>
    </row>
    <row r="1536" spans="1:17" hidden="1" x14ac:dyDescent="0.25">
      <c r="A1536" t="s">
        <v>33</v>
      </c>
      <c r="B1536" t="s">
        <v>5490</v>
      </c>
      <c r="C1536" t="s">
        <v>29</v>
      </c>
      <c r="D1536" t="s">
        <v>5490</v>
      </c>
      <c r="E1536" t="s">
        <v>514</v>
      </c>
      <c r="F1536" t="s">
        <v>632</v>
      </c>
      <c r="G1536" t="s">
        <v>24</v>
      </c>
      <c r="H1536" t="s">
        <v>5491</v>
      </c>
      <c r="I1536" t="s">
        <v>46</v>
      </c>
      <c r="L1536" t="s">
        <v>3808</v>
      </c>
      <c r="Q1536" t="s">
        <v>48</v>
      </c>
    </row>
    <row r="1537" spans="1:17" hidden="1" x14ac:dyDescent="0.25">
      <c r="A1537" t="s">
        <v>33</v>
      </c>
      <c r="B1537" t="s">
        <v>5492</v>
      </c>
      <c r="C1537" t="s">
        <v>21</v>
      </c>
      <c r="D1537" t="s">
        <v>5492</v>
      </c>
      <c r="E1537" t="s">
        <v>5493</v>
      </c>
      <c r="F1537" t="s">
        <v>5494</v>
      </c>
      <c r="G1537" t="s">
        <v>24</v>
      </c>
      <c r="H1537" t="s">
        <v>5495</v>
      </c>
      <c r="I1537" t="s">
        <v>73</v>
      </c>
      <c r="L1537" t="s">
        <v>1013</v>
      </c>
      <c r="Q1537" t="s">
        <v>75</v>
      </c>
    </row>
    <row r="1538" spans="1:17" hidden="1" x14ac:dyDescent="0.25">
      <c r="A1538" t="s">
        <v>33</v>
      </c>
      <c r="B1538" t="s">
        <v>5496</v>
      </c>
      <c r="C1538" t="s">
        <v>21</v>
      </c>
      <c r="D1538" t="s">
        <v>5496</v>
      </c>
      <c r="E1538" t="s">
        <v>3283</v>
      </c>
      <c r="F1538" t="s">
        <v>4366</v>
      </c>
      <c r="G1538" t="s">
        <v>24</v>
      </c>
      <c r="H1538" t="s">
        <v>5497</v>
      </c>
    </row>
    <row r="1539" spans="1:17" hidden="1" x14ac:dyDescent="0.25">
      <c r="A1539" t="s">
        <v>33</v>
      </c>
      <c r="B1539" t="s">
        <v>5498</v>
      </c>
      <c r="C1539" t="s">
        <v>21</v>
      </c>
      <c r="D1539" t="s">
        <v>5498</v>
      </c>
      <c r="E1539" t="s">
        <v>5499</v>
      </c>
      <c r="F1539" t="s">
        <v>5500</v>
      </c>
      <c r="G1539" t="s">
        <v>24</v>
      </c>
      <c r="H1539" s="1" t="s">
        <v>5501</v>
      </c>
      <c r="I1539" t="s">
        <v>46</v>
      </c>
      <c r="L1539" t="s">
        <v>3868</v>
      </c>
      <c r="Q1539" t="s">
        <v>48</v>
      </c>
    </row>
    <row r="1540" spans="1:17" hidden="1" x14ac:dyDescent="0.25">
      <c r="A1540" t="s">
        <v>33</v>
      </c>
      <c r="B1540" t="s">
        <v>5502</v>
      </c>
      <c r="C1540" t="s">
        <v>21</v>
      </c>
      <c r="D1540" t="s">
        <v>5502</v>
      </c>
      <c r="E1540" t="s">
        <v>1549</v>
      </c>
      <c r="F1540" t="s">
        <v>5503</v>
      </c>
      <c r="G1540" t="s">
        <v>24</v>
      </c>
      <c r="H1540" t="s">
        <v>5504</v>
      </c>
      <c r="I1540" t="s">
        <v>46</v>
      </c>
      <c r="Q1540" t="s">
        <v>48</v>
      </c>
    </row>
    <row r="1541" spans="1:17" hidden="1" x14ac:dyDescent="0.25">
      <c r="A1541" t="s">
        <v>33</v>
      </c>
      <c r="B1541" t="s">
        <v>5505</v>
      </c>
      <c r="C1541" t="s">
        <v>21</v>
      </c>
      <c r="D1541" t="s">
        <v>5505</v>
      </c>
      <c r="E1541" t="s">
        <v>5506</v>
      </c>
      <c r="F1541" t="s">
        <v>5507</v>
      </c>
      <c r="G1541" t="s">
        <v>24</v>
      </c>
      <c r="H1541" t="s">
        <v>5508</v>
      </c>
      <c r="I1541" t="s">
        <v>46</v>
      </c>
      <c r="L1541" t="s">
        <v>3868</v>
      </c>
      <c r="Q1541" t="s">
        <v>48</v>
      </c>
    </row>
    <row r="1542" spans="1:17" hidden="1" x14ac:dyDescent="0.25">
      <c r="A1542" t="s">
        <v>33</v>
      </c>
      <c r="B1542" t="s">
        <v>5509</v>
      </c>
      <c r="C1542" t="s">
        <v>21</v>
      </c>
      <c r="D1542" t="s">
        <v>5509</v>
      </c>
      <c r="E1542" t="s">
        <v>723</v>
      </c>
      <c r="F1542" t="s">
        <v>2445</v>
      </c>
      <c r="G1542" t="s">
        <v>24</v>
      </c>
      <c r="H1542" t="s">
        <v>5510</v>
      </c>
      <c r="I1542" t="s">
        <v>73</v>
      </c>
      <c r="L1542" t="s">
        <v>3868</v>
      </c>
      <c r="Q1542" t="s">
        <v>75</v>
      </c>
    </row>
    <row r="1543" spans="1:17" hidden="1" x14ac:dyDescent="0.25">
      <c r="A1543" t="s">
        <v>33</v>
      </c>
      <c r="B1543" t="s">
        <v>5511</v>
      </c>
      <c r="C1543" t="s">
        <v>21</v>
      </c>
      <c r="D1543" t="s">
        <v>5511</v>
      </c>
      <c r="E1543" t="s">
        <v>5512</v>
      </c>
      <c r="F1543" t="s">
        <v>5513</v>
      </c>
      <c r="G1543" t="s">
        <v>24</v>
      </c>
      <c r="H1543" t="s">
        <v>5514</v>
      </c>
      <c r="I1543" t="s">
        <v>73</v>
      </c>
      <c r="L1543" t="s">
        <v>3868</v>
      </c>
      <c r="Q1543" t="s">
        <v>75</v>
      </c>
    </row>
    <row r="1544" spans="1:17" hidden="1" x14ac:dyDescent="0.25">
      <c r="A1544" t="s">
        <v>33</v>
      </c>
      <c r="B1544" t="s">
        <v>5515</v>
      </c>
      <c r="C1544" t="s">
        <v>21</v>
      </c>
      <c r="D1544" t="s">
        <v>5515</v>
      </c>
      <c r="E1544" t="s">
        <v>5043</v>
      </c>
      <c r="F1544" t="s">
        <v>4208</v>
      </c>
      <c r="G1544" t="s">
        <v>24</v>
      </c>
      <c r="H1544" t="s">
        <v>5516</v>
      </c>
      <c r="I1544" t="s">
        <v>73</v>
      </c>
      <c r="L1544" t="s">
        <v>224</v>
      </c>
      <c r="Q1544" t="s">
        <v>75</v>
      </c>
    </row>
    <row r="1545" spans="1:17" hidden="1" x14ac:dyDescent="0.25">
      <c r="A1545" t="s">
        <v>33</v>
      </c>
      <c r="B1545" t="s">
        <v>5517</v>
      </c>
      <c r="C1545" t="s">
        <v>21</v>
      </c>
      <c r="D1545" t="s">
        <v>5517</v>
      </c>
      <c r="E1545" t="s">
        <v>5518</v>
      </c>
      <c r="F1545" t="s">
        <v>5519</v>
      </c>
      <c r="G1545" t="s">
        <v>24</v>
      </c>
      <c r="H1545" t="s">
        <v>5520</v>
      </c>
      <c r="I1545" t="s">
        <v>73</v>
      </c>
      <c r="L1545" t="s">
        <v>575</v>
      </c>
      <c r="Q1545" t="s">
        <v>75</v>
      </c>
    </row>
    <row r="1546" spans="1:17" hidden="1" x14ac:dyDescent="0.25">
      <c r="A1546" t="s">
        <v>33</v>
      </c>
      <c r="B1546" t="s">
        <v>5521</v>
      </c>
      <c r="C1546" t="s">
        <v>21</v>
      </c>
      <c r="D1546" t="s">
        <v>5521</v>
      </c>
      <c r="E1546" t="s">
        <v>1604</v>
      </c>
      <c r="F1546" t="s">
        <v>5522</v>
      </c>
      <c r="G1546" t="s">
        <v>24</v>
      </c>
      <c r="H1546" t="s">
        <v>5523</v>
      </c>
    </row>
    <row r="1547" spans="1:17" hidden="1" x14ac:dyDescent="0.25">
      <c r="A1547" t="s">
        <v>33</v>
      </c>
      <c r="B1547" t="s">
        <v>5524</v>
      </c>
      <c r="C1547" t="s">
        <v>21</v>
      </c>
      <c r="D1547" t="s">
        <v>5524</v>
      </c>
      <c r="E1547" t="s">
        <v>3394</v>
      </c>
      <c r="F1547" t="s">
        <v>5525</v>
      </c>
      <c r="G1547" t="s">
        <v>24</v>
      </c>
      <c r="H1547" t="s">
        <v>5526</v>
      </c>
    </row>
    <row r="1548" spans="1:17" hidden="1" x14ac:dyDescent="0.25">
      <c r="A1548" t="s">
        <v>33</v>
      </c>
      <c r="B1548" t="s">
        <v>5527</v>
      </c>
      <c r="C1548" t="s">
        <v>21</v>
      </c>
      <c r="D1548" t="s">
        <v>5527</v>
      </c>
      <c r="E1548" t="s">
        <v>519</v>
      </c>
      <c r="F1548" t="s">
        <v>2152</v>
      </c>
      <c r="G1548" t="s">
        <v>24</v>
      </c>
      <c r="H1548" t="s">
        <v>5528</v>
      </c>
      <c r="I1548" t="s">
        <v>73</v>
      </c>
      <c r="L1548" t="s">
        <v>4585</v>
      </c>
      <c r="Q1548" t="s">
        <v>75</v>
      </c>
    </row>
    <row r="1549" spans="1:17" hidden="1" x14ac:dyDescent="0.25">
      <c r="A1549" t="s">
        <v>33</v>
      </c>
      <c r="B1549" t="s">
        <v>5529</v>
      </c>
      <c r="C1549" t="s">
        <v>21</v>
      </c>
      <c r="D1549" t="s">
        <v>5529</v>
      </c>
      <c r="E1549" t="s">
        <v>5530</v>
      </c>
      <c r="F1549" t="s">
        <v>5531</v>
      </c>
      <c r="G1549" t="s">
        <v>24</v>
      </c>
      <c r="H1549" t="s">
        <v>5532</v>
      </c>
      <c r="I1549" t="s">
        <v>73</v>
      </c>
      <c r="L1549" t="s">
        <v>444</v>
      </c>
      <c r="Q1549" t="s">
        <v>75</v>
      </c>
    </row>
    <row r="1550" spans="1:17" hidden="1" x14ac:dyDescent="0.25">
      <c r="A1550" t="s">
        <v>33</v>
      </c>
      <c r="B1550" t="s">
        <v>5533</v>
      </c>
      <c r="C1550" t="s">
        <v>21</v>
      </c>
      <c r="D1550" t="s">
        <v>5533</v>
      </c>
      <c r="E1550" t="s">
        <v>226</v>
      </c>
      <c r="F1550" t="s">
        <v>1512</v>
      </c>
      <c r="G1550" t="s">
        <v>24</v>
      </c>
      <c r="H1550" t="s">
        <v>5534</v>
      </c>
      <c r="I1550" t="s">
        <v>73</v>
      </c>
      <c r="L1550" t="s">
        <v>3868</v>
      </c>
      <c r="Q1550" t="s">
        <v>75</v>
      </c>
    </row>
    <row r="1551" spans="1:17" hidden="1" x14ac:dyDescent="0.25">
      <c r="A1551" t="s">
        <v>33</v>
      </c>
      <c r="B1551" t="s">
        <v>5535</v>
      </c>
      <c r="C1551" t="s">
        <v>29</v>
      </c>
      <c r="D1551" t="s">
        <v>5535</v>
      </c>
      <c r="E1551" t="s">
        <v>4105</v>
      </c>
      <c r="F1551" t="s">
        <v>846</v>
      </c>
      <c r="G1551" t="s">
        <v>24</v>
      </c>
      <c r="H1551" t="s">
        <v>5536</v>
      </c>
      <c r="I1551" t="s">
        <v>46</v>
      </c>
      <c r="L1551" t="s">
        <v>2312</v>
      </c>
      <c r="Q1551" t="s">
        <v>48</v>
      </c>
    </row>
    <row r="1552" spans="1:17" hidden="1" x14ac:dyDescent="0.25">
      <c r="A1552" t="s">
        <v>33</v>
      </c>
      <c r="B1552" t="s">
        <v>5537</v>
      </c>
      <c r="C1552" t="s">
        <v>21</v>
      </c>
      <c r="D1552" t="s">
        <v>5537</v>
      </c>
      <c r="E1552" t="s">
        <v>5398</v>
      </c>
      <c r="F1552" t="s">
        <v>5399</v>
      </c>
      <c r="G1552" t="s">
        <v>24</v>
      </c>
      <c r="H1552" t="s">
        <v>5538</v>
      </c>
    </row>
    <row r="1553" spans="1:17" hidden="1" x14ac:dyDescent="0.25">
      <c r="A1553" t="s">
        <v>33</v>
      </c>
      <c r="B1553" t="s">
        <v>5539</v>
      </c>
      <c r="C1553" t="s">
        <v>29</v>
      </c>
      <c r="D1553" t="s">
        <v>5540</v>
      </c>
      <c r="E1553" t="s">
        <v>5541</v>
      </c>
      <c r="F1553" t="s">
        <v>5542</v>
      </c>
      <c r="G1553" t="s">
        <v>24</v>
      </c>
      <c r="H1553" t="s">
        <v>5543</v>
      </c>
      <c r="I1553" t="s">
        <v>73</v>
      </c>
      <c r="L1553" t="s">
        <v>511</v>
      </c>
      <c r="Q1553" t="s">
        <v>75</v>
      </c>
    </row>
    <row r="1554" spans="1:17" hidden="1" x14ac:dyDescent="0.25">
      <c r="A1554" t="s">
        <v>33</v>
      </c>
      <c r="B1554" t="s">
        <v>5544</v>
      </c>
      <c r="C1554" t="s">
        <v>21</v>
      </c>
      <c r="D1554" t="s">
        <v>5544</v>
      </c>
      <c r="E1554" t="s">
        <v>135</v>
      </c>
      <c r="F1554" t="s">
        <v>5545</v>
      </c>
      <c r="G1554" t="s">
        <v>24</v>
      </c>
      <c r="H1554" t="s">
        <v>5546</v>
      </c>
      <c r="I1554" t="s">
        <v>73</v>
      </c>
      <c r="L1554" t="s">
        <v>2014</v>
      </c>
      <c r="Q1554" t="s">
        <v>75</v>
      </c>
    </row>
    <row r="1555" spans="1:17" hidden="1" x14ac:dyDescent="0.25">
      <c r="A1555" t="s">
        <v>33</v>
      </c>
      <c r="B1555" t="s">
        <v>5547</v>
      </c>
      <c r="C1555" t="s">
        <v>21</v>
      </c>
      <c r="D1555" t="s">
        <v>5547</v>
      </c>
      <c r="E1555" t="s">
        <v>5548</v>
      </c>
      <c r="F1555" t="s">
        <v>5549</v>
      </c>
      <c r="G1555" t="s">
        <v>24</v>
      </c>
      <c r="H1555" t="s">
        <v>5550</v>
      </c>
    </row>
    <row r="1556" spans="1:17" hidden="1" x14ac:dyDescent="0.25">
      <c r="A1556" t="s">
        <v>33</v>
      </c>
      <c r="B1556" t="s">
        <v>5551</v>
      </c>
      <c r="C1556" t="s">
        <v>21</v>
      </c>
      <c r="D1556" t="s">
        <v>5551</v>
      </c>
      <c r="E1556" t="s">
        <v>5552</v>
      </c>
      <c r="F1556" t="s">
        <v>5553</v>
      </c>
      <c r="G1556" t="s">
        <v>24</v>
      </c>
      <c r="H1556" t="s">
        <v>5554</v>
      </c>
      <c r="I1556" t="s">
        <v>46</v>
      </c>
      <c r="Q1556" t="s">
        <v>48</v>
      </c>
    </row>
    <row r="1557" spans="1:17" hidden="1" x14ac:dyDescent="0.25">
      <c r="A1557" t="s">
        <v>33</v>
      </c>
      <c r="B1557" t="s">
        <v>5555</v>
      </c>
      <c r="C1557" t="s">
        <v>29</v>
      </c>
      <c r="D1557" t="s">
        <v>5555</v>
      </c>
      <c r="E1557" t="s">
        <v>4717</v>
      </c>
      <c r="F1557" t="s">
        <v>5556</v>
      </c>
      <c r="G1557" t="s">
        <v>24</v>
      </c>
      <c r="H1557" t="s">
        <v>5557</v>
      </c>
      <c r="I1557" t="s">
        <v>46</v>
      </c>
      <c r="L1557" t="s">
        <v>246</v>
      </c>
      <c r="Q1557" t="s">
        <v>48</v>
      </c>
    </row>
  </sheetData>
  <autoFilter ref="A1:S1557" xr:uid="{8C8120CF-F82B-4473-8FBD-94ACB5CB73F0}">
    <filterColumn colId="8">
      <filters>
        <filter val="Default Acrobat Pro configuration,Default Acrobat Standard DC configuration"/>
        <filter val="Default Acrobat Pro configuration,Default All Apps plan configuration"/>
        <filter val="Default Acrobat Pro configuration,Default Illustrator configuration"/>
        <filter val="Default Acrobat Pro configuration,Default InDesign configuration"/>
        <filter val="Default Acrobat Pro configuration,Default InDesign configuration,Default Illustrator configuration"/>
        <filter val="Default Acrobat Pro configuration,Default InDesign configuration,Default Photoshop configuration"/>
        <filter val="Default Acrobat Pro configuration,Default Photoshop - Edition 4 configuration"/>
        <filter val="Default Acrobat Pro configuration,Default Photoshop configuration"/>
        <filter val="Default Acrobat Pro configuration,Default Photoshop configuration,Default Illustrator configuration"/>
        <filter val="Default Acrobat Pro configuration,Default Photoshop configuration,Default Premiere Pro configuration"/>
        <filter val="Default Acrobat Standard DC configuration,Default Adobe Captivate configuration"/>
        <filter val="Default Acrobat Standard DC configuration,Default All Apps - Edition 4 configuration"/>
        <filter val="Default Acrobat Standard DC configuration,Default Illustrator configuration"/>
        <filter val="Default InDesign configuration,Default Photoshop configuration"/>
        <filter val="Default InDesign configuration,Default Photoshop configuration,Default Illustrator configuration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5C8CFC0CBEE41B8CFBC7DD2E4A2F3" ma:contentTypeVersion="18" ma:contentTypeDescription="Create a new document." ma:contentTypeScope="" ma:versionID="14648a246691bf88f6001a615f914d74">
  <xsd:schema xmlns:xsd="http://www.w3.org/2001/XMLSchema" xmlns:xs="http://www.w3.org/2001/XMLSchema" xmlns:p="http://schemas.microsoft.com/office/2006/metadata/properties" xmlns:ns2="c09f5533-d688-43dc-bfa7-8776ae5541f2" xmlns:ns3="5349d114-eab6-440c-be6a-6b992d9e921f" targetNamespace="http://schemas.microsoft.com/office/2006/metadata/properties" ma:root="true" ma:fieldsID="458336c8a282bd78a1a04433c9e96231" ns2:_="" ns3:_="">
    <xsd:import namespace="c09f5533-d688-43dc-bfa7-8776ae5541f2"/>
    <xsd:import namespace="5349d114-eab6-440c-be6a-6b992d9e921f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2:MediaServiceSearchProperties" minOccurs="0"/>
                <xsd:element ref="ns2:MediaServiceOCR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f5533-d688-43dc-bfa7-8776ae5541f2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e7b5189-05a3-4f8e-89bc-27c36ede09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9d114-eab6-440c-be6a-6b992d9e921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5080df0-8dc8-4ff1-bf2d-87ecde54405f}" ma:internalName="TaxCatchAll" ma:showField="CatchAllData" ma:web="5349d114-eab6-440c-be6a-6b992d9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9f5533-d688-43dc-bfa7-8776ae5541f2">
      <Terms xmlns="http://schemas.microsoft.com/office/infopath/2007/PartnerControls"/>
    </lcf76f155ced4ddcb4097134ff3c332f>
    <TaxCatchAll xmlns="5349d114-eab6-440c-be6a-6b992d9e921f" xsi:nil="true"/>
  </documentManagement>
</p:properties>
</file>

<file path=customXml/itemProps1.xml><?xml version="1.0" encoding="utf-8"?>
<ds:datastoreItem xmlns:ds="http://schemas.openxmlformats.org/officeDocument/2006/customXml" ds:itemID="{C008438B-6558-441B-B4A4-5A69D0467BC0}"/>
</file>

<file path=customXml/itemProps2.xml><?xml version="1.0" encoding="utf-8"?>
<ds:datastoreItem xmlns:ds="http://schemas.openxmlformats.org/officeDocument/2006/customXml" ds:itemID="{068EE581-41A8-4652-8551-B78AF2F69A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EEF54-F6C7-4C0B-A119-CFA36DD515F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AllocEntry for Actng(truncated)</vt:lpstr>
      <vt:lpstr>Allocation Details by Lic Type</vt:lpstr>
      <vt:lpstr>Adobe users (3)</vt:lpstr>
      <vt:lpstr>Rate Sheet</vt:lpstr>
      <vt:lpstr>Adobe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Quach</dc:creator>
  <cp:lastModifiedBy>Steven Quach</cp:lastModifiedBy>
  <dcterms:created xsi:type="dcterms:W3CDTF">2026-02-04T00:09:16Z</dcterms:created>
  <dcterms:modified xsi:type="dcterms:W3CDTF">2026-03-03T01:27:53Z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0x0101004F85C8CFC0CBEE41B8CFBC7DD2E4A2F3</vt:lpwstr>
  </property>
</Properties>
</file>