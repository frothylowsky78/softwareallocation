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montroseenv.sharepoint.com/sites/Corp/CorpFP&amp;ASharedItems/Shared Documents/Allocations/2026/Software/Dropbox/"/>
    </mc:Choice>
  </mc:AlternateContent>
  <xr:revisionPtr revIDLastSave="127" documentId="8_{B8AEEDD0-6DCA-41AB-A64C-BF3E736A3B81}" xr6:coauthVersionLast="47" xr6:coauthVersionMax="47" xr10:uidLastSave="{2A84F748-566F-4A78-A1D1-0BE854AC61BD}"/>
  <bookViews>
    <workbookView xWindow="-120" yWindow="-120" windowWidth="29040" windowHeight="15840" xr2:uid="{A472EE64-EF50-42F2-9420-2071D935FE73}"/>
  </bookViews>
  <sheets>
    <sheet name="Monthly Alloction" sheetId="4" r:id="rId1"/>
    <sheet name="users clean" sheetId="2" r:id="rId2"/>
    <sheet name="Dropbox 2025-12-24 MEG member d" sheetId="1" r:id="rId3"/>
  </sheets>
  <externalReferences>
    <externalReference r:id="rId4"/>
  </externalReferences>
  <definedNames>
    <definedName name="_xlnm._FilterDatabase" localSheetId="1" hidden="1">'users clean'!$A$1:$I$270</definedName>
  </definedNames>
  <calcPr calcId="0"/>
  <pivotCaches>
    <pivotCache cacheId="51" r:id="rId5"/>
  </pivotCaches>
</workbook>
</file>

<file path=xl/calcChain.xml><?xml version="1.0" encoding="utf-8"?>
<calcChain xmlns="http://schemas.openxmlformats.org/spreadsheetml/2006/main">
  <c r="D23" i="4" l="1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I58" i="2"/>
  <c r="I66" i="2"/>
  <c r="I196" i="2"/>
  <c r="I263" i="2"/>
</calcChain>
</file>

<file path=xl/sharedStrings.xml><?xml version="1.0" encoding="utf-8"?>
<sst xmlns="http://schemas.openxmlformats.org/spreadsheetml/2006/main" count="4842" uniqueCount="1273">
  <si>
    <t>First Name</t>
  </si>
  <si>
    <t>Last Name</t>
  </si>
  <si>
    <t>Email</t>
  </si>
  <si>
    <t>Role</t>
  </si>
  <si>
    <t>Status</t>
  </si>
  <si>
    <t>Usage (in MB, updates every 8 hours)</t>
  </si>
  <si>
    <t>Data (MB) member has access to</t>
  </si>
  <si>
    <t>Join date (DD / MM / YYYY)</t>
  </si>
  <si>
    <t>Invite date (DD / MM / YYYY)</t>
  </si>
  <si>
    <t>Company managed groups</t>
  </si>
  <si>
    <t>User managed groups</t>
  </si>
  <si>
    <t>Two-factor authentication</t>
  </si>
  <si>
    <t>No. of files and folders user has access to</t>
  </si>
  <si>
    <t>No. of personal files and folders member has</t>
  </si>
  <si>
    <t>No. of team folders member has access to</t>
  </si>
  <si>
    <t>No. of externally owned shared folders member has access to</t>
  </si>
  <si>
    <t>No. of internally owned shared folders member has access to</t>
  </si>
  <si>
    <t>Dan</t>
  </si>
  <si>
    <t>Jensen Admin</t>
  </si>
  <si>
    <t>djensenadmin@montrose-env.com</t>
  </si>
  <si>
    <t>Team admin</t>
  </si>
  <si>
    <t>Active</t>
  </si>
  <si>
    <t>30/6/2023</t>
  </si>
  <si>
    <t>Everyone at MEG</t>
  </si>
  <si>
    <t>Not enabled</t>
  </si>
  <si>
    <t>Gabriel</t>
  </si>
  <si>
    <t>Morales</t>
  </si>
  <si>
    <t>gamorales@montrose-env.com</t>
  </si>
  <si>
    <t>Enabled</t>
  </si>
  <si>
    <t>Isabella</t>
  </si>
  <si>
    <t>Rodriguez</t>
  </si>
  <si>
    <t>isabellarodriguez@montrose-env.com</t>
  </si>
  <si>
    <t>17/6/2025</t>
  </si>
  <si>
    <t>Everyone at MEG, ECT2 - Denmark Transfer</t>
  </si>
  <si>
    <t>Jared</t>
  </si>
  <si>
    <t>Griego</t>
  </si>
  <si>
    <t>ext-jaredgriego@montrose-env.com</t>
  </si>
  <si>
    <t>28/2/2025</t>
  </si>
  <si>
    <t>Jim</t>
  </si>
  <si>
    <t>Wang</t>
  </si>
  <si>
    <t>jiwang@montrose-env.com</t>
  </si>
  <si>
    <t>22/4/2024</t>
  </si>
  <si>
    <t>Everyone at MEG, ECT2 - Owners-Projects-Client, ECT2 - Users-Projects-Client-3M, ECT2 - Users-ECT Core Team, ECT2 - Owners-Std_Des_Pricing, ECT2 - Owners-Admin, ECT2 - Owners-R&amp;D, ECT2 - Users-Restricted, ECT2 - Owners-Proposals, ECT2 - Owners-Sales_Marketing, ECT2 - AU-NSW-WLM-DOD-Ops Mgmt, ECT2 - Owners-App_Engineering, ECT2 - Owners-Projects-Internal, ECT2 - Long Term Scheduling (3M), ECT2 - AU-NSW-LendLease-F35, Dropbox (MEG)/ECT-Legal, ECT-Sales-Marketing-Native Files, ECT2 - Owners-Operations, ECT2 - Users-Proposals, ECT2 - AU-Staff, ECT2 - AU-Ops-Full, ECT2 - Users-BD, ECT2 - Users-ECT-Operations-SCADA</t>
  </si>
  <si>
    <t>Test_ECT2-Users, ECT2 - Everyone at ECT2</t>
  </si>
  <si>
    <t>Johnny</t>
  </si>
  <si>
    <t>Le</t>
  </si>
  <si>
    <t>jole@montrose-env.com</t>
  </si>
  <si>
    <t>30/8/2024</t>
  </si>
  <si>
    <t>Montrose</t>
  </si>
  <si>
    <t>ITregistration</t>
  </si>
  <si>
    <t>itregistration@montrose-env.com</t>
  </si>
  <si>
    <t>22/8/2020</t>
  </si>
  <si>
    <t>ECT2 - IT Backup, Everyone at MEG</t>
  </si>
  <si>
    <t>ECT2 - Everyone at ECT2</t>
  </si>
  <si>
    <t>Adam</t>
  </si>
  <si>
    <t>Lirette</t>
  </si>
  <si>
    <t>adamlirette@ect2.com</t>
  </si>
  <si>
    <t>Member</t>
  </si>
  <si>
    <t>13/8/2025</t>
  </si>
  <si>
    <t>Everyone at MEG, ECT2 - Owners-App_Engineering, ECT2 - Owners-Projects-Client, ECT2 - Owners-Projects-Internal, ECT2 - Owners-R&amp;D, ECT2 - Owners-Sales_Marketing, ECT2 - Owners-Std_Des_Pricing, ECT2 - Users-BD, ECT2 - Users-ECT-Marketing</t>
  </si>
  <si>
    <t>Addy</t>
  </si>
  <si>
    <t>Brooks</t>
  </si>
  <si>
    <t>adbrooks@montrose-env.com</t>
  </si>
  <si>
    <t>22/10/2024</t>
  </si>
  <si>
    <t>Agosto</t>
  </si>
  <si>
    <t>Ecleonel</t>
  </si>
  <si>
    <t>agecleonel@ect2.com</t>
  </si>
  <si>
    <t>27/10/2025</t>
  </si>
  <si>
    <t>Everyone at MEG, ECT2 - Owners-Projects-Client, ECT2 - Owners-Projects-Internal, ECT2 - Owners-Std_Des_Pricing</t>
  </si>
  <si>
    <t>Agustinus</t>
  </si>
  <si>
    <t>Krisnadi</t>
  </si>
  <si>
    <t>ekrisnadi@montrose-env.com</t>
  </si>
  <si>
    <t>Alan</t>
  </si>
  <si>
    <t>Duke</t>
  </si>
  <si>
    <t>alduke@ect2.com</t>
  </si>
  <si>
    <t>19/8/2022</t>
  </si>
  <si>
    <t>Everyone at MEG, ECT2 - Users-Operators, ECT2 - Owners-Projects-Client</t>
  </si>
  <si>
    <t>Miller</t>
  </si>
  <si>
    <t>alanmiller@montrose-env.com</t>
  </si>
  <si>
    <t>Alex</t>
  </si>
  <si>
    <t>Bailey</t>
  </si>
  <si>
    <t>abailey@ect2.com</t>
  </si>
  <si>
    <t>ECT2 - Users-ECT Core Team, ECT2 - Owners-Projects-Internal, Everyone at MEG, ECT2 - AU-NSW-WLM-DOD-Ops Mgmt, ECT2 - Users-Projects-Client-3M, ECT2 - Users-Restricted</t>
  </si>
  <si>
    <t>Thomson</t>
  </si>
  <si>
    <t>ajthomson@ect2.com</t>
  </si>
  <si>
    <t>ECT2 - Users-ECT Core Team, Everyone at MEG, ECT2 - AU-Staff, ECT2 - Owners-R&amp;D, ECT2 - AU-NSW-WLM-DOD-Ops Mgmt, ECT2-AU-NSW-Jervis Bay RF Interim - Edit, ECT2 - AU-NSW-RIC-STP-PROJ-022811 Staff</t>
  </si>
  <si>
    <t>Ali</t>
  </si>
  <si>
    <t>Adair</t>
  </si>
  <si>
    <t>aladair@ect2.com</t>
  </si>
  <si>
    <t>14/12/2022</t>
  </si>
  <si>
    <t>Everyone at MEG, ECT2 - Users-Operators, ECT2 - Users-ECT Core Team, ECT2 - Owners-Projects-Client, ECT2 - Users-Projects-Client-3M</t>
  </si>
  <si>
    <t>Alina</t>
  </si>
  <si>
    <t>Cole</t>
  </si>
  <si>
    <t>acole@montrose-env.com</t>
  </si>
  <si>
    <t>27/10/2020</t>
  </si>
  <si>
    <t>Everyone at MEG, ECT2 - Owners-Projects-Client, ECT2 - Owners-Std_Des_Pricing, ECT2 - Users-ECT-Marketing, ECT2 - Users-Projects-Client-3M</t>
  </si>
  <si>
    <t>Allison</t>
  </si>
  <si>
    <t>Grotts</t>
  </si>
  <si>
    <t>allisongrotts@montrose-env.com</t>
  </si>
  <si>
    <t>16/5/2024</t>
  </si>
  <si>
    <t>Alora</t>
  </si>
  <si>
    <t>Aguilar</t>
  </si>
  <si>
    <t>alaguilar@ect2.com</t>
  </si>
  <si>
    <t>14/2/2022</t>
  </si>
  <si>
    <t>Everyone at MEG, ECT2 - Users-ECT Core Team, ECT2 - Users-Projects-Client-3M, ECT2 - Users-Projects-Client-3M-Decatur-PFAS System O&amp;M PROJ-024114, ECT2 - Owners-Projects-Client</t>
  </si>
  <si>
    <t>Amanda</t>
  </si>
  <si>
    <t>Lukash</t>
  </si>
  <si>
    <t>alukash@montrose-env.com</t>
  </si>
  <si>
    <t>24/11/2025</t>
  </si>
  <si>
    <t>Amy-Lee</t>
  </si>
  <si>
    <t>Prieslty</t>
  </si>
  <si>
    <t>amyleepriestly@ect2.com</t>
  </si>
  <si>
    <t>27/8/2024</t>
  </si>
  <si>
    <t>Everyone at MEG, ECT2 - Owners-IMS, ECT2 - Owners-Projects-Client, ECT2 - AU-Ops-Full</t>
  </si>
  <si>
    <t>Andrea</t>
  </si>
  <si>
    <t>Pedersen</t>
  </si>
  <si>
    <t>anpedersen@montrose-env.com</t>
  </si>
  <si>
    <t>Sepulveda</t>
  </si>
  <si>
    <t>asepulveda@ect2.com</t>
  </si>
  <si>
    <t>ECT2 - Users-ECT Core Team, ECT2 - Owners-Proposals, ECT2 - Owners-Projects-Client, ECT2 - Owners-Std_Des_Pricing, ECT2 - Users-Restricted, ECT2 - Owners-Admin, Everyone at MEG, ECT2 - Users-Projects-Client-3M, ECT2 - Owners-App_Engineering</t>
  </si>
  <si>
    <t>Shetler</t>
  </si>
  <si>
    <t>anshetler@ect2.com</t>
  </si>
  <si>
    <t>Everyone at MEG, ECT2 - Users-ECT Core Team, ECT2 - Users-Projects-Client-3M, ECT2 - Long Term Scheduling (3M), ECT2 - Owners-Proposals</t>
  </si>
  <si>
    <t>Andreas</t>
  </si>
  <si>
    <t>Baisner</t>
  </si>
  <si>
    <t>anbaisner@ect2.com</t>
  </si>
  <si>
    <t>Everyone at MEG, ECT2 - Owners-IMS, ECT2 - Owners-Admin, ECT2 - Owners-App_Engineering, ECT2 - Owners-Operations, ECT2 - Owners-Projects-Client, ECT2 - Owners-Projects-Internal, ECT2 - Owners-Proposals, ECT2 - Owners-R&amp;D, ECT2 - Owners-Sales_Marketing, ECT2 - Owners-Std_Des_Pricing, ECT2 - Denmark Transfer</t>
  </si>
  <si>
    <t>andrew</t>
  </si>
  <si>
    <t>mccarthy</t>
  </si>
  <si>
    <t>amccarthy@ect2.com</t>
  </si>
  <si>
    <t>ECT2 - Users-Operators, ECT2 - Users-Proposals, ECT2 - Users-ECT Core Team, Everyone at MEG, ECT2 - AU-Staff, ECT2 - AU-NSW-WLM-DOD-Ops Mgmt, ECT2-AU-NSW-Jervis Bay RF Interim - Edit, ECT2 - AU-NSW-RIC-STP-PROJ-022811 Staff, ECT2 - AU-NSW-LendLease-F35, ECT2 - Owners-R&amp;D, ECT2 - Owners-Projects-Client</t>
  </si>
  <si>
    <t>Andrew</t>
  </si>
  <si>
    <t>Schmalfuss</t>
  </si>
  <si>
    <t>andrewschmalfuss@montrose-env.com</t>
  </si>
  <si>
    <t>21/11/2025</t>
  </si>
  <si>
    <t>andy</t>
  </si>
  <si>
    <t>bishop</t>
  </si>
  <si>
    <t>abishop@ect2.com</t>
  </si>
  <si>
    <t>ECT2 - Users-ECT Core Team, ECT2 - Owners-Projects-Internal, ECT2 - Owners-Proposals, ECT2 - Owners-Admin, ECT2 - Owners-Sales_Marketing, ECT2 - Users-Restricted, Everyone at MEG, ECT2 - AU-NSW-WLM-DOD-Ops Mgmt, ECT2 - Users-Projects-Client-3M, ECT2 - Long Term Scheduling (3M)</t>
  </si>
  <si>
    <t>anna</t>
  </si>
  <si>
    <t>leisher</t>
  </si>
  <si>
    <t>annaleisher@montrose-env.com</t>
  </si>
  <si>
    <t>Antonios</t>
  </si>
  <si>
    <t>Tasoglou</t>
  </si>
  <si>
    <t>antasoglou@montrose-env.com</t>
  </si>
  <si>
    <t>17/4/2023</t>
  </si>
  <si>
    <t>Ashley</t>
  </si>
  <si>
    <t>Peoples</t>
  </si>
  <si>
    <t>aspeoples@montrose-env.com</t>
  </si>
  <si>
    <t>Ã…se</t>
  </si>
  <si>
    <t>Rudbeck</t>
  </si>
  <si>
    <t>aserudbeck@ect2.com</t>
  </si>
  <si>
    <t>14/10/2024</t>
  </si>
  <si>
    <t>Everyone at MEG, ECT2 - Owners-IMS, ECT2 - Owners-Sales_Marketing, ECT2 - Users-Restricted, ECT2 - Owners-Projects-Client, ECT2 - Owners-Projects-Internal, ECT2 - Users-ECT Core Team, ECT2 - Denmark Transfer</t>
  </si>
  <si>
    <t>Benjamin</t>
  </si>
  <si>
    <t>Curry</t>
  </si>
  <si>
    <t>becurry@ect2.com</t>
  </si>
  <si>
    <t>Bethany</t>
  </si>
  <si>
    <t>Green</t>
  </si>
  <si>
    <t>begreen@ect2.com</t>
  </si>
  <si>
    <t>28/9/2022</t>
  </si>
  <si>
    <t>Everyone at MEG, ECT2 - Owners-R&amp;D, ECT2 - Owners-Projects-Client, ECT2 - Owners-Projects-Internal, ECT2 - Owners-Proposals</t>
  </si>
  <si>
    <t>BETTINA</t>
  </si>
  <si>
    <t>BENEDICT</t>
  </si>
  <si>
    <t>bettina.benedict@enthalpy.com</t>
  </si>
  <si>
    <t>29/8/2025</t>
  </si>
  <si>
    <t>Bill</t>
  </si>
  <si>
    <t>Winchester</t>
  </si>
  <si>
    <t>bwinchester@montrose-env.com</t>
  </si>
  <si>
    <t>Blair</t>
  </si>
  <si>
    <t>Axley</t>
  </si>
  <si>
    <t>blairaxley@montrose-env.com</t>
  </si>
  <si>
    <t>Brandon</t>
  </si>
  <si>
    <t>Newman</t>
  </si>
  <si>
    <t>bnewman@ect2.com</t>
  </si>
  <si>
    <t>ECT2 - Users-ECT Core Team, ECT2 - Users-ECT-Marketing, Everyone at MEG, ECT2 - AU-NSW-WLM-DOD-Ops Mgmt, ECT2 - Users-Projects-Client-3M, ECT-Sales-Marketing-Native Files, ECT2 - Owners-R&amp;D, ECT2 - Owners-Projects-Client, ECT2 - Owners-Projects-Internal</t>
  </si>
  <si>
    <t>Brian</t>
  </si>
  <si>
    <t>Burns</t>
  </si>
  <si>
    <t>brianburns@montrose-env.com</t>
  </si>
  <si>
    <t>27/5/2025</t>
  </si>
  <si>
    <t>Frewerd</t>
  </si>
  <si>
    <t>brianfrewerd@ect2.com</t>
  </si>
  <si>
    <t>Everyone at MEG, ECT2 - Users-ECT Core Team</t>
  </si>
  <si>
    <t>Hunter</t>
  </si>
  <si>
    <t>brianhunter@ect2.com</t>
  </si>
  <si>
    <t>Wilson</t>
  </si>
  <si>
    <t>brianwilson@montrose-env.com</t>
  </si>
  <si>
    <t>17/4/2024</t>
  </si>
  <si>
    <t>Everyone at MEG, ECT2 - Owners-Projects-Internal, ECT2 - Owners-IMS, ECT2 - Owners-Operations, ECT2 - Owners-Projects-Client, ECT2 - Users-ECT Core Team, ECT2 - Users-Projects-Client-3M</t>
  </si>
  <si>
    <t>briennewode</t>
  </si>
  <si>
    <t>briennewode@montrose-env.com</t>
  </si>
  <si>
    <t>22/7/2025</t>
  </si>
  <si>
    <t>Britney</t>
  </si>
  <si>
    <t>Beck</t>
  </si>
  <si>
    <t>bbeck@montrose-env.com</t>
  </si>
  <si>
    <t>25/10/2023</t>
  </si>
  <si>
    <t>Brittany</t>
  </si>
  <si>
    <t>Gamboa</t>
  </si>
  <si>
    <t>brittanygamboa@montrose-env.com</t>
  </si>
  <si>
    <t>14/11/2025</t>
  </si>
  <si>
    <t>Bruce</t>
  </si>
  <si>
    <t>Nicholson</t>
  </si>
  <si>
    <t>brnicholson@montrose-env.com</t>
  </si>
  <si>
    <t>17/8/2025</t>
  </si>
  <si>
    <t>Everyone at MEG, ECT2 - Owners-Proposals</t>
  </si>
  <si>
    <t>Bryan</t>
  </si>
  <si>
    <t>Chubb</t>
  </si>
  <si>
    <t>brchubb@montrose-env.com</t>
  </si>
  <si>
    <t>27/8/2021</t>
  </si>
  <si>
    <t>Cameron</t>
  </si>
  <si>
    <t>Edmonson</t>
  </si>
  <si>
    <t>cameronedmonson@montrose-env.com</t>
  </si>
  <si>
    <t>Marshall</t>
  </si>
  <si>
    <t>camarshall@ect2.com</t>
  </si>
  <si>
    <t>Everyone at MEG, ECT2 - Users-ECT Core Team, ECT2 - Owners-Admin, ECT2 - Owners-Operations, ECT2 - Owners-Projects-Client, ECT2 - Owners-R&amp;D, ECT2 - AU-Staff, ECT2 - AU-Ops-Full, ECT2 - AU-NSW-WLM-DOD-Ops Mgmt, ECT2 - Owners-IMS, ECT2 - Owners-Std_Des_Pricing, ECT2 - AU-NSW-RIC-STP-PROJ-022811 Staff</t>
  </si>
  <si>
    <t>Camille</t>
  </si>
  <si>
    <t>White</t>
  </si>
  <si>
    <t>camillewhite@ect2.com</t>
  </si>
  <si>
    <t>18/9/2025</t>
  </si>
  <si>
    <t>Everyone at MEG, ECT2 - Owners-Proposals, ECT2 - Owners-Std_Des_Pricing, ECT2 - Owners-Projects-Client, ECT2 - Owners-Projects-Internal</t>
  </si>
  <si>
    <t>Carl</t>
  </si>
  <si>
    <t>Sueli</t>
  </si>
  <si>
    <t>csueli@ect2.com</t>
  </si>
  <si>
    <t>ECT2 - Users-ECT Core Team, ECT2 - Users-ECT-Marketing, Everyone at MEG, ECT2 - AU-Staff, ECT2 - Owners-Projects-Client, ECT2 - Owners-Proposals, ECT2 - AU-Ops-Full, ECT2 - Owners-IMS, ECT2 - AU-NSW-LendLease-F35</t>
  </si>
  <si>
    <t>Carley</t>
  </si>
  <si>
    <t>Dutra</t>
  </si>
  <si>
    <t>cadutra@montrose-env.com</t>
  </si>
  <si>
    <t>carlosbanales</t>
  </si>
  <si>
    <t>carlosbanales@ect2.com</t>
  </si>
  <si>
    <t>17/10/2025</t>
  </si>
  <si>
    <t>Everyone at MEG, ECT2 - Owners-Std_Des_Pricing, ECT2 - Owners-Projects-Internal, ECT2 - Owners-Projects-Client, ECT2 - Owners-Operations</t>
  </si>
  <si>
    <t>Carter</t>
  </si>
  <si>
    <t>Morrison</t>
  </si>
  <si>
    <t>camorrison@montrose-env.com</t>
  </si>
  <si>
    <t>27/7/2025</t>
  </si>
  <si>
    <t>Cathy</t>
  </si>
  <si>
    <t>Busse</t>
  </si>
  <si>
    <t>cbusse@montrose-env.com</t>
  </si>
  <si>
    <t>Wiesner</t>
  </si>
  <si>
    <t>cawiesner@montrose-env.com</t>
  </si>
  <si>
    <t>30/6/2025</t>
  </si>
  <si>
    <t>Charlie</t>
  </si>
  <si>
    <t>Gordon</t>
  </si>
  <si>
    <t>cgordon@ect2.com</t>
  </si>
  <si>
    <t>ECT2 - Users-Operators, ECT2 - Users-ECT Core Team, Everyone at MEG, ECT2 - AU-Staff, ECT2 - AU-NSW-WLM-DOD-Ops Mgmt, ECT2 - AU-Ops-Full, ECT2-AU-NSW-Jervis Bay RF Interim - Edit, ECT2 - AU-NSW-RIC-STP-PROJ-022811 Staff, ECT2 - AU-Users-Business Development, ECT2 - AU-NSW-LendLease-F35</t>
  </si>
  <si>
    <t>Charlotte</t>
  </si>
  <si>
    <t>Berg</t>
  </si>
  <si>
    <t>chberg@ect2.com</t>
  </si>
  <si>
    <t>26/7/2021</t>
  </si>
  <si>
    <t>Everyone at MEG, ECT2 - AU-NSW-WLM-DOD-Ops Mgmt, ECT2 - Users-ECT Core Team, ECT2 - Users-Projects-Client-3M, ECT2 - Users-Projects-Client-3M-Decatur-PFAS System O&amp;M PROJ-024114, ECT2 - Owners-Projects-Client</t>
  </si>
  <si>
    <t>Chip</t>
  </si>
  <si>
    <t>Saunders</t>
  </si>
  <si>
    <t>csaunders@ect2.com</t>
  </si>
  <si>
    <t>Everyone at MEG, ECT2 - Users-ECT Core Team, ECT2 - Users-ECT-Marketing, ECT2 - Users-Operators, ECT2 - Users-Projects-Client-3M, ECT2 - Owners-Operations</t>
  </si>
  <si>
    <t>Chris</t>
  </si>
  <si>
    <t>Guesnon</t>
  </si>
  <si>
    <t>cguesnon@montrose-env.com</t>
  </si>
  <si>
    <t>25/9/2024</t>
  </si>
  <si>
    <t>Altamont</t>
  </si>
  <si>
    <t>Lehrman</t>
  </si>
  <si>
    <t>clehrman@ect2.com</t>
  </si>
  <si>
    <t>15/6/2022</t>
  </si>
  <si>
    <t>ECT2 - Owners-Admin, ECT2 - Owners-Operations, ECT2 - Owners-Projects-Client, ECT2 - Owners-Proposals, ECT2 - Owners-R&amp;D, ECT2 - Owners-Sales_Marketing, ECT2 - Owners-Std_Des_Pricing, ECT2 - Users-ECT Core Team, ECT2 - Owners-Projects-Internal, ECT2 - Users-test, ECT2 - Users-Restricted, Everyone at MEG, ECT2 - AU-NSW-WLM-DOD-Ops Mgmt, ECT2 - Users-Projects-Client-3M, ECT2 - Users-ECT-Operations-SCADA, Dropbox (MEG)/ECT-Legal, ECT-Sales-Marketing-Native Files</t>
  </si>
  <si>
    <t>ECT2 - Everyone at ECT2, Test_ECT2-Users</t>
  </si>
  <si>
    <t>Nosti</t>
  </si>
  <si>
    <t>chnosti@ect2.com</t>
  </si>
  <si>
    <t>Everyone at MEG, ECT2 - Users-Operators, ECT2 - Owners-Admin, ECT2 - Users-ECT Core Team, ECT2 - Owners-Projects-Client, ECT2 - Owners-Proposals, ECT2 - Owners-Sales_Marketing, ECT2 - Owners-Std_Des_Pricing, ECT2 - Owners-App_Engineering, ECT2 - Users-Projects-Client-3M, ECT2-AU-NSW-Jervis Bay RF Interim - Edit</t>
  </si>
  <si>
    <t>Christian</t>
  </si>
  <si>
    <t>Junghanss</t>
  </si>
  <si>
    <t>christianjunghanss@ect2.com</t>
  </si>
  <si>
    <t>Everyone at MEG, ECT2 - AU-NSW-WLM-DOD-Ops Mgmt, ECT2 - Owners-Sales_Marketing, ECT2 - Users-ECT Core Team, ECT2 - Users-Projects-Client-3M, ECT2 - Users-Restricted, ECT2 - Denmark Transfer</t>
  </si>
  <si>
    <t>Christine</t>
  </si>
  <si>
    <t>Barr</t>
  </si>
  <si>
    <t>cbarr@matrix-solutions.com</t>
  </si>
  <si>
    <t>28/7/2025</t>
  </si>
  <si>
    <t>cbarr@montrose-env.ca</t>
  </si>
  <si>
    <t>Everyone at MEG, Finance - Accounting</t>
  </si>
  <si>
    <t>Christopher</t>
  </si>
  <si>
    <t>Abraham</t>
  </si>
  <si>
    <t>cabraham@montrose-env.com</t>
  </si>
  <si>
    <t>14/9/2023</t>
  </si>
  <si>
    <t>Delmond</t>
  </si>
  <si>
    <t>chdelmond@ect2.com</t>
  </si>
  <si>
    <t>Everyone at MEG, ECT2 - Users-ECT Core Team, ECT2 - Users-Projects-Client-3M</t>
  </si>
  <si>
    <t>Robare</t>
  </si>
  <si>
    <t>chrobare@ect2.com</t>
  </si>
  <si>
    <t>25/5/2023</t>
  </si>
  <si>
    <t>Everyone at MEG, ECT2 - Users-Projects-Client-3M, ECT2 - Owners-Projects-Client, ECT2 - Owners-Std_Des_Pricing, ECT2 - Long Term Scheduling (3M), ECT2 - Users-ECT Core Team</t>
  </si>
  <si>
    <t>Claire</t>
  </si>
  <si>
    <t>Deaner</t>
  </si>
  <si>
    <t>cdeaner@montrose-env.com</t>
  </si>
  <si>
    <t>27/6/2025</t>
  </si>
  <si>
    <t>Colin</t>
  </si>
  <si>
    <t>Howe</t>
  </si>
  <si>
    <t>cohowe@ect2.com</t>
  </si>
  <si>
    <t>24/6/2022</t>
  </si>
  <si>
    <t>Everyone at MEG, ECT2 - Users-Operators, ECT2 - Owners-App_Engineering, ECT2 - Owners-Proposals, ECT2 - Owners-Std_Des_Pricing, ECT2 - Owners-Operations, ECT2 - Users-Projects-Client-3M, ECT2 - Owners-Projects-Internal, ECT2 - Users-ECT Core Team, ECT2 - Owners-Projects-Client, ECT2 - Owners-Sales_Marketing, ECT-Sales-Marketing-Native Files, ECT2 - Users-Restricted</t>
  </si>
  <si>
    <t>Colleen</t>
  </si>
  <si>
    <t>Moore</t>
  </si>
  <si>
    <t>colleenmoore@montrose-env.com</t>
  </si>
  <si>
    <t>Collin</t>
  </si>
  <si>
    <t>Oriente</t>
  </si>
  <si>
    <t>cjoriente@montrose-env.com</t>
  </si>
  <si>
    <t>19/1/2022</t>
  </si>
  <si>
    <t>Cornel</t>
  </si>
  <si>
    <t>Wessels</t>
  </si>
  <si>
    <t>cwessels@montrose-env.ca</t>
  </si>
  <si>
    <t>Craig</t>
  </si>
  <si>
    <t>Ruberti</t>
  </si>
  <si>
    <t>cruberti@montrose-env.com</t>
  </si>
  <si>
    <t>14/9/2021</t>
  </si>
  <si>
    <t>Everyone at MEG, ECT2 - Users-Projects-Client-3M, ECT2 - Owners-IMS, ECT2 - Owners-Projects-Client, ECT2 - Owners-Operations, ECT2 - Users-ECT Core Team</t>
  </si>
  <si>
    <t>Dale</t>
  </si>
  <si>
    <t>Pullin</t>
  </si>
  <si>
    <t>dapullin@ect2.com</t>
  </si>
  <si>
    <t>13/7/2022</t>
  </si>
  <si>
    <t>Everyone at MEG, ECT2 - AU-Staff, ECT2 - Users-Operators, ECT2 - Users-ECT Core Team, ECT2 - Owners-Projects-Client, ECT2 - AU-NSW-RIC-STP-PROJ-022811 Staff</t>
  </si>
  <si>
    <t>Wynkoop</t>
  </si>
  <si>
    <t>dwynkoop@ect2.com</t>
  </si>
  <si>
    <t>ECT2 - Owners-Sales_Marketing, ECT2 - Users-ECT Core Team, ECT2 - Owners-Proposals, ECT2 - Owners-Projects-Internal, ECT2 - Owners-Std_Des_Pricing, Everyone at MEG, ECT2 - Users-Projects-Client-3M, ECT2 - Owners-Projects-Client, Dropbox (MEG)/ECT-Legal, ECT-Sales-Marketing-Native Files, ECT2 - Owners-R&amp;D</t>
  </si>
  <si>
    <t>Casey</t>
  </si>
  <si>
    <t>dcasey@ect2.com</t>
  </si>
  <si>
    <t>ECT2 - Owners-Operations, ECT2 - Users-ECT Core Team, ECT2 - Owners-Projects-Internal, ECT2 - Owners-Proposals, ECT2 - Users-Restricted, ECT2 - Owners-Projects-Client, Everyone at MEG, ECT2 - Users-Projects-Client-3M, ECT2 - Long Term Scheduling (3M)</t>
  </si>
  <si>
    <t>Fitzgerald</t>
  </si>
  <si>
    <t>dfitzgerald@montrose-env.com</t>
  </si>
  <si>
    <t>Daniel</t>
  </si>
  <si>
    <t>Florez</t>
  </si>
  <si>
    <t>daflorez@ect2.com</t>
  </si>
  <si>
    <t>23/2/2021</t>
  </si>
  <si>
    <t>Everyone at MEG, ECT2 - Owners-Projects-Client, ECT2 - Users-ECT Core Team, ECT2 - Users-Proposals, ECT2 - Owners-Sales_Marketing, ECT2 - Users-Projects-Client-3M, ECT2 - Long Term Scheduling (3M), ECT2 - Users-Restricted, ECT2 - Owners-R&amp;D</t>
  </si>
  <si>
    <t>Gerard</t>
  </si>
  <si>
    <t>dagerard@montrose-env.com</t>
  </si>
  <si>
    <t>Goltz</t>
  </si>
  <si>
    <t>dgoltz@ect2.com</t>
  </si>
  <si>
    <t>ECT2 - Users-Operators, Everyone at MEG, ECT2 - AU-Staff, ECT2 - AU-NSW-WLM-DOD-Ops Mgmt, ECT2 - Owners-Projects-Client, ECT2 - Owners-R&amp;D</t>
  </si>
  <si>
    <t>Hirl</t>
  </si>
  <si>
    <t>dhirl@montrose-env.com</t>
  </si>
  <si>
    <t>23/3/2021</t>
  </si>
  <si>
    <t>Everyone at MEG, ECT2 - Owners-Projects-Client, ECT2 - Users-Projects-Client-3M, ECT2 - Owners-Std_Des_Pricing, ECT2 - Owners-Proposals, ECT2 - Owners-Projects-Internal</t>
  </si>
  <si>
    <t>Darren</t>
  </si>
  <si>
    <t>Skinner</t>
  </si>
  <si>
    <t>darrenskinner@ect2.com</t>
  </si>
  <si>
    <t>Everyone at MEG, ECT2 - AU-NSW-LendLease-F35, ECT2 - AU-Staff, ECT2 - Owners-IMS, ECT2 - Owners-Projects-Client, ECT2 - Owners-R&amp;D, ECT2 - Users-Operators</t>
  </si>
  <si>
    <t>Darrin</t>
  </si>
  <si>
    <t>Stoker</t>
  </si>
  <si>
    <t>dastoker@ect2.com</t>
  </si>
  <si>
    <t>Everyone at MEG, ECT2 - AU-Staff, ECT2 - AU-Users-Business Development, ECT2 - Owners-Operations, ECT2 - Users-ECT Core Team</t>
  </si>
  <si>
    <t>Dave</t>
  </si>
  <si>
    <t>Kempisty</t>
  </si>
  <si>
    <t>dakempisty@ect2.com</t>
  </si>
  <si>
    <t>18/5/2022</t>
  </si>
  <si>
    <t>Everyone at MEG, ECT2 - Users-ECT Core Team, ECT2 - Users-Projects-Client-3M, ECT2 - Owners-R&amp;D, ECT2 - EU-Preliminary Opportunities, ECT2 - Users-ECT-Marketing</t>
  </si>
  <si>
    <t>David</t>
  </si>
  <si>
    <t>Chandler</t>
  </si>
  <si>
    <t>davidchandler@ect2.com</t>
  </si>
  <si>
    <t>29/3/2024</t>
  </si>
  <si>
    <t>Everyone at MEG, ECT2 - Users-ECT Core Team, ECT2 - Owners-Projects-Client, ECT2 - Users-Operators</t>
  </si>
  <si>
    <t>Lillemo</t>
  </si>
  <si>
    <t>dalillemo@montrose-env.com</t>
  </si>
  <si>
    <t>Everyone at MEG, ECT2 - Owners-Projects-Client</t>
  </si>
  <si>
    <t>Pepper</t>
  </si>
  <si>
    <t>davidpepper@montrose-env.com</t>
  </si>
  <si>
    <t>Petryshin</t>
  </si>
  <si>
    <t>dpetryshin@montrose-env.com</t>
  </si>
  <si>
    <t>Tucker</t>
  </si>
  <si>
    <t>datucker@ect2.com</t>
  </si>
  <si>
    <t>17/10/2023</t>
  </si>
  <si>
    <t>Everyone at MEG, ECT2 - Users-ECT Core Team, ECT2 - Owners-Projects-Client, ECT2 - Owners-Sales_Marketing, ECT2 - Users-Projects-Client-3M</t>
  </si>
  <si>
    <t>Vecellio</t>
  </si>
  <si>
    <t>dvecellio@montrose-env.com</t>
  </si>
  <si>
    <t>24/9/2020</t>
  </si>
  <si>
    <t>Debra</t>
  </si>
  <si>
    <t>Lilly</t>
  </si>
  <si>
    <t>delilly@montrose-env.com</t>
  </si>
  <si>
    <t>29/7/2025</t>
  </si>
  <si>
    <t>Denese</t>
  </si>
  <si>
    <t>Daniels</t>
  </si>
  <si>
    <t>ddaniels@montrose-env.com</t>
  </si>
  <si>
    <t>25/6/2025</t>
  </si>
  <si>
    <t>Denniese</t>
  </si>
  <si>
    <t>Mutuc</t>
  </si>
  <si>
    <t>dmutuc@montrose-env.com</t>
  </si>
  <si>
    <t>Derek</t>
  </si>
  <si>
    <t>Street</t>
  </si>
  <si>
    <t>derekstreet@montrose-env.com</t>
  </si>
  <si>
    <t>Devin</t>
  </si>
  <si>
    <t>Fox</t>
  </si>
  <si>
    <t>devinfox@ect2.com</t>
  </si>
  <si>
    <t>14/5/2024</t>
  </si>
  <si>
    <t>Everyone at MEG, ECT2 - Owners-Projects-Client, ECT2 - Users-ECT Core Team, ECT2 - Users-Operators</t>
  </si>
  <si>
    <t>Diane</t>
  </si>
  <si>
    <t>DeStephano</t>
  </si>
  <si>
    <t>dianedestephano@ect2.com</t>
  </si>
  <si>
    <t>Everyone at MEG, ECT2 - Owners-Admin, ECT2 - Owners-App_Engineering, ECT2 - Owners-Projects-Client, ECT2 - Owners-Projects-Internal, ECT2 - Owners-Proposals, ECT2 - Owners-Std_Des_Pricing, ECT2 - Owners-Sales_Marketing</t>
  </si>
  <si>
    <t>Donald</t>
  </si>
  <si>
    <t>Taylor</t>
  </si>
  <si>
    <t>dontaylor@ect2.com</t>
  </si>
  <si>
    <t>Eben</t>
  </si>
  <si>
    <t>Joslyn</t>
  </si>
  <si>
    <t>ebjoslyn@ect2.com</t>
  </si>
  <si>
    <t>Everyone at MEG, ECT2 - Users-ECT Core Team, ECT2 - Users-Projects-Client-3M, ECT2 - Owners-Projects-Client</t>
  </si>
  <si>
    <t>Elizabeth</t>
  </si>
  <si>
    <t>Fuchs</t>
  </si>
  <si>
    <t>elizabethfuchs@montrose-env.com</t>
  </si>
  <si>
    <t>Eric</t>
  </si>
  <si>
    <t>Cooper</t>
  </si>
  <si>
    <t>ercooper@montrose-env.com</t>
  </si>
  <si>
    <t>23/10/2024</t>
  </si>
  <si>
    <t>Erika</t>
  </si>
  <si>
    <t>Houtz</t>
  </si>
  <si>
    <t>erhoutz@ect2.com</t>
  </si>
  <si>
    <t>Everyone at MEG, ECT2 - Owners-R&amp;D, ECT2 - Users-Projects-Client-3M, ECT2 - Users-ECT Core Team, ECT2 - Owners-Sales_Marketing, ECT2 - Owners-Projects-Client</t>
  </si>
  <si>
    <t>Erin</t>
  </si>
  <si>
    <t>Boelkens</t>
  </si>
  <si>
    <t>erboelkens@montrose-env.com</t>
  </si>
  <si>
    <t>Ethan</t>
  </si>
  <si>
    <t>Jahnke</t>
  </si>
  <si>
    <t>ethanjahnke@montrose-env.com</t>
  </si>
  <si>
    <t>26/3/2025</t>
  </si>
  <si>
    <t>Farideh</t>
  </si>
  <si>
    <t>Kia</t>
  </si>
  <si>
    <t>fkia@montrose-env.com</t>
  </si>
  <si>
    <t>27/4/2023</t>
  </si>
  <si>
    <t>FÃ¡tima</t>
  </si>
  <si>
    <t>Revuelta</t>
  </si>
  <si>
    <t>farevuelta@montrose-env.com</t>
  </si>
  <si>
    <t>28/3/2023</t>
  </si>
  <si>
    <t>Everyone at MEG, ECT2 - Owners-IMS</t>
  </si>
  <si>
    <t>Francis</t>
  </si>
  <si>
    <t>Dayrit</t>
  </si>
  <si>
    <t>francisdayrit@montrose-env.com</t>
  </si>
  <si>
    <t>Fred</t>
  </si>
  <si>
    <t>Wlizlo</t>
  </si>
  <si>
    <t>fredwlizlo@montrose-env.com</t>
  </si>
  <si>
    <t>16/11/2023</t>
  </si>
  <si>
    <t>Gavin</t>
  </si>
  <si>
    <t>Broughton</t>
  </si>
  <si>
    <t>gbroughton@ect2.com</t>
  </si>
  <si>
    <t>ECT2 - Users-ECT Core Team, ECT2 - Users-Restricted, Everyone at MEG, ECT2 - AU-NSW-WLM-DOD-Ops Mgmt, ECT2 - Users-Projects-Client-3M, ECT2 - Owners-Projects-Client, ECT2 - Owners-Operations</t>
  </si>
  <si>
    <t>Gita</t>
  </si>
  <si>
    <t>Mobini</t>
  </si>
  <si>
    <t>gmobini@ect2.com</t>
  </si>
  <si>
    <t>ECT2 - Users-ECT Core Team, ECT2 - Owners-Sales_Marketing, ECT2 - Owners-Std_Des_Pricing, ECT2 - Users-Restricted, ECT2 - Owners-Proposals, Everyone at MEG, ECT2 - AU-NSW-WLM-DOD-Ops Mgmt, ECT2 - Users-Projects-Client-3M, ECT2 - Owners-Projects-Client, ECT2-AU-NSW-Jervis Bay RF Interim - Edit</t>
  </si>
  <si>
    <t>Gracie</t>
  </si>
  <si>
    <t>Howard</t>
  </si>
  <si>
    <t>graciehoward@ect2.com</t>
  </si>
  <si>
    <t>Everyone at MEG, ECT2 - Users-ECT Core Team, ECT2 - Users-Operators, ECT2 - Owners-Operations</t>
  </si>
  <si>
    <t>Hannah</t>
  </si>
  <si>
    <t>Besmer</t>
  </si>
  <si>
    <t>hannahbesmer@ect2.com</t>
  </si>
  <si>
    <t>20/8/2024</t>
  </si>
  <si>
    <t>Everyone at MEG, ECT2 - Long Term Scheduling (3M), ECT2 - Owners-Projects-Client, ECT2 - Owners-Projects-Internal, ECT2 - Users-ECT Core Team, ECT2 - Users-Projects-Client-3M</t>
  </si>
  <si>
    <t>Hayley</t>
  </si>
  <si>
    <t>Hewett</t>
  </si>
  <si>
    <t>hahewett@montrose-env.com</t>
  </si>
  <si>
    <t>Heather</t>
  </si>
  <si>
    <t>Patti</t>
  </si>
  <si>
    <t>hdpatti@montrose-env.com</t>
  </si>
  <si>
    <t>21/8/2023</t>
  </si>
  <si>
    <t>Hector</t>
  </si>
  <si>
    <t>Rivera</t>
  </si>
  <si>
    <t>hrivera@montrose-env.com</t>
  </si>
  <si>
    <t>Holly</t>
  </si>
  <si>
    <t>Linton</t>
  </si>
  <si>
    <t>hollylinton@ect2.com</t>
  </si>
  <si>
    <t>Everyone at MEG, ECT2 - AU-Staff, ECT2 - AU-NSW-LendLease-F35, ECT2 - AU-NSW-RIC-STP-PROJ-022811 Staff, ECT2 - AU-NSW-WLM-DOD-Ops Mgmt, ECT2 - Owners-Projects-Client, ECT2 - Owners-R&amp;D, ECT2 - Users-ECT Core Team, ECT2 - Users-Operators, ECT2 - Users-Proposals, ECT2-AU-NSW-Jervis Bay RF Interim - Edit</t>
  </si>
  <si>
    <t>Isabelle</t>
  </si>
  <si>
    <t>Brewer</t>
  </si>
  <si>
    <t>isabellebrewer@montrose-env.com</t>
  </si>
  <si>
    <t>Jack</t>
  </si>
  <si>
    <t>Besse</t>
  </si>
  <si>
    <t>jackbesse@ect2.com</t>
  </si>
  <si>
    <t>Everyone at MEG, ECT2 - Owners-Projects-Client, ECT2 - Users-ECT Core Team, ECT2 - Users-Operators, ECT2 - Users-Projects-Client-3M, ECT2 - Owners-Sales_Marketing</t>
  </si>
  <si>
    <t>Jacob</t>
  </si>
  <si>
    <t>Ewers</t>
  </si>
  <si>
    <t>jaewers@montrose-env.com</t>
  </si>
  <si>
    <t>Everyone at MEG, ECT2 - Owners-Proposals, ECT2 - Owners-Projects-Client, ECT2 - Owners-Projects-Internal, ECT2 - Owners-Std_Des_Pricing</t>
  </si>
  <si>
    <t>Stern</t>
  </si>
  <si>
    <t>jastern@montrose-env.com</t>
  </si>
  <si>
    <t>29/1/2022</t>
  </si>
  <si>
    <t>Jamal</t>
  </si>
  <si>
    <t>Sims</t>
  </si>
  <si>
    <t>jamalsims@montrose-env.com</t>
  </si>
  <si>
    <t>22/9/2025</t>
  </si>
  <si>
    <t>James</t>
  </si>
  <si>
    <t>Garrett</t>
  </si>
  <si>
    <t>jagarrett@montrose-env.com</t>
  </si>
  <si>
    <t>20/8/2025</t>
  </si>
  <si>
    <t>Knights</t>
  </si>
  <si>
    <t>jaknights@ect2.com</t>
  </si>
  <si>
    <t>30/9/2021</t>
  </si>
  <si>
    <t>Everyone at MEG, ECT2 - Users-Operators, ECT2 - Users-ECT Core Team, ECT2 - Users-Projects-Client-3M, ECT2 - AU-Ops-Full, ECT2 - AU-NSW-WLM-DOD-Ops Mgmt, ECT2 - Owners-Projects-Client</t>
  </si>
  <si>
    <t>Jarett</t>
  </si>
  <si>
    <t>Zelinsky</t>
  </si>
  <si>
    <t>jarettzelinsky@montrose-env.com</t>
  </si>
  <si>
    <t>Jeffrey</t>
  </si>
  <si>
    <t>Lewis</t>
  </si>
  <si>
    <t>jklewis@ect2.com</t>
  </si>
  <si>
    <t>31/8/2020</t>
  </si>
  <si>
    <t>Everyone at MEG, ECT2 - Users-ECT Core Team, ECT2 - Users-Projects-Client-3M, ECT2 - Owners-IMS, ECT2 - Owners-Projects-Client</t>
  </si>
  <si>
    <t>Jennie</t>
  </si>
  <si>
    <t>jenniecooper@montrose-env.com</t>
  </si>
  <si>
    <t>15/10/2024</t>
  </si>
  <si>
    <t>Everyone at MEG, Marketing</t>
  </si>
  <si>
    <t>Jennifer</t>
  </si>
  <si>
    <t>Medara</t>
  </si>
  <si>
    <t>jemedara@montrose-env.com</t>
  </si>
  <si>
    <t>22/8/2025</t>
  </si>
  <si>
    <t>Jessica</t>
  </si>
  <si>
    <t>Gonzalez</t>
  </si>
  <si>
    <t>jegonzalez@montrose-env.com</t>
  </si>
  <si>
    <t>Haxen</t>
  </si>
  <si>
    <t>jehaxen@ect2.com</t>
  </si>
  <si>
    <t>Everyone at MEG, ECT2 - Owners-Admin, ECT2 - Users-ECT Core Team, ECT2 - Users-Sales_Marketing, ECT2 - Owners-Sales_Marketing, ECT2 - AU-NSW-WLM-DOD-Ops Mgmt, ECT2-AU-NSW-Jervis Bay RF Interim - Edit, ECT2 - AU-Staff, ECT2 - AU-NSW-RIC-STP-PROJ-022811 Staff, ECT2 - AU-NSW-LendLease-F35, ECT2 - Owners-Projects-Client</t>
  </si>
  <si>
    <t>Perrini</t>
  </si>
  <si>
    <t>jperrini@montrose-env.com</t>
  </si>
  <si>
    <t>Ritchey</t>
  </si>
  <si>
    <t>jritchey@montrose-env.com</t>
  </si>
  <si>
    <t>Jina</t>
  </si>
  <si>
    <t>Chung</t>
  </si>
  <si>
    <t>jinachung@montrose-env.com</t>
  </si>
  <si>
    <t>Everyone at MEG, ECT2 - Users-Restricted</t>
  </si>
  <si>
    <t>Joe</t>
  </si>
  <si>
    <t>Andrews</t>
  </si>
  <si>
    <t>josephandrews@montrose-env.com</t>
  </si>
  <si>
    <t>joe</t>
  </si>
  <si>
    <t>Gwarjanski</t>
  </si>
  <si>
    <t>jgwarjanski@ect2.com</t>
  </si>
  <si>
    <t>ECT2 - Users-ECT Core Team, ECT2 - Users-Restricted, Everyone at MEG, ECT2 - AU-NSW-WLM-DOD-Ops Mgmt, ECT2 - Users-Projects-Client-3M, ECT2 - Long Term Scheduling (3M)</t>
  </si>
  <si>
    <t>Kontur</t>
  </si>
  <si>
    <t>jokontur@ect2.com</t>
  </si>
  <si>
    <t>Everyone at MEG, ECT2 - Users-ECT Core Team, ECT2 - Owners-Admin, ECT2 - Owners-Operations, ECT2 - Owners-Projects-Client, ECT2 - Owners-Projects-Internal, ECT2 - Owners-Proposals, ECT2 - Owners-R&amp;D, ECT2 - Owners-Sales_Marketing, ECT2 - Owners-Std_Des_Pricing, ECT2 - Users-Projects-Client-3M, ECT2 - Owners-App_Engineering, ECT2-AU-NSW-Jervis Bay RF Interim - Edit, ECT2 - Users-Projects-131021_Raytheon, ECT2 - Users-Restricted</t>
  </si>
  <si>
    <t>Joel</t>
  </si>
  <si>
    <t>Szekel</t>
  </si>
  <si>
    <t>joszekel@montrose-env.com</t>
  </si>
  <si>
    <t>Joey</t>
  </si>
  <si>
    <t>Pousson</t>
  </si>
  <si>
    <t>joeypousson@ect2.com</t>
  </si>
  <si>
    <t>Everyone at MEG, ECT2 - Users-Operators, ECT2 - Users-Projects-Client-3M, ECT2 - Owners-Projects-Client</t>
  </si>
  <si>
    <t>John</t>
  </si>
  <si>
    <t>Berry</t>
  </si>
  <si>
    <t>jberry@ect2.com</t>
  </si>
  <si>
    <t>ECT2 - Owners-Proposals, ECT2 - Users-ECT Core Team, ECT2 - Owners-Sales_Marketing, ECT2 - Owners-Projects-Internal, ECT2 - Users-Restricted, Everyone at MEG, ECT2 - Owners-R&amp;D, ECT2 - AU-NSW-WLM-DOD-Ops Mgmt, ECT2 - Users-Projects-Client-3M, ECT2 - Owners-Projects-Client</t>
  </si>
  <si>
    <t>Gartland</t>
  </si>
  <si>
    <t>jogartland@ect2.com</t>
  </si>
  <si>
    <t>Everyone at MEG, ECT2 - Users-Operators</t>
  </si>
  <si>
    <t>Goyette</t>
  </si>
  <si>
    <t>john.goyette@enthalpy.com</t>
  </si>
  <si>
    <t>Larsen</t>
  </si>
  <si>
    <t>johnlarsen@ect2.com</t>
  </si>
  <si>
    <t>Pinkowski</t>
  </si>
  <si>
    <t>jopinkowski@montrose-env.com</t>
  </si>
  <si>
    <t>Everyone at MEG, ECT2 - Users-ECT Core Team, ECT2 - Owners-Operations, ECT2 - Owners-Projects-Client, ECT2 - Owners-Projects-Internal, ECT2 - Owners-Proposals</t>
  </si>
  <si>
    <t>Jon</t>
  </si>
  <si>
    <t>Gagne</t>
  </si>
  <si>
    <t>jdgagne@ect2.com</t>
  </si>
  <si>
    <t>21/6/2022</t>
  </si>
  <si>
    <t>Everyone at MEG, ECT2 - Users-ECT Core Team, ECT2 - Users-Projects-Client-3M, ECT2 - Owners-Projects-Internal, ECT2 - Owners-Projects-Client</t>
  </si>
  <si>
    <t>Jose</t>
  </si>
  <si>
    <t>jrevuelta@montrose-env.com</t>
  </si>
  <si>
    <t>28/8/2020</t>
  </si>
  <si>
    <t>Everyone at MEG, Corp-M&amp;A-MSE-Group</t>
  </si>
  <si>
    <t>Josh</t>
  </si>
  <si>
    <t>Allen</t>
  </si>
  <si>
    <t>joshuaallen@montrose-env.com</t>
  </si>
  <si>
    <t>24/9/2024</t>
  </si>
  <si>
    <t>Hill</t>
  </si>
  <si>
    <t>johill@ect2.com</t>
  </si>
  <si>
    <t>25/2/2022</t>
  </si>
  <si>
    <t>Everyone at MEG, ECT2 - Users-Projects-Client-3M, ECT2 - Users-ECT Core Team, ECT2 - Owners-Projects-Client</t>
  </si>
  <si>
    <t>Julian</t>
  </si>
  <si>
    <t>Fernandez-Obregon</t>
  </si>
  <si>
    <t>jfernandez@montrose-env.com</t>
  </si>
  <si>
    <t>Justin</t>
  </si>
  <si>
    <t>Murray</t>
  </si>
  <si>
    <t>jmurray@ect2.com</t>
  </si>
  <si>
    <t>Everyone at MEG, ECT2 - Long Term Scheduling (3M), ECT2 - Users-ECT Core Team, ECT2 - Users-Projects-Client-3M, ECT2 - Users-Restricted, ECT2 - Owners-Projects-Client</t>
  </si>
  <si>
    <t>Justo</t>
  </si>
  <si>
    <t>Garcia</t>
  </si>
  <si>
    <t>jugarcia@montrose-env.com</t>
  </si>
  <si>
    <t>20/10/2021</t>
  </si>
  <si>
    <t>Karl</t>
  </si>
  <si>
    <t>Lany</t>
  </si>
  <si>
    <t>klany@montrose-env.com</t>
  </si>
  <si>
    <t>14/8/2025</t>
  </si>
  <si>
    <t>Kate</t>
  </si>
  <si>
    <t>Nguyen</t>
  </si>
  <si>
    <t>katenguyen@montrose-env.com</t>
  </si>
  <si>
    <t>Kathleen</t>
  </si>
  <si>
    <t>Lagnese</t>
  </si>
  <si>
    <t>kalagnese@ect2.com</t>
  </si>
  <si>
    <t>Everyone at MEG, ECT2 - Users-Projects-Client-3M, ECT2 - Owners-Std_Des_Pricing, ECT2 - Owners-Sales_Marketing, ECT2 - Owners-Proposals, ECT2 - Owners-Projects-Client, ECT2 - Owners-Projects-Internal, ECT2 - Users-ECT Core Team, ECT2 - Users-Projects-Client-3M-Decatur-PFAS System O&amp;M PROJ-024114</t>
  </si>
  <si>
    <t>Kathy</t>
  </si>
  <si>
    <t>Zipp</t>
  </si>
  <si>
    <t>kathy.zipp@enthalpy.com</t>
  </si>
  <si>
    <t>16/7/2025</t>
  </si>
  <si>
    <t>Katie</t>
  </si>
  <si>
    <t>Mascetta</t>
  </si>
  <si>
    <t>kamascetta@ect2.com</t>
  </si>
  <si>
    <t>Everyone at MEG, ECT2 - Users-Operators, ECT2 - Owners-IMS, ECT2 - Users-Projects-Client-3M, Dropbox (MEG)/ECT-Legal, ECT2 - Users-ECT-Marketing, ECT2 - Owners-Projects-Client</t>
  </si>
  <si>
    <t>Katrina</t>
  </si>
  <si>
    <t>Bagwell</t>
  </si>
  <si>
    <t>kbagwell@montrose-env.com</t>
  </si>
  <si>
    <t>Kelsey</t>
  </si>
  <si>
    <t>Morton</t>
  </si>
  <si>
    <t>kemorton@montrose-env.com</t>
  </si>
  <si>
    <t>Ken</t>
  </si>
  <si>
    <t>Kwong</t>
  </si>
  <si>
    <t>kenkwong@montrose-env.com</t>
  </si>
  <si>
    <t>Kennedy</t>
  </si>
  <si>
    <t>Lawson</t>
  </si>
  <si>
    <t>kennedylawson@montrose-env.com</t>
  </si>
  <si>
    <t>Kerry</t>
  </si>
  <si>
    <t>kehill@ect2.com</t>
  </si>
  <si>
    <t>15/2/2023</t>
  </si>
  <si>
    <t>Everyone at MEG, ECT2 - Users-Projects-Client-3M, ECT2 - Users-Operators, ECT2 - Users-ECT Core Team, ECT2 - Owners-Projects-Client</t>
  </si>
  <si>
    <t>kevin</t>
  </si>
  <si>
    <t>sparkas</t>
  </si>
  <si>
    <t>kesparkas@ect2.com</t>
  </si>
  <si>
    <t>26/7/2023</t>
  </si>
  <si>
    <t>Kirk</t>
  </si>
  <si>
    <t>Kessler</t>
  </si>
  <si>
    <t>kkessler@montrose-env.com</t>
  </si>
  <si>
    <t>24/6/2025</t>
  </si>
  <si>
    <t>Kosta</t>
  </si>
  <si>
    <t>Voukidis</t>
  </si>
  <si>
    <t>kovoukidis@montrose-env.com</t>
  </si>
  <si>
    <t>13/9/2022</t>
  </si>
  <si>
    <t>Everyone at MEG, ECT2 - Owners-Projects-Client, ECT2 - Owners-Std_Des_Pricing, ECT2 - Users-Projects-Client-3M, ECT2 - Owners-Proposals, ECT2 - Owners-Projects-Internal</t>
  </si>
  <si>
    <t>Kyle</t>
  </si>
  <si>
    <t>Cummings</t>
  </si>
  <si>
    <t>kylecummings@montrose-env.com</t>
  </si>
  <si>
    <t>24/10/2024</t>
  </si>
  <si>
    <t>lalee</t>
  </si>
  <si>
    <t>lalee@montrose-env.com</t>
  </si>
  <si>
    <t>Lauren</t>
  </si>
  <si>
    <t>Harrison</t>
  </si>
  <si>
    <t>laharrison@ect2.com</t>
  </si>
  <si>
    <t>24/3/2022</t>
  </si>
  <si>
    <t>Everyone at MEG, ECT2 - Users-ECT Core Team, ECT2 - Users-Projects-Client-3M, ECT2 - Owners-Operations, ECT2 - Owners-Projects-Client</t>
  </si>
  <si>
    <t>leah</t>
  </si>
  <si>
    <t>mistick</t>
  </si>
  <si>
    <t>lmistick@montrose-env.com</t>
  </si>
  <si>
    <t>22/5/2024</t>
  </si>
  <si>
    <t>Leandrew</t>
  </si>
  <si>
    <t>Escobedo</t>
  </si>
  <si>
    <t>leescobedo@montrose-env.com</t>
  </si>
  <si>
    <t>13/6/2025</t>
  </si>
  <si>
    <t>Leon</t>
  </si>
  <si>
    <t>Aillaud</t>
  </si>
  <si>
    <t>leonaillaud@montrose-env.com</t>
  </si>
  <si>
    <t>18/6/2024</t>
  </si>
  <si>
    <t>Everyone at MEG, ECT2 - Owners-Projects-Client, ECT2 - Users-ECT Core Team, ECT2 - Users-Projects-Client-3M, ECT2 - Users-Projects-Client-3M-Decatur-PFAS System O&amp;M PROJ-024114</t>
  </si>
  <si>
    <t>Lindsey</t>
  </si>
  <si>
    <t>Elvington</t>
  </si>
  <si>
    <t>ext-lindseyelvington@montrose-env.com</t>
  </si>
  <si>
    <t>Loren</t>
  </si>
  <si>
    <t>Marin</t>
  </si>
  <si>
    <t>lorenmarin@montrose-env.com</t>
  </si>
  <si>
    <t>lorinchamberlain</t>
  </si>
  <si>
    <t>lorinchamberlain@montrose-env.com</t>
  </si>
  <si>
    <t>Lottie</t>
  </si>
  <si>
    <t>Franck</t>
  </si>
  <si>
    <t>chfranck@ect2.com</t>
  </si>
  <si>
    <t>17/5/2023</t>
  </si>
  <si>
    <t>Everyone at MEG, ECT2 - Owners-Operations, ECT2 - Owners-Projects-Client, ECT2 - Owners-Projects-Internal, ECT2 - Users-Projects-Client-3M, ECT2 - Users-ECT Core Team, ECT2 - Owners-Proposals, ECT2 - Owners-R&amp;D</t>
  </si>
  <si>
    <t>Lowell</t>
  </si>
  <si>
    <t>Gerber</t>
  </si>
  <si>
    <t>lgerber@montrose-env.com</t>
  </si>
  <si>
    <t>Luis</t>
  </si>
  <si>
    <t>luisgonzalez@montrose-env.com</t>
  </si>
  <si>
    <t>Everyone at MEG, ECT2 - Owners-Projects-Client, ECT2 - Users-ECT Core Team, ECT2 - Users-Projects-Client-3M, ECT2 - Owners-Std_Des_Pricing</t>
  </si>
  <si>
    <t>Lydia</t>
  </si>
  <si>
    <t>Work</t>
  </si>
  <si>
    <t>lwork@montrose-env.com</t>
  </si>
  <si>
    <t>15/7/2025</t>
  </si>
  <si>
    <t>Madan</t>
  </si>
  <si>
    <t>Tandukar</t>
  </si>
  <si>
    <t>matandukar@ect2.com</t>
  </si>
  <si>
    <t>18/8/2022</t>
  </si>
  <si>
    <t>Everyone at MEG, ECT2 - Users-Operators, ECT2 - Users-ECT Core Team, ECT2 - Owners-R&amp;D, ECT2 - Users-Projects-Client-3M, ECT2 - Owners-Projects-Client</t>
  </si>
  <si>
    <t>Madison</t>
  </si>
  <si>
    <t>Alsbach</t>
  </si>
  <si>
    <t>madisonalsbach@montrose-env.com</t>
  </si>
  <si>
    <t>24/10/2025</t>
  </si>
  <si>
    <t>Mallory</t>
  </si>
  <si>
    <t>Ridgely</t>
  </si>
  <si>
    <t>maridgely@montrose-env.com</t>
  </si>
  <si>
    <t>29/10/2024</t>
  </si>
  <si>
    <t>Marcus</t>
  </si>
  <si>
    <t>Kirklen</t>
  </si>
  <si>
    <t>chriskirklen@ect2.com</t>
  </si>
  <si>
    <t>13/10/2025</t>
  </si>
  <si>
    <t>Margaret</t>
  </si>
  <si>
    <t>Thompson</t>
  </si>
  <si>
    <t>mathompson@ect2.com</t>
  </si>
  <si>
    <t>Everyone at MEG, ECT2 - Users-ECT Core Team, ECT2 - Owners-R&amp;D, ECT2 - Users-Projects-Client-3M, ECT2 - Owners-Projects-Client</t>
  </si>
  <si>
    <t>Marilyn</t>
  </si>
  <si>
    <t>Sinnett</t>
  </si>
  <si>
    <t>marilynsinnett@ect2.com</t>
  </si>
  <si>
    <t>ECT2 - Owners-Admin, ECT2 - Owners-Projects-Client, ECT2 - Owners-Projects-Internal, ECT2 - Owners-Proposals, ECT2 - Owners-R&amp;D, ECT2 - Owners-Sales_Marketing, ECT2 - Owners-Operations, ECT2 - Owners-Std_Des_Pricing, ECT2 - Users-ECT Core Team, ECT2 - Users-ECT-Marketing, ECT2 - Users-Sales_Marketing, ECT2 - Users-Restricted, ECT2 - Users-BD, Everyone at MEG, ECT2 - AU-NSW-WLM-DOD-Ops Mgmt, ECT2 - Users-Projects-Client-3M, ECT2 - Owners-App_Engineering, ECT2-AU-NSW-Jervis Bay RF Interim - Edit, ECT2 - Long Term Scheduling (3M)</t>
  </si>
  <si>
    <t>Marissa</t>
  </si>
  <si>
    <t>Jerden</t>
  </si>
  <si>
    <t>marissajerden@ect2.com</t>
  </si>
  <si>
    <t>17/11/2025</t>
  </si>
  <si>
    <t>Everyone at MEG, ECT2 - Owners-Projects-Client, ECT2 - Owners-Projects-Internal, ECT2 - Owners-Proposals, ECT2 - Owners-R&amp;D</t>
  </si>
  <si>
    <t>Mark</t>
  </si>
  <si>
    <t>Davin</t>
  </si>
  <si>
    <t>mjdavin@ect2.com</t>
  </si>
  <si>
    <t>Kuffer</t>
  </si>
  <si>
    <t>mark.kuffer@ect2.com</t>
  </si>
  <si>
    <t>31/7/2023</t>
  </si>
  <si>
    <t>Everyone at MEG, ECT2 - AU-Staff, ECT2 - Users-ECT Core Team, ECT2 - Users-ECT-Marketing, ECT2-AU-NSW-Jervis Bay RF Interim - Edit, ECT2 - AU-NSW-RIC-STP-PROJ-022811 Staff, ECT2 - Owners-Projects-Client, ECT2 - Users-Restricted, ECT2 - Users-Projects-Client-3M, ECT2 - Denmark Transfer</t>
  </si>
  <si>
    <t>Loyd</t>
  </si>
  <si>
    <t>mloyd@ect2.com</t>
  </si>
  <si>
    <t>16/2/2022</t>
  </si>
  <si>
    <t>Everyone at MEG, ECT2 - Users-ECT-Marketing, ECT2 - Users-Operators, ECT2 - Users-ECT-Operations-SCADA, ECT2 - Users-Projects-Client-3M, ECT2 - Users-ECT Core Team, ECT2 - Owners-Operations, ECT2 - Owners-Projects-Client</t>
  </si>
  <si>
    <t>Rein</t>
  </si>
  <si>
    <t>mark.rein@enthalpy.com</t>
  </si>
  <si>
    <t>Mathew</t>
  </si>
  <si>
    <t>Coates</t>
  </si>
  <si>
    <t>macoates@ect2.com</t>
  </si>
  <si>
    <t>14/7/2022</t>
  </si>
  <si>
    <t>Everyone at MEG, ECT2 - AU-Staff, ECT2 - Users-Operators, ECT2 - Owners-Projects-Client, ECT2 - AU-NSW-RIC-STP-PROJ-022811 Staff, ECT2 - Owners-R&amp;D, ECT2 - Owners-Proposals</t>
  </si>
  <si>
    <t>McKenzie</t>
  </si>
  <si>
    <t>Tyler</t>
  </si>
  <si>
    <t>mctyler@ect2.com</t>
  </si>
  <si>
    <t>23/4/2021</t>
  </si>
  <si>
    <t>Everyone at MEG, ECT2 - Users-ECT Core Team, ECT2 - Users-Projects-Client-3M, ECT2 - Owners-Proposals, ECT2 - Owners-Operations, ECT2 - Owners-Projects-Client, ECT2 - Owners-Projects-Internal, ECT2 - Users-ECT-Marketing, ECT2 - Owners-R&amp;D</t>
  </si>
  <si>
    <t>miaweaver</t>
  </si>
  <si>
    <t>miaweaver@ect2.com</t>
  </si>
  <si>
    <t>22/12/2025</t>
  </si>
  <si>
    <t>Michael</t>
  </si>
  <si>
    <t>Rockel</t>
  </si>
  <si>
    <t>mkrockel@montrose-env.com</t>
  </si>
  <si>
    <t>23/12/2025</t>
  </si>
  <si>
    <t>msims@ect2.com</t>
  </si>
  <si>
    <t>ECT2 - Users-ECT Core Team, ECT2 - Owners-Projects-Internal, Everyone at MEG, ECT2 - Users-Projects-Client-3M, ECT2 - Long Term Scheduling (3M), ECT2 - Owners-Projects-Client</t>
  </si>
  <si>
    <t>Stevenson</t>
  </si>
  <si>
    <t>mistevenson@montrose-env.com</t>
  </si>
  <si>
    <t>michaeltaylor</t>
  </si>
  <si>
    <t>michaeltaylor@ect2.com</t>
  </si>
  <si>
    <t>28/4/2025</t>
  </si>
  <si>
    <t>Everyone at MEG, ECT2 - Owners-Projects-Client, ECT2 - Owners-Projects-Internal</t>
  </si>
  <si>
    <t>Michal</t>
  </si>
  <si>
    <t>Vacho</t>
  </si>
  <si>
    <t>mivacho@ect2.com</t>
  </si>
  <si>
    <t>Everyone at MEG, ECT2 - AU-Staff, ECT2 - Users-Operators, ECT2 - Owners-Projects-Client, ECT2 - AU-NSW-LendLease-F35, ECT2 - AU-NSW-RIC-STP-PROJ-022811 Staff, ECT2 - AU-NSW-WLM-DOD-Ops Mgmt</t>
  </si>
  <si>
    <t>Mieko</t>
  </si>
  <si>
    <t>Takeshita</t>
  </si>
  <si>
    <t>miekotakeshita@montrose-env.com</t>
  </si>
  <si>
    <t>13/3/2025</t>
  </si>
  <si>
    <t>Mike</t>
  </si>
  <si>
    <t>Nickelsen</t>
  </si>
  <si>
    <t>mnickelsen@ect2.com</t>
  </si>
  <si>
    <t>ECT2 - Owners-R&amp;D, ECT2 - Users-ECT Core Team, Everyone at MEG, ECT2 - AU-NSW-WLM-DOD-Ops Mgmt, ECT2 - Users-Projects-Client-3M, ECT-Sales-Marketing-Native Files, ECT2 - Owners-Projects-Client</t>
  </si>
  <si>
    <t>MItchell</t>
  </si>
  <si>
    <t>Esparza</t>
  </si>
  <si>
    <t>mitchellesparza@ect2.com</t>
  </si>
  <si>
    <t>30/10/2025</t>
  </si>
  <si>
    <t>Monica</t>
  </si>
  <si>
    <t>Moreno</t>
  </si>
  <si>
    <t>monicamoreno@montrose-env.com</t>
  </si>
  <si>
    <t>mynormasaya</t>
  </si>
  <si>
    <t>mynormasaya@ect2.com</t>
  </si>
  <si>
    <t>Nancy</t>
  </si>
  <si>
    <t>nawhite@ect2.com</t>
  </si>
  <si>
    <t>Everyone at MEG, ECT2 - Users-ECT Core Team, ECT2 - Users-Restricted, ECT2 - Owners-Projects-Client, ECT2 - Owners-Admin, ECT2 - Users-Projects-Client-3M</t>
  </si>
  <si>
    <t>Narayan</t>
  </si>
  <si>
    <t>Upreti</t>
  </si>
  <si>
    <t>narayanupreti@montrose-env.com</t>
  </si>
  <si>
    <t>Nasym</t>
  </si>
  <si>
    <t>Afsari</t>
  </si>
  <si>
    <t>nafsari@montrose-env.com</t>
  </si>
  <si>
    <t>27/6/2019</t>
  </si>
  <si>
    <t>Everyone at MEG, Corp-M&amp;A-MSE-Group, ECT2 - Owners-Proposals</t>
  </si>
  <si>
    <t>Legal</t>
  </si>
  <si>
    <t>Nathan</t>
  </si>
  <si>
    <t>Brandwein</t>
  </si>
  <si>
    <t>nathanbrandwein@montrose-env.com</t>
  </si>
  <si>
    <t>22/5/2025</t>
  </si>
  <si>
    <t>Dunford</t>
  </si>
  <si>
    <t>nathandunford@ect2.com</t>
  </si>
  <si>
    <t>Everyone at MEG, ECT2 - Owners-Projects-Client, ECT2 - Owners-Operations, ECT2 - Owners-Projects-Internal</t>
  </si>
  <si>
    <t>Krohne</t>
  </si>
  <si>
    <t>nakrohne@montrose-env.com</t>
  </si>
  <si>
    <t>29/4/2025</t>
  </si>
  <si>
    <t>Nestor</t>
  </si>
  <si>
    <t>ngonzalez@montrose-env.com</t>
  </si>
  <si>
    <t>23/6/2025</t>
  </si>
  <si>
    <t>Nicholas</t>
  </si>
  <si>
    <t>Basil</t>
  </si>
  <si>
    <t>nibasil@montrose-env.com</t>
  </si>
  <si>
    <t>nmloyd@ect2.com</t>
  </si>
  <si>
    <t>Everyone at MEG, ECT2 - Users-ECT Core Team, ECT2 - Owners-Operations</t>
  </si>
  <si>
    <t>Welch</t>
  </si>
  <si>
    <t>niwelch@montrose-env.com</t>
  </si>
  <si>
    <t>Everyone at MEG, ECT2 - Owners-Sales_Marketing</t>
  </si>
  <si>
    <t>Nick</t>
  </si>
  <si>
    <t>Backman</t>
  </si>
  <si>
    <t>nicholasbackman@ect2.com</t>
  </si>
  <si>
    <t>Everyone at MEG, ECT2 - Owners-Projects-Client, ECT2 - Owners-Projects-Internal, ECT2 - Owners-R&amp;D, ECT2 - Owners-Sales_Marketing, ECT2 - Owners-Std_Des_Pricing, ECT2 - Users-BD, ECT2 - Users-ECT-Marketing, ECT2 - Owners-App_Engineering</t>
  </si>
  <si>
    <t>Crosthwaite</t>
  </si>
  <si>
    <t>nickcrosthwaite@montrose-env.com</t>
  </si>
  <si>
    <t>21/8/2025</t>
  </si>
  <si>
    <t xml:space="preserve">Nina </t>
  </si>
  <si>
    <t>Linden</t>
  </si>
  <si>
    <t>nilinden@ect2.com</t>
  </si>
  <si>
    <t>Everyone at MEG, ECT2 - Owners-IMS, ECT2 - Owners-Projects-Client, ECT2 - Owners-Sales_Marketing, ECT2 - Users-Restricted, ECT2 - Users-ECT Core Team, ECT2 - Owners-Projects-Internal</t>
  </si>
  <si>
    <t>Olivia</t>
  </si>
  <si>
    <t>Almada</t>
  </si>
  <si>
    <t>oalmada@montrose-env.com</t>
  </si>
  <si>
    <t>Woker</t>
  </si>
  <si>
    <t>oliviawoker@montrose-env.com</t>
  </si>
  <si>
    <t>Owen</t>
  </si>
  <si>
    <t>Gillick</t>
  </si>
  <si>
    <t>owengillick@montrose-env.com</t>
  </si>
  <si>
    <t>Pablo</t>
  </si>
  <si>
    <t>Naufal</t>
  </si>
  <si>
    <t>panaufal@ect2.com</t>
  </si>
  <si>
    <t>17/6/2021</t>
  </si>
  <si>
    <t>Everyone at MEG, ECT2 - Users-ECT Core Team, ECT2 - AU-NSW-WLM-DOD-Ops Mgmt, ECT2 - Users-Projects-Client-3M, ECT2 - Owners-Std_Des_Pricing, ECT2 - Owners-Projects-Client</t>
  </si>
  <si>
    <t>Paige</t>
  </si>
  <si>
    <t>Anaya</t>
  </si>
  <si>
    <t>paanaya@ect2.com</t>
  </si>
  <si>
    <t>20/6/2022</t>
  </si>
  <si>
    <t>Everyone at MEG, ECT2 - Users-ECT Core Team, ECT2 - Owners-Admin, ECT2 - Users-Projects-Client-3M, ECT2 - Owners-Projects-Client</t>
  </si>
  <si>
    <t>Pamela</t>
  </si>
  <si>
    <t>Derk</t>
  </si>
  <si>
    <t>pameladerk@montrose-env.com</t>
  </si>
  <si>
    <t>Patrick</t>
  </si>
  <si>
    <t>McKeown</t>
  </si>
  <si>
    <t>pmckeown@ect2.com</t>
  </si>
  <si>
    <t>ECT2 - Owners-Projects-Internal, ECT2 - Owners-Sales_Marketing, ECT2 - Owners-Std_Des_Pricing, ECT2 - Users-BD, Everyone at MEG, ECT2 - Owners-Projects-Client, ECT2 - Owners-R&amp;D, ECT2 - Users-ECT-Marketing</t>
  </si>
  <si>
    <t>paul</t>
  </si>
  <si>
    <t>ardler</t>
  </si>
  <si>
    <t>paulardler@ect2.com</t>
  </si>
  <si>
    <t>Everyone at MEG, ECT2 - AU-Staff, ECT2 - Users-Operators, ECT2-AU-NSW-Jervis Bay RF Interim - Edit</t>
  </si>
  <si>
    <t>Paul</t>
  </si>
  <si>
    <t>Esquivel</t>
  </si>
  <si>
    <t>pesquivel@montrose-env.com</t>
  </si>
  <si>
    <t>panewman@ect2.com</t>
  </si>
  <si>
    <t>Everyone at MEG, ECT2 - Owners-Sales_Marketing, ECT2 - Owners-Proposals, ECT2 - Owners-Projects-Client, ECT2 - Owners-Std_Des_Pricing, ECT2 - Users-ECT Core Team</t>
  </si>
  <si>
    <t>parodriguez@ect2.com</t>
  </si>
  <si>
    <t>29/6/2022</t>
  </si>
  <si>
    <t>Everyone at MEG, ECT2 - Users-Operators, ECT2 - Owners-Proposals, ECT2 - Owners-R&amp;D, ECT2 - Owners-Projects-Client, ECT2 - Owners-Sales_Marketing, ECT2 - Owners-App_Engineering, ECT2 - Users-ECT Core Team</t>
  </si>
  <si>
    <t>Zimmermnn</t>
  </si>
  <si>
    <t>pzimmermann@ect2.com</t>
  </si>
  <si>
    <t>ECT2 - Users-Operators, Everyone at MEG</t>
  </si>
  <si>
    <t>Paula</t>
  </si>
  <si>
    <t>Dunn</t>
  </si>
  <si>
    <t>padunn@ect2.com</t>
  </si>
  <si>
    <t>14/8/2023</t>
  </si>
  <si>
    <t>Everyone at MEG, ECT2 - AU-Staff, ECT2 - Owners-Admin, ECT2 - Owners-Projects-Client, ECT2 - Owners-Proposals, ECT2 - Users-ECT Core Team, ECT2 - Owners-Operations, ECT2 - Users-Restricted, ECT2 - AU-NSW-WLM-DOD-Ops Mgmt, ECT2-AU-NSW-Jervis Bay RF Interim - Edit</t>
  </si>
  <si>
    <t>Mandarino</t>
  </si>
  <si>
    <t>ext-paulamandarino@montrose-env.com</t>
  </si>
  <si>
    <t>16/10/2024</t>
  </si>
  <si>
    <t>Peter</t>
  </si>
  <si>
    <t>Molnar</t>
  </si>
  <si>
    <t>petermolnar@ect2.com</t>
  </si>
  <si>
    <t>25/4/2024</t>
  </si>
  <si>
    <t>Everyone at MEG, ECT2 - Owners-Admin, ECT2 - Owners-App_Engineering, ECT2 - Owners-IMS, ECT2 - Owners-Operations, ECT2 - Owners-Projects-Client, ECT2 - Owners-Projects-Internal, ECT2 - Owners-Proposals, ECT2 - Owners-R&amp;D, ECT2 - Owners-Sales_Marketing, ECT2 - Owners-Std_Des_Pricing, ECT2 - Denmark Transfer</t>
  </si>
  <si>
    <t>Small</t>
  </si>
  <si>
    <t>petersmall@ect2.com</t>
  </si>
  <si>
    <t>Everyone at MEG, ECT2 - Owners-Projects-Client, ECT2 - Owners-Projects-Internal, ECT2 - Owners-Std_Des_Pricing, ECT2 - Owners-Operations</t>
  </si>
  <si>
    <t>Philip</t>
  </si>
  <si>
    <t>Alia</t>
  </si>
  <si>
    <t>philipalia@montrose-env.com</t>
  </si>
  <si>
    <t>23/1/2024</t>
  </si>
  <si>
    <t>Everyone at MEG, ECT2 - Owners-Sales_Marketing, ECT2 - Users-ECT Core Team, Marketing</t>
  </si>
  <si>
    <t>philip</t>
  </si>
  <si>
    <t>phtrue@ect2.com</t>
  </si>
  <si>
    <t>29/4/2022</t>
  </si>
  <si>
    <t>Everyone at MEG, ECT2 - Owners-Operations, ECT2 - Owners-Projects-Client, ECT2 - Owners-Projects-Internal</t>
  </si>
  <si>
    <t>Randal</t>
  </si>
  <si>
    <t>Marks</t>
  </si>
  <si>
    <t>ramarks@ect2.com</t>
  </si>
  <si>
    <t>Everyone at MEG, ECT2 - Users-ECT Core Team, ECT2 - Users-Projects-Client-3M, ECT2 - Owners-R&amp;D, ECT2 - Owners-Projects-Client</t>
  </si>
  <si>
    <t>Renee</t>
  </si>
  <si>
    <t>Fang</t>
  </si>
  <si>
    <t>reneefang@enthalpy.com</t>
  </si>
  <si>
    <t>30/7/2025</t>
  </si>
  <si>
    <t>Ricardo</t>
  </si>
  <si>
    <t>Vera</t>
  </si>
  <si>
    <t>rivera@montrose-env.com</t>
  </si>
  <si>
    <t>Everyone at MEG, ECT2 - Owners-IMS, ECT2 - Owners-Operations, ECT2 - Owners-Projects-Client, ECT2 - Users-Projects-Client-3M</t>
  </si>
  <si>
    <t>Richard</t>
  </si>
  <si>
    <t>Esteves</t>
  </si>
  <si>
    <t>riesteves@ect2.com</t>
  </si>
  <si>
    <t>16/8/2021</t>
  </si>
  <si>
    <t>Everyone at MEG, ECT2 - Users-Operators, ECT2 - Owners-R&amp;D, ECT2 - Users-Projects-Client-3M, ECT2 - Owners-Proposals, ECT2 - Users-ECT Core Team</t>
  </si>
  <si>
    <t>Hankinson</t>
  </si>
  <si>
    <t>richardhankinson@montrose-env.com</t>
  </si>
  <si>
    <t>Kepp</t>
  </si>
  <si>
    <t>rkepp@montrose-env.com</t>
  </si>
  <si>
    <t>21/10/2020</t>
  </si>
  <si>
    <t>Villafania</t>
  </si>
  <si>
    <t>richard.villafania@enthalpy.com</t>
  </si>
  <si>
    <t>15/11/2025</t>
  </si>
  <si>
    <t>richardvercammen</t>
  </si>
  <si>
    <t>richardvercammen@ect2.com</t>
  </si>
  <si>
    <t>14/1/2025</t>
  </si>
  <si>
    <t>Robert</t>
  </si>
  <si>
    <t>Angius</t>
  </si>
  <si>
    <t>robertangius@ect2.com</t>
  </si>
  <si>
    <t>Espinoza</t>
  </si>
  <si>
    <t>robertespinoza@ect2.com</t>
  </si>
  <si>
    <t>17/12/2024</t>
  </si>
  <si>
    <t>Roberto</t>
  </si>
  <si>
    <t>Gama</t>
  </si>
  <si>
    <t>rgama@ect2.com</t>
  </si>
  <si>
    <t>24/1/2023</t>
  </si>
  <si>
    <t>Everyone at MEG, ECT2 - Users-Projects-Client-3M-Decatur-PFAS System O&amp;M PROJ-024114, ECT2 - Users-ECT Core Team, ECT2 - Users-Projects-Client-3M, ECT2 - Owners-Projects-Client</t>
  </si>
  <si>
    <t>Roman</t>
  </si>
  <si>
    <t>Schlichting</t>
  </si>
  <si>
    <t>romanschlichting@montrose-env.com</t>
  </si>
  <si>
    <t>26/10/2023</t>
  </si>
  <si>
    <t>Everyone at MEG, ECT2 - Users-ECT Core Team, ECT2 - Owners-Operations, ECT2 - Owners-R&amp;D, ECT2 - Owners-Std_Des_Pricing, ECT2 - Owners-App_Engineering, ECT2 - Owners-IMS, ECT2 - Owners-Sales_Marketing, ECT2 - Owners-Projects-Client, ECT2 - Owners-Projects-Internal</t>
  </si>
  <si>
    <t>Ross</t>
  </si>
  <si>
    <t>Hipple</t>
  </si>
  <si>
    <t>rosshipple@montrose-env.com</t>
  </si>
  <si>
    <t>Rowan</t>
  </si>
  <si>
    <t>Griffiths</t>
  </si>
  <si>
    <t>rowangriffiths@montrose-env.com</t>
  </si>
  <si>
    <t>Everyone at MEG, ECT2 - Owners-Projects-Client, ECT2 - Owners-R&amp;D, ECT2 - Users-ECT Core Team, ECT2 - Users-Operators, ECT2 - Users-Projects-Client-3M</t>
  </si>
  <si>
    <t>Ryan</t>
  </si>
  <si>
    <t>Conley</t>
  </si>
  <si>
    <t>ryanconley@montrose-env.com</t>
  </si>
  <si>
    <t>21/10/2025</t>
  </si>
  <si>
    <t>Rylee</t>
  </si>
  <si>
    <t>Pinsonneault</t>
  </si>
  <si>
    <t>rypinsonneault@ect2.com</t>
  </si>
  <si>
    <t>27/5/2022</t>
  </si>
  <si>
    <t>Everyone at MEG, ECT2 - AU-NSW-WLM-DOD-Ops Mgmt, ECT2 - Users-ECT Core Team, ECT2 - Users-Projects-Client-3M, ECT2 - Owners-Projects-Client, ECT2 - Owners-R&amp;D</t>
  </si>
  <si>
    <t>Sabrina</t>
  </si>
  <si>
    <t>Liding</t>
  </si>
  <si>
    <t>sabrinaliding@montrose-env.com</t>
  </si>
  <si>
    <t>sallymillercheek</t>
  </si>
  <si>
    <t>sallymillercheek@montrose-env.com</t>
  </si>
  <si>
    <t>Samantha</t>
  </si>
  <si>
    <t>Robinson</t>
  </si>
  <si>
    <t>scrobinson@montrose-env.com</t>
  </si>
  <si>
    <t>15/12/2022</t>
  </si>
  <si>
    <t>Everyone at MEG, ECT2 - Owners-Projects-Client, ECT2 - Owners-Sales_Marketing, ECT2 - Users-ECT Core Team, ECT2 - Users-Projects-Client-3M, ECT2 - Users-Restricted, ECT2 - Denmark Transfer</t>
  </si>
  <si>
    <t>Sandra</t>
  </si>
  <si>
    <t>swynkoop@ect2.com</t>
  </si>
  <si>
    <t>ECT2 - Owners-Admin, ECT2 - Owners-Projects-Internal, ECT2 - Users-ECT Core Team, ECT2 - Users-Restricted, Everyone at MEG, ECT2 - AU-NSW-WLM-DOD-Ops Mgmt, ECT2 - Users-Projects-Client-3M, ECT2 - Owners-Sales_Marketing, Dropbox (MEG)/ECT-Legal, ECT2 - Owners-Operations, ECT2 - Owners-Projects-Client</t>
  </si>
  <si>
    <t>Scott</t>
  </si>
  <si>
    <t>Brown</t>
  </si>
  <si>
    <t>scbrown@montrose-env.com</t>
  </si>
  <si>
    <t>Churbock</t>
  </si>
  <si>
    <t>schurbock@montrose-env.com</t>
  </si>
  <si>
    <t>24/8/2020</t>
  </si>
  <si>
    <t>Everyone at MEG, Safety</t>
  </si>
  <si>
    <t>Hanna</t>
  </si>
  <si>
    <t>scotthanna@ect2.com</t>
  </si>
  <si>
    <t>Sean</t>
  </si>
  <si>
    <t>Donovan</t>
  </si>
  <si>
    <t>sdonovan@montrose-env.com</t>
  </si>
  <si>
    <t>Sebastian</t>
  </si>
  <si>
    <t>Pelky</t>
  </si>
  <si>
    <t>sepelky@ect2.com</t>
  </si>
  <si>
    <t>18/2/2022</t>
  </si>
  <si>
    <t>Everyone at MEG, ECT2 - Users-ECT Core Team, ECT2 - Users-Projects-Client-3M, ECT2 - Owners-Std_Des_Pricing, ECT2 - Owners-Projects-Client</t>
  </si>
  <si>
    <t>Shad</t>
  </si>
  <si>
    <t>Manning</t>
  </si>
  <si>
    <t>shadmanning@montrose-env.com</t>
  </si>
  <si>
    <t>15/12/2025</t>
  </si>
  <si>
    <t>Shane</t>
  </si>
  <si>
    <t>Mascitelli</t>
  </si>
  <si>
    <t>smascitelli@montrose-env.com</t>
  </si>
  <si>
    <t>Shaun</t>
  </si>
  <si>
    <t>Gilday</t>
  </si>
  <si>
    <t>shgilday@montrose-env.com</t>
  </si>
  <si>
    <t>Shelley</t>
  </si>
  <si>
    <t>Whalan-Daniels</t>
  </si>
  <si>
    <t>shwhalandaniels@ect2.com</t>
  </si>
  <si>
    <t>19/4/2021</t>
  </si>
  <si>
    <t>Everyone at MEG, ECT2 - Users-ECT Core Team, ECT2 - Owners-Admin, ECT2 - Owners-Operations, ECT2 - Owners-Projects-Client, ECT2 - Owners-Proposals, ECT2 - Users-Restricted, ECT2 - AU-NSW-WLM-DOD-Ops Mgmt, ECT2-AU-NSW-Jervis Bay RF Interim - Edit, ECT2 - AU-Staff</t>
  </si>
  <si>
    <t>Solomon</t>
  </si>
  <si>
    <t>Rios</t>
  </si>
  <si>
    <t>sorios@montrose-env.com</t>
  </si>
  <si>
    <t>28/5/2024</t>
  </si>
  <si>
    <t>Sonja</t>
  </si>
  <si>
    <t>Pastora Rodriguez</t>
  </si>
  <si>
    <t>ofeliarodriguez@montrose-env.com</t>
  </si>
  <si>
    <t>15/8/2025</t>
  </si>
  <si>
    <t>Sophia</t>
  </si>
  <si>
    <t>Carson</t>
  </si>
  <si>
    <t>sophiacarson@ect2.com</t>
  </si>
  <si>
    <t>Everyone at MEG, ECT2 - Owners-R&amp;D</t>
  </si>
  <si>
    <t>Steffen</t>
  </si>
  <si>
    <t>Boye-Hansen</t>
  </si>
  <si>
    <t>stboye-hansen@ect2.com</t>
  </si>
  <si>
    <t>Stephany</t>
  </si>
  <si>
    <t>Lane</t>
  </si>
  <si>
    <t>stlane@montrose-env.com</t>
  </si>
  <si>
    <t>13/9/2023</t>
  </si>
  <si>
    <t>Stephen</t>
  </si>
  <si>
    <t>Cross</t>
  </si>
  <si>
    <t>stephencross@ect2.com</t>
  </si>
  <si>
    <t>Steve</t>
  </si>
  <si>
    <t>Woodard</t>
  </si>
  <si>
    <t>swoodard@ect2.com</t>
  </si>
  <si>
    <t>ECT2 - Owners-Sales_Marketing, ECT2 - Users-ECT Core Team, ECT2 - Owners-Proposals, ECT2 - Owners-Projects-Internal, Everyone at MEG, ECT2 - Owners-R&amp;D, ECT2 - AU-NSW-WLM-DOD-Ops Mgmt, ECT2 - Users-Projects-Client-3M</t>
  </si>
  <si>
    <t>Yuchs</t>
  </si>
  <si>
    <t>syuchs@montrose-env.com</t>
  </si>
  <si>
    <t>Steven</t>
  </si>
  <si>
    <t>Behnken</t>
  </si>
  <si>
    <t>stevenbehnken@ect2.com</t>
  </si>
  <si>
    <t>Everyone at MEG, ECT2 - Owners-Projects-Client, ECT2 - Users-ECT Core Team, ECT2 - Users-Projects-Client-3M, ECT2 - Owners-Projects-Internal</t>
  </si>
  <si>
    <t>Susan</t>
  </si>
  <si>
    <t>Pearce</t>
  </si>
  <si>
    <t>smpearce@montrose-env.com</t>
  </si>
  <si>
    <t>Susannah</t>
  </si>
  <si>
    <t>Kiteck</t>
  </si>
  <si>
    <t>susannahkiteck@montrose-env.com</t>
  </si>
  <si>
    <t>18/6/2025</t>
  </si>
  <si>
    <t>Sylvia</t>
  </si>
  <si>
    <t>Snyder</t>
  </si>
  <si>
    <t>sylviasnyder@ect2.com</t>
  </si>
  <si>
    <t>Tammy</t>
  </si>
  <si>
    <t>Hovey</t>
  </si>
  <si>
    <t>tammyhovey@montrose-env.com</t>
  </si>
  <si>
    <t>Noel</t>
  </si>
  <si>
    <t>tanoel@montrose-env.com</t>
  </si>
  <si>
    <t>Sands</t>
  </si>
  <si>
    <t>tasands@ect2.com</t>
  </si>
  <si>
    <t>28/10/2022</t>
  </si>
  <si>
    <t>Everyone at MEG, ECT2 - Users-Operators, ECT2 - Users-Projects-Client-3M, ECT2 - Owners-Proposals, ECT2 - Owners-Projects-Client, ECT2 - Users-Restricted</t>
  </si>
  <si>
    <t>Thomas</t>
  </si>
  <si>
    <t>Guidry</t>
  </si>
  <si>
    <t>tfguidry@montrose-env.com</t>
  </si>
  <si>
    <t>Helmich</t>
  </si>
  <si>
    <t>thhelmich@montrose-env.com</t>
  </si>
  <si>
    <t>24/5/2022</t>
  </si>
  <si>
    <t>Lund</t>
  </si>
  <si>
    <t>thlund@ect2.com</t>
  </si>
  <si>
    <t>14/4/2022</t>
  </si>
  <si>
    <t>Everyone at MEG, ECT2 - Users-ECT Core Team, ECT2 - Owners-Projects-Client, ECT2 - Users-Projects-Client-3M</t>
  </si>
  <si>
    <t>Tilk</t>
  </si>
  <si>
    <t>thtilk@ect2.com</t>
  </si>
  <si>
    <t>Everyone at MEG, ECT2 - Users-Operators, ECT2 - Owners-Projects-Client, ECT2 - Users-ECT Core Team, ECT2 - Users-Projects-Client-3M, ECT2 - Owners-R&amp;D</t>
  </si>
  <si>
    <t>Tom</t>
  </si>
  <si>
    <t>Engels</t>
  </si>
  <si>
    <t>tmengels@montrose-env.com</t>
  </si>
  <si>
    <t>21/8/2024</t>
  </si>
  <si>
    <t>Tommy</t>
  </si>
  <si>
    <t>Nielsen</t>
  </si>
  <si>
    <t>tommynielsen@ect2.com</t>
  </si>
  <si>
    <t>Everyone at MEG, ECT2 - Owners-IMS, ECT2 - Owners-App_Engineering, ECT2 - Owners-Admin, ECT2 - Owners-Operations, ECT2 - Owners-Projects-Client, ECT2 - Owners-Projects-Internal, ECT2 - Owners-Proposals, ECT2 - Owners-R&amp;D, ECT2 - Owners-Sales_Marketing, ECT2 - Owners-Std_Des_Pricing, ECT2 - Denmark Transfer</t>
  </si>
  <si>
    <t>Toni</t>
  </si>
  <si>
    <t>Sebenick</t>
  </si>
  <si>
    <t>tosebenick@ect2.com</t>
  </si>
  <si>
    <t>Everyone at MEG, ECT2 - Users-ECT Core Team, ECT2 - Owners-Admin, ECT2 - Users-Projects-Client-3M, ECT2 - Users-Restricted, ECT2 - Owners-Projects-Client, ECT2 - Owners-Projects-Internal, ECT2 - Owners-Proposals, ECT2 - Denmark Transfer</t>
  </si>
  <si>
    <t>Tore</t>
  </si>
  <si>
    <t>Svendsen</t>
  </si>
  <si>
    <t>tosvendsen@ect2.com</t>
  </si>
  <si>
    <t>Hubble</t>
  </si>
  <si>
    <t>tylerhubble@enthalpy.com</t>
  </si>
  <si>
    <t>Umut</t>
  </si>
  <si>
    <t>Saltik</t>
  </si>
  <si>
    <t>umutsaltik@montrose-env.com</t>
  </si>
  <si>
    <t>Vahik</t>
  </si>
  <si>
    <t>Aboolian</t>
  </si>
  <si>
    <t>vahikaboolian@montrose-env.com</t>
  </si>
  <si>
    <t>Wendy</t>
  </si>
  <si>
    <t>Huang</t>
  </si>
  <si>
    <t>whuang@montrose-env.com</t>
  </si>
  <si>
    <t>28/6/2019</t>
  </si>
  <si>
    <t>Will</t>
  </si>
  <si>
    <t>Breeden</t>
  </si>
  <si>
    <t>wibreeden@montrose-env.com</t>
  </si>
  <si>
    <t>Rice</t>
  </si>
  <si>
    <t>will.rice@enthalpy.com</t>
  </si>
  <si>
    <t>William</t>
  </si>
  <si>
    <t>Ulrich</t>
  </si>
  <si>
    <t>wiulrich@ect2.com</t>
  </si>
  <si>
    <t>Everyone at MEG, ECT2 - Users-Operators, ECT2 - Owners-R&amp;D, ECT2 - Users-ECT Core Team, ECT2 - Owners-Projects-Client</t>
  </si>
  <si>
    <t>Yasmine</t>
  </si>
  <si>
    <t>Florent</t>
  </si>
  <si>
    <t>yasmineflorent@montrose-env.com</t>
  </si>
  <si>
    <t>25/11/2025</t>
  </si>
  <si>
    <t>Yerbol</t>
  </si>
  <si>
    <t>Myrzagulov</t>
  </si>
  <si>
    <t>yerbolmyrzagulov@ect2.com</t>
  </si>
  <si>
    <t>Zachary</t>
  </si>
  <si>
    <t>Barker</t>
  </si>
  <si>
    <t>zach.barker@enthalpy.com</t>
  </si>
  <si>
    <t>30/9/2025</t>
  </si>
  <si>
    <t>Cornejo</t>
  </si>
  <si>
    <t>zacharycornejo@montrose-env.com</t>
  </si>
  <si>
    <t>Zara</t>
  </si>
  <si>
    <t>Nyhus</t>
  </si>
  <si>
    <t>zanyhus@montrose-env.com</t>
  </si>
  <si>
    <t>Zella</t>
  </si>
  <si>
    <t>Neal</t>
  </si>
  <si>
    <t>zellaneal@ect2.com</t>
  </si>
  <si>
    <t>Everyone at MEG, ECT2 - Owners-Admin, ECT2 - Owners-Projects-Client, ECT2 - Owners-Projects-Internal, ECT2 - Owners-Proposals, ECT2 - Users-ECT Core Team, ECT2 - Users-Projects-Client-3M, ECT2 - Users-Restricted</t>
  </si>
  <si>
    <t>cgiovanetto@matrix-solutions.com</t>
  </si>
  <si>
    <t>Invited</t>
  </si>
  <si>
    <t>suwood@montrose-env.com</t>
  </si>
  <si>
    <t>Glen</t>
  </si>
  <si>
    <t>McCann</t>
  </si>
  <si>
    <t>glenmccann@ect2.com</t>
  </si>
  <si>
    <t>Deleted</t>
  </si>
  <si>
    <t>Mandy</t>
  </si>
  <si>
    <t>Mishra</t>
  </si>
  <si>
    <t>mandy.mishra@enthalpy.com</t>
  </si>
  <si>
    <t>25/11/2024</t>
  </si>
  <si>
    <t>Jonathan</t>
  </si>
  <si>
    <t>Foli</t>
  </si>
  <si>
    <t>jofoli@ect2.com</t>
  </si>
  <si>
    <t>18/8/2021</t>
  </si>
  <si>
    <t>isabellarodriguezadmin@montrose-env.com</t>
  </si>
  <si>
    <t>anelskamp@montrose-env.com</t>
  </si>
  <si>
    <t>17/12/2025</t>
  </si>
  <si>
    <t>cc id</t>
  </si>
  <si>
    <t>cc descr</t>
  </si>
  <si>
    <t>CC191</t>
  </si>
  <si>
    <t>USA - Corp - IT Operations</t>
  </si>
  <si>
    <t>CC373</t>
  </si>
  <si>
    <t>USA - ECT2 - OH - Sales</t>
  </si>
  <si>
    <t>CC160</t>
  </si>
  <si>
    <t>USA - Consulting - Santa Ana (P&amp;C) - Operations</t>
  </si>
  <si>
    <t>CC135</t>
  </si>
  <si>
    <t>USA - ECT2 - Operations</t>
  </si>
  <si>
    <t>CC344</t>
  </si>
  <si>
    <t>USA - Consulting - Valley Forge - Sales &amp; Marketing</t>
  </si>
  <si>
    <t>CC145</t>
  </si>
  <si>
    <t>AUS - ECT2 - Operations</t>
  </si>
  <si>
    <t>CC281</t>
  </si>
  <si>
    <t>USA - Response &amp; Recovery - Resilience &amp; Recovery Solutions - Operations</t>
  </si>
  <si>
    <t>CC203</t>
  </si>
  <si>
    <t>USA  - Air Testing - OH - HR Stack</t>
  </si>
  <si>
    <t>CC291</t>
  </si>
  <si>
    <t>USA - Consulting - OH - Sales</t>
  </si>
  <si>
    <t>CC441</t>
  </si>
  <si>
    <t>USA - Consulting - Two Dot - Operations</t>
  </si>
  <si>
    <t>CC235</t>
  </si>
  <si>
    <t>USA - ECT2 - OH - G&amp;A</t>
  </si>
  <si>
    <t>CC343</t>
  </si>
  <si>
    <t>USA - Consulting - Valley Forge - Operations</t>
  </si>
  <si>
    <t>CC331</t>
  </si>
  <si>
    <t>USA - Sensible EDP - OH - G&amp;A</t>
  </si>
  <si>
    <t>CC469</t>
  </si>
  <si>
    <t>USA - Consulting - OH - Legal</t>
  </si>
  <si>
    <t>CC374</t>
  </si>
  <si>
    <t>USA - ECT2 - OH - R&amp;D</t>
  </si>
  <si>
    <t>CC265</t>
  </si>
  <si>
    <t>USA - Env Lab - El Dorado Hills - Operations</t>
  </si>
  <si>
    <t>CC115</t>
  </si>
  <si>
    <t>USA - Consulting - Robbinsville - Operations</t>
  </si>
  <si>
    <t>CC192</t>
  </si>
  <si>
    <t>USA - Corp - Safety</t>
  </si>
  <si>
    <t>CC011</t>
  </si>
  <si>
    <t>USA - Stack - Gulf Coast - G&amp;A</t>
  </si>
  <si>
    <t>CC272</t>
  </si>
  <si>
    <t>USA - Consulting - Environmental Intelligence - Operations</t>
  </si>
  <si>
    <t>CC190</t>
  </si>
  <si>
    <t>USA - Corp - Legal</t>
  </si>
  <si>
    <t>CC267</t>
  </si>
  <si>
    <t>USA - Corp - Sales</t>
  </si>
  <si>
    <t>CC242</t>
  </si>
  <si>
    <t>AUS - ECT2 - OH - G&amp;A</t>
  </si>
  <si>
    <t>CC309</t>
  </si>
  <si>
    <t>USA - Consulting - Oakland - Operations</t>
  </si>
  <si>
    <t>CC361</t>
  </si>
  <si>
    <t>USA  - Air Testing - OH - Sales LDAR/Sensible</t>
  </si>
  <si>
    <t>CC034</t>
  </si>
  <si>
    <t>USA  - Air Testing - OH - Finance</t>
  </si>
  <si>
    <t>CC109</t>
  </si>
  <si>
    <t>USA - Consulting - Santa Ana (Rem) - Operations</t>
  </si>
  <si>
    <t>CC234</t>
  </si>
  <si>
    <t>USA - ECT2 - OH - Finance</t>
  </si>
  <si>
    <t>CC389</t>
  </si>
  <si>
    <t>CAN - Consulting - OH - Finance</t>
  </si>
  <si>
    <t>CC107</t>
  </si>
  <si>
    <t>USA - Lab Testing  - OH - Safety</t>
  </si>
  <si>
    <t>CC202</t>
  </si>
  <si>
    <t>USA - Stack - OH - G&amp;A</t>
  </si>
  <si>
    <t>CC195</t>
  </si>
  <si>
    <t>USA - Corp - Marketing</t>
  </si>
  <si>
    <t>CC433</t>
  </si>
  <si>
    <t>CAN - Consulting - Project Services - Project Services</t>
  </si>
  <si>
    <t>CC238</t>
  </si>
  <si>
    <t>USA - ECT2 - OH - Safety</t>
  </si>
  <si>
    <t>CC356</t>
  </si>
  <si>
    <t>USA - Corp - Global Business Services</t>
  </si>
  <si>
    <t>CC366</t>
  </si>
  <si>
    <t>AUS - ECT2 - OH - Sales</t>
  </si>
  <si>
    <t>CC251</t>
  </si>
  <si>
    <t>USA - Corp - R&amp;D</t>
  </si>
  <si>
    <t>CC016</t>
  </si>
  <si>
    <t>USA - Stack - Southeast - Operations</t>
  </si>
  <si>
    <t>CC075</t>
  </si>
  <si>
    <t>USA - Env Lab - Durham - Operations</t>
  </si>
  <si>
    <t>CC189</t>
  </si>
  <si>
    <t>USA - Corp - Finance</t>
  </si>
  <si>
    <t>CC205</t>
  </si>
  <si>
    <t>USA  - Air Testing - OH - HR LDAR/Sensible</t>
  </si>
  <si>
    <t>CC255</t>
  </si>
  <si>
    <t>USA - Consulting - Wilmington - Operations</t>
  </si>
  <si>
    <t>CC105</t>
  </si>
  <si>
    <t>USA - Lab Testing  - OH - Finance</t>
  </si>
  <si>
    <t>CC143</t>
  </si>
  <si>
    <t>AUS - ECT2 - OH - Safety</t>
  </si>
  <si>
    <t>CC001</t>
  </si>
  <si>
    <t>USA - Stack - Seattle - Operations</t>
  </si>
  <si>
    <t>CC168</t>
  </si>
  <si>
    <t>USA - Consulting - OH - Safety</t>
  </si>
  <si>
    <t>CC318</t>
  </si>
  <si>
    <t>USA - Sensible EDP - Denver - Operations</t>
  </si>
  <si>
    <t>CC317</t>
  </si>
  <si>
    <t>USA - Sensible EDP - Denver - G&amp;A</t>
  </si>
  <si>
    <t>CC007</t>
  </si>
  <si>
    <t>USA - Stack - Santa Ana - Operations</t>
  </si>
  <si>
    <t>CC304</t>
  </si>
  <si>
    <t>USA - Consulting - OH - HR</t>
  </si>
  <si>
    <t>CC194</t>
  </si>
  <si>
    <t>USA - Corp - M&amp;A</t>
  </si>
  <si>
    <t>CC188</t>
  </si>
  <si>
    <t>USA - Corp - Executive</t>
  </si>
  <si>
    <t>CC161</t>
  </si>
  <si>
    <t>USA - Consulting - Santa Ana (P&amp;C) - G&amp;A</t>
  </si>
  <si>
    <t>CC118</t>
  </si>
  <si>
    <t>USA - Consulting - Atlanta - Operations</t>
  </si>
  <si>
    <t>CC049</t>
  </si>
  <si>
    <t>USA - LDAR - California - G&amp;A</t>
  </si>
  <si>
    <t>CC247</t>
  </si>
  <si>
    <t>USA - Consulting - OH - Finance</t>
  </si>
  <si>
    <t>CC048</t>
  </si>
  <si>
    <t>USA - LDAR - California - Operations</t>
  </si>
  <si>
    <t>CC052</t>
  </si>
  <si>
    <t>USA - LDAR - Texas - G&amp;A</t>
  </si>
  <si>
    <t>CC377</t>
  </si>
  <si>
    <t>USA - Advisory &amp; Technical - Risk Management Solutions - Operations</t>
  </si>
  <si>
    <t>CC457</t>
  </si>
  <si>
    <t>USA - Response &amp; Recovery - Environmental - Operations</t>
  </si>
  <si>
    <t>CC112</t>
  </si>
  <si>
    <t>USA - Consulting - Tampa - Operations</t>
  </si>
  <si>
    <t>CC459</t>
  </si>
  <si>
    <t>USA - Consulting - OH - COE</t>
  </si>
  <si>
    <t>CC473</t>
  </si>
  <si>
    <t>USA - Consulting - Operational Support - Supply Chain</t>
  </si>
  <si>
    <t>CC141</t>
  </si>
  <si>
    <t>AUS - ECT2 - OH - Finance</t>
  </si>
  <si>
    <t>CC239</t>
  </si>
  <si>
    <t>USA - ECT2 - OH - Marketing</t>
  </si>
  <si>
    <t>CC069</t>
  </si>
  <si>
    <t>USA - Env Lab - Orange - Operations</t>
  </si>
  <si>
    <t>CC004</t>
  </si>
  <si>
    <t>USA - Stack - Antioch - Operations</t>
  </si>
  <si>
    <t>CC363</t>
  </si>
  <si>
    <t>USA  - Air Testing - OH - Sales Stack</t>
  </si>
  <si>
    <t>CC020</t>
  </si>
  <si>
    <t>USA - Stack - Chicago - G&amp;A</t>
  </si>
  <si>
    <t>CC321</t>
  </si>
  <si>
    <t>USA - Sensible EDP - Austin - Operations</t>
  </si>
  <si>
    <t>CC258</t>
  </si>
  <si>
    <t>USA - Consulting - Charlottesville - Operations</t>
  </si>
  <si>
    <t>CC454</t>
  </si>
  <si>
    <t>USA - Env Lab - Denver - Operations</t>
  </si>
  <si>
    <t>CC365</t>
  </si>
  <si>
    <t>USA - Lab Testing  - OH - Sales</t>
  </si>
  <si>
    <t>USA - Corp - Digital Engagement</t>
  </si>
  <si>
    <t>CC466</t>
  </si>
  <si>
    <t>CC025</t>
  </si>
  <si>
    <t>USA - Stack - Northeast - Operations</t>
  </si>
  <si>
    <t>Grand Total</t>
  </si>
  <si>
    <t>Count of Email</t>
  </si>
  <si>
    <t>% allocation</t>
  </si>
  <si>
    <t>credit goes to USA - Corp - Digital Engagement under Computer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</si>
</sst>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0" fontId="16" fillId="33" borderId="0" xfId="0" applyFont="1" applyFill="1"/>
    <xf numFmtId="0" fontId="18" fillId="0" borderId="0" xfId="0" applyFont="1" applyAlignment="1">
      <alignment horizontal="left"/>
    </xf>
    <xf numFmtId="0" fontId="0" fillId="0" borderId="0" xfId="0" applyFill="1"/>
    <xf numFmtId="0" fontId="0" fillId="0" borderId="0" xfId="0" pivotButton="1"/>
    <xf numFmtId="0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quach\Downloads\Data_Audit_-_Cost_Centers%20(77)%20020426%2013.49.xlsx" TargetMode="External"/><Relationship Id="rId1" Type="http://schemas.openxmlformats.org/officeDocument/2006/relationships/externalLinkPath" Target="file:///C:\Users\stquach\Downloads\Data_Audit_-_Cost_Centers%20(77)%20020426%2013.4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</sheetNames>
    <sheetDataSet>
      <sheetData sheetId="0"/>
      <sheetData sheetId="1">
        <row r="1">
          <cell r="B1" t="str">
            <v>Data Audit - Cost Centers</v>
          </cell>
        </row>
        <row r="2">
          <cell r="A2" t="str">
            <v>Code</v>
          </cell>
          <cell r="B2" t="str">
            <v>Cost Center</v>
          </cell>
        </row>
        <row r="3">
          <cell r="A3" t="str">
            <v>CC439</v>
          </cell>
          <cell r="B3" t="str">
            <v>AUS - Consulting - G&amp;A</v>
          </cell>
        </row>
        <row r="4">
          <cell r="A4" t="str">
            <v>CC438</v>
          </cell>
          <cell r="B4" t="str">
            <v>AUS - Consulting - Operations</v>
          </cell>
        </row>
        <row r="5">
          <cell r="A5" t="str">
            <v>CC440</v>
          </cell>
          <cell r="B5" t="str">
            <v>AUS - Consulting - Sales &amp; Marketing</v>
          </cell>
        </row>
        <row r="6">
          <cell r="A6" t="str">
            <v>CC146</v>
          </cell>
          <cell r="B6" t="str">
            <v>AUS - ECT2 - G&amp;A</v>
          </cell>
        </row>
        <row r="7">
          <cell r="A7" t="str">
            <v>CC141</v>
          </cell>
          <cell r="B7" t="str">
            <v>AUS - ECT2 - OH - Finance</v>
          </cell>
        </row>
        <row r="8">
          <cell r="A8" t="str">
            <v>CC242</v>
          </cell>
          <cell r="B8" t="str">
            <v>AUS - ECT2 - OH - G&amp;A</v>
          </cell>
        </row>
        <row r="9">
          <cell r="A9" t="str">
            <v>CC243</v>
          </cell>
          <cell r="B9" t="str">
            <v>AUS - ECT2 - OH - HR</v>
          </cell>
        </row>
        <row r="10">
          <cell r="A10" t="str">
            <v>CC142</v>
          </cell>
          <cell r="B10" t="str">
            <v>AUS - ECT2 - OH - IT</v>
          </cell>
        </row>
        <row r="11">
          <cell r="A11" t="str">
            <v>CC144</v>
          </cell>
          <cell r="B11" t="str">
            <v>AUS - ECT2 - OH - Marketing</v>
          </cell>
        </row>
        <row r="12">
          <cell r="A12" t="str">
            <v>CC367</v>
          </cell>
          <cell r="B12" t="str">
            <v>AUS - ECT2 - OH - R&amp;D</v>
          </cell>
        </row>
        <row r="13">
          <cell r="A13" t="str">
            <v>CC143</v>
          </cell>
          <cell r="B13" t="str">
            <v>AUS - ECT2 - OH - Safety</v>
          </cell>
        </row>
        <row r="14">
          <cell r="A14" t="str">
            <v>CC366</v>
          </cell>
          <cell r="B14" t="str">
            <v>AUS - ECT2 - OH - Sales</v>
          </cell>
        </row>
        <row r="15">
          <cell r="A15" t="str">
            <v>CC145</v>
          </cell>
          <cell r="B15" t="str">
            <v>AUS - ECT2 - Operations</v>
          </cell>
        </row>
        <row r="16">
          <cell r="A16" t="str">
            <v>CC147</v>
          </cell>
          <cell r="B16" t="str">
            <v>AUS - ECT2 - Sales &amp; Marketing</v>
          </cell>
        </row>
        <row r="17">
          <cell r="A17" t="str">
            <v>CC149</v>
          </cell>
          <cell r="B17" t="str">
            <v>AUS - ECT2 O&amp;M - G&amp;A</v>
          </cell>
        </row>
        <row r="18">
          <cell r="A18" t="str">
            <v>CC148</v>
          </cell>
          <cell r="B18" t="str">
            <v>AUS - ECT2 O&amp;M - Operations</v>
          </cell>
        </row>
        <row r="19">
          <cell r="A19" t="str">
            <v>CC150</v>
          </cell>
          <cell r="B19" t="str">
            <v>AUS - ECT2 O&amp;M - Sales &amp; Marketing</v>
          </cell>
        </row>
        <row r="20">
          <cell r="A20" t="str">
            <v>CC171</v>
          </cell>
          <cell r="B20" t="str">
            <v>CAN - Consulting - Air Permit &amp; Comp - G&amp;A</v>
          </cell>
        </row>
        <row r="21">
          <cell r="A21" t="str">
            <v>CC170</v>
          </cell>
          <cell r="B21" t="str">
            <v>CAN - Consulting - Air Permit &amp; Comp - Operations</v>
          </cell>
        </row>
        <row r="22">
          <cell r="A22" t="str">
            <v>CC172</v>
          </cell>
          <cell r="B22" t="str">
            <v>CAN - Consulting - Air Permit &amp; Comp - Sales &amp; Marketing</v>
          </cell>
        </row>
        <row r="23">
          <cell r="A23" t="str">
            <v>CC429</v>
          </cell>
          <cell r="B23" t="str">
            <v>CAN - Consulting - Alternative Delivery - G&amp;A</v>
          </cell>
        </row>
        <row r="24">
          <cell r="A24" t="str">
            <v>CC430</v>
          </cell>
          <cell r="B24" t="str">
            <v>CAN - Consulting - Alternative Delivery - Operations</v>
          </cell>
        </row>
        <row r="25">
          <cell r="A25" t="str">
            <v>CC431</v>
          </cell>
          <cell r="B25" t="str">
            <v>CAN - Consulting - Alternative Delivery - Sales &amp; Marketing</v>
          </cell>
        </row>
        <row r="26">
          <cell r="A26" t="str">
            <v>CC423</v>
          </cell>
          <cell r="B26" t="str">
            <v>CAN - Consulting - Aquatics &amp; Wildlife - G&amp;A</v>
          </cell>
        </row>
        <row r="27">
          <cell r="A27" t="str">
            <v>CC424</v>
          </cell>
          <cell r="B27" t="str">
            <v>CAN - Consulting - Aquatics &amp; Wildlife - Operations</v>
          </cell>
        </row>
        <row r="28">
          <cell r="A28" t="str">
            <v>CC425</v>
          </cell>
          <cell r="B28" t="str">
            <v>CAN - Consulting - Aquatics &amp; Wildlife - Sales &amp; Marketing</v>
          </cell>
        </row>
        <row r="29">
          <cell r="A29" t="str">
            <v>CC396</v>
          </cell>
          <cell r="B29" t="str">
            <v>CAN - Consulting - ARRM AB1 - G&amp;A</v>
          </cell>
        </row>
        <row r="30">
          <cell r="A30" t="str">
            <v>CC397</v>
          </cell>
          <cell r="B30" t="str">
            <v>CAN - Consulting - ARRM AB1 - Operations</v>
          </cell>
        </row>
        <row r="31">
          <cell r="A31" t="str">
            <v>CC398</v>
          </cell>
          <cell r="B31" t="str">
            <v>CAN - Consulting - ARRM AB1 - Sales &amp; Marketing</v>
          </cell>
        </row>
        <row r="32">
          <cell r="A32" t="str">
            <v>CC399</v>
          </cell>
          <cell r="B32" t="str">
            <v>CAN - Consulting - ARRM AB2 - G&amp;A</v>
          </cell>
        </row>
        <row r="33">
          <cell r="A33" t="str">
            <v>CC400</v>
          </cell>
          <cell r="B33" t="str">
            <v>CAN - Consulting - ARRM AB2 - Operations</v>
          </cell>
        </row>
        <row r="34">
          <cell r="A34" t="str">
            <v>CC401</v>
          </cell>
          <cell r="B34" t="str">
            <v>CAN - Consulting - ARRM AB2 - Sales &amp; Marketing</v>
          </cell>
        </row>
        <row r="35">
          <cell r="A35" t="str">
            <v>CC386</v>
          </cell>
          <cell r="B35" t="str">
            <v>CAN - Consulting - ARRM BC - G&amp;A</v>
          </cell>
        </row>
        <row r="36">
          <cell r="A36" t="str">
            <v>CC387</v>
          </cell>
          <cell r="B36" t="str">
            <v>CAN - Consulting - ARRM BC - Operations</v>
          </cell>
        </row>
        <row r="37">
          <cell r="A37" t="str">
            <v>CC388</v>
          </cell>
          <cell r="B37" t="str">
            <v>CAN - Consulting - ARRM BC - Sales &amp; Marketing</v>
          </cell>
        </row>
        <row r="38">
          <cell r="A38" t="str">
            <v>CC402</v>
          </cell>
          <cell r="B38" t="str">
            <v>CAN - Consulting - ARRM MB &amp; SK - G&amp;A</v>
          </cell>
        </row>
        <row r="39">
          <cell r="A39" t="str">
            <v>CC403</v>
          </cell>
          <cell r="B39" t="str">
            <v>CAN - Consulting - ARRM MB &amp; SK - Operations</v>
          </cell>
        </row>
        <row r="40">
          <cell r="A40" t="str">
            <v>CC404</v>
          </cell>
          <cell r="B40" t="str">
            <v>CAN - Consulting - ARRM MB &amp;SK - Sales &amp; Marketing</v>
          </cell>
        </row>
        <row r="41">
          <cell r="A41" t="str">
            <v>CC405</v>
          </cell>
          <cell r="B41" t="str">
            <v>CAN - Consulting - ARRM ON - G&amp;A</v>
          </cell>
        </row>
        <row r="42">
          <cell r="A42" t="str">
            <v>CC406</v>
          </cell>
          <cell r="B42" t="str">
            <v>CAN - Consulting - ARRM ON - Operations</v>
          </cell>
        </row>
        <row r="43">
          <cell r="A43" t="str">
            <v>CC407</v>
          </cell>
          <cell r="B43" t="str">
            <v>CAN - Consulting - ARRM ON - Sales &amp; Marketing</v>
          </cell>
        </row>
        <row r="44">
          <cell r="A44" t="str">
            <v>CC420</v>
          </cell>
          <cell r="B44" t="str">
            <v>CAN - Consulting - East Ecology - G&amp;A</v>
          </cell>
        </row>
        <row r="45">
          <cell r="A45" t="str">
            <v>CC421</v>
          </cell>
          <cell r="B45" t="str">
            <v>CAN - Consulting - East Ecology - Operations</v>
          </cell>
        </row>
        <row r="46">
          <cell r="A46" t="str">
            <v>CC422</v>
          </cell>
          <cell r="B46" t="str">
            <v>CAN - Consulting - East Ecology - Sales &amp; Marketing</v>
          </cell>
        </row>
        <row r="47">
          <cell r="A47" t="str">
            <v>CC408</v>
          </cell>
          <cell r="B47" t="str">
            <v>CAN - Consulting - East SW - G&amp;A</v>
          </cell>
        </row>
        <row r="48">
          <cell r="A48" t="str">
            <v>CC409</v>
          </cell>
          <cell r="B48" t="str">
            <v>CAN - Consulting - East SW - Operations</v>
          </cell>
        </row>
        <row r="49">
          <cell r="A49" t="str">
            <v>CC410</v>
          </cell>
          <cell r="B49" t="str">
            <v>CAN - Consulting - East SW - Sales &amp; Marketing</v>
          </cell>
        </row>
        <row r="50">
          <cell r="A50" t="str">
            <v>CC414</v>
          </cell>
          <cell r="B50" t="str">
            <v>CAN - Consulting - Groundwater - G&amp;A</v>
          </cell>
        </row>
        <row r="51">
          <cell r="A51" t="str">
            <v>CC415</v>
          </cell>
          <cell r="B51" t="str">
            <v>CAN - Consulting - Groundwater - Operations</v>
          </cell>
        </row>
        <row r="52">
          <cell r="A52" t="str">
            <v>CC416</v>
          </cell>
          <cell r="B52" t="str">
            <v>CAN - Consulting - Groundwater - Sales &amp; Marketing</v>
          </cell>
        </row>
        <row r="53">
          <cell r="A53" t="str">
            <v>CC470</v>
          </cell>
          <cell r="B53" t="str">
            <v>CAN - Consulting - OH - COE</v>
          </cell>
        </row>
        <row r="54">
          <cell r="A54" t="str">
            <v>CC389</v>
          </cell>
          <cell r="B54" t="str">
            <v>CAN - Consulting - OH - Finance</v>
          </cell>
        </row>
        <row r="55">
          <cell r="A55" t="str">
            <v>CC390</v>
          </cell>
          <cell r="B55" t="str">
            <v>CAN - Consulting - OH - G&amp;A</v>
          </cell>
        </row>
        <row r="56">
          <cell r="A56" t="str">
            <v>CC479</v>
          </cell>
          <cell r="B56" t="str">
            <v>CAN - Consulting - OH - G&amp;A</v>
          </cell>
        </row>
        <row r="57">
          <cell r="A57" t="str">
            <v>CC391</v>
          </cell>
          <cell r="B57" t="str">
            <v>CAN - Consulting - OH - HR</v>
          </cell>
        </row>
        <row r="58">
          <cell r="A58" t="str">
            <v>CC392</v>
          </cell>
          <cell r="B58" t="str">
            <v>CAN - Consulting - OH - IT</v>
          </cell>
        </row>
        <row r="59">
          <cell r="A59" t="str">
            <v>CC472</v>
          </cell>
          <cell r="B59" t="str">
            <v>CAN - Consulting - OH - Legal</v>
          </cell>
        </row>
        <row r="60">
          <cell r="A60" t="str">
            <v>CC393</v>
          </cell>
          <cell r="B60" t="str">
            <v>CAN - Consulting - OH - Marketing</v>
          </cell>
        </row>
        <row r="61">
          <cell r="A61" t="str">
            <v>CC471</v>
          </cell>
          <cell r="B61" t="str">
            <v>CAN - Consulting - OH - Occ Health</v>
          </cell>
        </row>
        <row r="62">
          <cell r="A62" t="str">
            <v>CC394</v>
          </cell>
          <cell r="B62" t="str">
            <v>CAN - Consulting - OH - Safety</v>
          </cell>
        </row>
        <row r="63">
          <cell r="A63" t="str">
            <v>CC395</v>
          </cell>
          <cell r="B63" t="str">
            <v>CAN - Consulting - OH - Sales</v>
          </cell>
        </row>
        <row r="64">
          <cell r="A64" t="str">
            <v>CC465</v>
          </cell>
          <cell r="B64" t="str">
            <v>CAN - Consulting - Operational Support - Equipment</v>
          </cell>
        </row>
        <row r="65">
          <cell r="A65" t="str">
            <v>CC474</v>
          </cell>
          <cell r="B65" t="str">
            <v>CAN - Consulting - Operational Support - Logistics &amp; Variable Staffing</v>
          </cell>
        </row>
        <row r="66">
          <cell r="A66" t="str">
            <v>CC426</v>
          </cell>
          <cell r="B66" t="str">
            <v>CAN - Consulting - Planning &amp; Permitting - G&amp;A</v>
          </cell>
        </row>
        <row r="67">
          <cell r="A67" t="str">
            <v>CC427</v>
          </cell>
          <cell r="B67" t="str">
            <v>CAN - Consulting - Planning &amp; Permitting - Operations</v>
          </cell>
        </row>
        <row r="68">
          <cell r="A68" t="str">
            <v>CC428</v>
          </cell>
          <cell r="B68" t="str">
            <v>CAN - Consulting - Planning &amp; Permitting - Sales &amp; Marketing</v>
          </cell>
        </row>
        <row r="69">
          <cell r="A69" t="str">
            <v>CC433</v>
          </cell>
          <cell r="B69" t="str">
            <v>CAN - Consulting - Project Services - Project Services</v>
          </cell>
        </row>
        <row r="70">
          <cell r="A70" t="str">
            <v>CC475</v>
          </cell>
          <cell r="B70" t="str">
            <v>CAN - Consulting - Site Closure - G&amp;A</v>
          </cell>
        </row>
        <row r="71">
          <cell r="A71" t="str">
            <v>CC476</v>
          </cell>
          <cell r="B71" t="str">
            <v>CAN - Consulting - Site Closure - Operations</v>
          </cell>
        </row>
        <row r="72">
          <cell r="A72" t="str">
            <v>CC477</v>
          </cell>
          <cell r="B72" t="str">
            <v>CAN - Consulting - Site Closure - Sales &amp; Marketing</v>
          </cell>
        </row>
        <row r="73">
          <cell r="A73" t="str">
            <v>CC411</v>
          </cell>
          <cell r="B73" t="str">
            <v>CAN - Consulting - West SW - G&amp;A</v>
          </cell>
        </row>
        <row r="74">
          <cell r="A74" t="str">
            <v>CC412</v>
          </cell>
          <cell r="B74" t="str">
            <v>CAN - Consulting - West SW - Operations</v>
          </cell>
        </row>
        <row r="75">
          <cell r="A75" t="str">
            <v>CC413</v>
          </cell>
          <cell r="B75" t="str">
            <v>CAN - Consulting - West SW - Sales &amp; Marketing</v>
          </cell>
        </row>
        <row r="76">
          <cell r="A76" t="str">
            <v>CC447</v>
          </cell>
          <cell r="B76" t="str">
            <v>CAN - Consulting - Western Terrestrial Services - G&amp;A</v>
          </cell>
        </row>
        <row r="77">
          <cell r="A77" t="str">
            <v>CC448</v>
          </cell>
          <cell r="B77" t="str">
            <v>CAN - Consulting - Western Terrestrial Services - Operations</v>
          </cell>
        </row>
        <row r="78">
          <cell r="A78" t="str">
            <v>CC449</v>
          </cell>
          <cell r="B78" t="str">
            <v>CAN - Consulting - Western Terrestrial Services - Sales &amp; Marketing</v>
          </cell>
        </row>
        <row r="79">
          <cell r="A79" t="str">
            <v>CC068</v>
          </cell>
          <cell r="B79" t="str">
            <v>CAN - LDAR - OH - Software Development</v>
          </cell>
        </row>
        <row r="80">
          <cell r="A80" t="str">
            <v>CC062</v>
          </cell>
          <cell r="B80" t="str">
            <v>CAN - OGI - G&amp;A</v>
          </cell>
        </row>
        <row r="81">
          <cell r="A81" t="str">
            <v>CC061</v>
          </cell>
          <cell r="B81" t="str">
            <v>CAN - OGI - Operations</v>
          </cell>
        </row>
        <row r="82">
          <cell r="A82" t="str">
            <v>CC063</v>
          </cell>
          <cell r="B82" t="str">
            <v>CAN - OGI - Sales &amp; Marketing</v>
          </cell>
        </row>
        <row r="83">
          <cell r="A83" t="str">
            <v>CC467</v>
          </cell>
          <cell r="B83" t="str">
            <v>CAN - Sensible EDP - Canada - Operations</v>
          </cell>
        </row>
        <row r="84">
          <cell r="A84" t="str">
            <v>CC029</v>
          </cell>
          <cell r="B84" t="str">
            <v>CAN - Stack - Edmonton - G&amp;A</v>
          </cell>
        </row>
        <row r="85">
          <cell r="A85" t="str">
            <v>CC028</v>
          </cell>
          <cell r="B85" t="str">
            <v>CAN - Stack - Edmonton - Operations</v>
          </cell>
        </row>
        <row r="86">
          <cell r="A86" t="str">
            <v>CC030</v>
          </cell>
          <cell r="B86" t="str">
            <v>CAN - Stack - Edmonton - Sales &amp; Marketing</v>
          </cell>
        </row>
        <row r="87">
          <cell r="A87" t="str">
            <v>CC032</v>
          </cell>
          <cell r="B87" t="str">
            <v>CAN - Stack - Point Edward - G&amp;A</v>
          </cell>
        </row>
        <row r="88">
          <cell r="A88" t="str">
            <v>CC031</v>
          </cell>
          <cell r="B88" t="str">
            <v>CAN - Stack - Point Edward - Operations</v>
          </cell>
        </row>
        <row r="89">
          <cell r="A89" t="str">
            <v>CC033</v>
          </cell>
          <cell r="B89" t="str">
            <v>CAN - Stack - Point Edward - Sales &amp; Marketing</v>
          </cell>
        </row>
        <row r="90">
          <cell r="A90" t="str">
            <v>CC152</v>
          </cell>
          <cell r="B90" t="str">
            <v>EUR - ECT2 - G&amp;A</v>
          </cell>
        </row>
        <row r="91">
          <cell r="A91" t="str">
            <v>CC368</v>
          </cell>
          <cell r="B91" t="str">
            <v>EUR - ECT2 - OH - Finance</v>
          </cell>
        </row>
        <row r="92">
          <cell r="A92" t="str">
            <v>CC316</v>
          </cell>
          <cell r="B92" t="str">
            <v>EUR - ECT2 - OH - G&amp;A</v>
          </cell>
        </row>
        <row r="93">
          <cell r="A93" t="str">
            <v>CC369</v>
          </cell>
          <cell r="B93" t="str">
            <v>EUR - ECT2 - OH - HR</v>
          </cell>
        </row>
        <row r="94">
          <cell r="A94" t="str">
            <v>CC370</v>
          </cell>
          <cell r="B94" t="str">
            <v>EUR - ECT2 - OH - IT</v>
          </cell>
        </row>
        <row r="95">
          <cell r="A95" t="str">
            <v>CC372</v>
          </cell>
          <cell r="B95" t="str">
            <v>EUR - ECT2 - OH - Marketing</v>
          </cell>
        </row>
        <row r="96">
          <cell r="A96" t="str">
            <v>CC336</v>
          </cell>
          <cell r="B96" t="str">
            <v>EUR - ECT2 - OH - R&amp;D</v>
          </cell>
        </row>
        <row r="97">
          <cell r="A97" t="str">
            <v>CC371</v>
          </cell>
          <cell r="B97" t="str">
            <v>EUR - ECT2 - OH - Safety</v>
          </cell>
        </row>
        <row r="98">
          <cell r="A98" t="str">
            <v>CC338</v>
          </cell>
          <cell r="B98" t="str">
            <v>EUR - ECT2 - OH - Sales</v>
          </cell>
        </row>
        <row r="99">
          <cell r="A99" t="str">
            <v>CC151</v>
          </cell>
          <cell r="B99" t="str">
            <v>EUR - ECT2 - Operations</v>
          </cell>
        </row>
        <row r="100">
          <cell r="A100" t="str">
            <v>CC153</v>
          </cell>
          <cell r="B100" t="str">
            <v>EUR - ECT2 - Sales &amp; Marketing</v>
          </cell>
        </row>
        <row r="101">
          <cell r="A101" t="str">
            <v>CC034</v>
          </cell>
          <cell r="B101" t="str">
            <v>USA  - Air Testing - OH - Finance</v>
          </cell>
        </row>
        <row r="102">
          <cell r="A102" t="str">
            <v>CC205</v>
          </cell>
          <cell r="B102" t="str">
            <v>USA  - Air Testing - OH - HR LDAR/Sensible</v>
          </cell>
        </row>
        <row r="103">
          <cell r="A103" t="str">
            <v>CC203</v>
          </cell>
          <cell r="B103" t="str">
            <v>USA  - Air Testing - OH - HR Stack</v>
          </cell>
        </row>
        <row r="104">
          <cell r="A104" t="str">
            <v>CC035</v>
          </cell>
          <cell r="B104" t="str">
            <v>USA  - Air Testing - OH - IT</v>
          </cell>
        </row>
        <row r="105">
          <cell r="A105" t="str">
            <v>CC037</v>
          </cell>
          <cell r="B105" t="str">
            <v>USA  - Air Testing - OH - Marketing</v>
          </cell>
        </row>
        <row r="106">
          <cell r="A106" t="str">
            <v>CC036</v>
          </cell>
          <cell r="B106" t="str">
            <v>USA  - Air Testing - OH - Safety</v>
          </cell>
        </row>
        <row r="107">
          <cell r="A107" t="str">
            <v>CC361</v>
          </cell>
          <cell r="B107" t="str">
            <v>USA  - Air Testing - OH - Sales LDAR/Sensible</v>
          </cell>
        </row>
        <row r="108">
          <cell r="A108" t="str">
            <v>CC363</v>
          </cell>
          <cell r="B108" t="str">
            <v>USA  - Air Testing - OH - Sales Stack</v>
          </cell>
        </row>
        <row r="109">
          <cell r="A109" t="str">
            <v>CC450</v>
          </cell>
          <cell r="B109" t="str">
            <v>USA - Advisory &amp; Technical - Air - G&amp;A</v>
          </cell>
        </row>
        <row r="110">
          <cell r="A110" t="str">
            <v>CC451</v>
          </cell>
          <cell r="B110" t="str">
            <v>USA - Advisory &amp; Technical - Air - Operations</v>
          </cell>
        </row>
        <row r="111">
          <cell r="A111" t="str">
            <v>CC452</v>
          </cell>
          <cell r="B111" t="str">
            <v>USA - Advisory &amp; Technical - Air - Sales &amp; Marketing</v>
          </cell>
        </row>
        <row r="112">
          <cell r="A112" t="str">
            <v>CC303</v>
          </cell>
          <cell r="B112" t="str">
            <v>USA - Advisory &amp; Technical - Chemistry - G&amp;A</v>
          </cell>
        </row>
        <row r="113">
          <cell r="A113" t="str">
            <v>CC324</v>
          </cell>
          <cell r="B113" t="str">
            <v>USA - Advisory &amp; Technical - Chemistry - Operations</v>
          </cell>
        </row>
        <row r="114">
          <cell r="A114" t="str">
            <v>CC325</v>
          </cell>
          <cell r="B114" t="str">
            <v>USA - Advisory &amp; Technical - Chemistry - Sales &amp; Marketing</v>
          </cell>
        </row>
        <row r="115">
          <cell r="A115" t="str">
            <v>CC295</v>
          </cell>
          <cell r="B115" t="str">
            <v>USA - Advisory &amp; Technical - Health Sciences - G&amp;A</v>
          </cell>
        </row>
        <row r="116">
          <cell r="A116" t="str">
            <v>CC296</v>
          </cell>
          <cell r="B116" t="str">
            <v>USA - Advisory &amp; Technical - Health Sciences - Operations</v>
          </cell>
        </row>
        <row r="117">
          <cell r="A117" t="str">
            <v>CC297</v>
          </cell>
          <cell r="B117" t="str">
            <v>USA - Advisory &amp; Technical - Health Sciences - Sales &amp; Marketing</v>
          </cell>
        </row>
        <row r="118">
          <cell r="A118" t="str">
            <v>CC286</v>
          </cell>
          <cell r="B118" t="str">
            <v>USA - Advisory &amp; Technical - Industrial Hygiene &amp; Safety Services - G&amp;A</v>
          </cell>
        </row>
        <row r="119">
          <cell r="A119" t="str">
            <v>CC287</v>
          </cell>
          <cell r="B119" t="str">
            <v>USA - Advisory &amp; Technical - Industrial Hygiene &amp; Safety Services - Operations</v>
          </cell>
        </row>
        <row r="120">
          <cell r="A120" t="str">
            <v>CC288</v>
          </cell>
          <cell r="B120" t="str">
            <v>USA - Advisory &amp; Technical - Industrial Hygiene &amp; Safety Services - Sales &amp; Marketing</v>
          </cell>
        </row>
        <row r="121">
          <cell r="A121" t="str">
            <v>CC378</v>
          </cell>
          <cell r="B121" t="str">
            <v>USA - Advisory &amp; Technical - Risk Management Solutions - G&amp;A</v>
          </cell>
        </row>
        <row r="122">
          <cell r="A122" t="str">
            <v>CC377</v>
          </cell>
          <cell r="B122" t="str">
            <v>USA - Advisory &amp; Technical - Risk Management Solutions - Operations</v>
          </cell>
        </row>
        <row r="123">
          <cell r="A123" t="str">
            <v>CC379</v>
          </cell>
          <cell r="B123" t="str">
            <v>USA - Advisory &amp; Technical - Risk Management Solutions - Sales &amp; Marketing</v>
          </cell>
        </row>
        <row r="124">
          <cell r="A124" t="str">
            <v>CC119</v>
          </cell>
          <cell r="B124" t="str">
            <v>USA - Consulting - Atlanta - G&amp;A</v>
          </cell>
        </row>
        <row r="125">
          <cell r="A125" t="str">
            <v>CC118</v>
          </cell>
          <cell r="B125" t="str">
            <v>USA - Consulting - Atlanta - Operations</v>
          </cell>
        </row>
        <row r="126">
          <cell r="A126" t="str">
            <v>CC120</v>
          </cell>
          <cell r="B126" t="str">
            <v>USA - Consulting - Atlanta - Sales &amp; Marketing</v>
          </cell>
        </row>
        <row r="127">
          <cell r="A127" t="str">
            <v>CC249</v>
          </cell>
          <cell r="B127" t="str">
            <v>USA - Consulting - Central  - G&amp;A</v>
          </cell>
        </row>
        <row r="128">
          <cell r="A128" t="str">
            <v>CC248</v>
          </cell>
          <cell r="B128" t="str">
            <v>USA - Consulting - Central - Operations</v>
          </cell>
        </row>
        <row r="129">
          <cell r="A129" t="str">
            <v>CC250</v>
          </cell>
          <cell r="B129" t="str">
            <v>USA - Consulting - Central - Sales &amp; Marketing</v>
          </cell>
        </row>
        <row r="130">
          <cell r="A130" t="str">
            <v>CC259</v>
          </cell>
          <cell r="B130" t="str">
            <v>USA - Consulting - Charlottesville - G&amp;A</v>
          </cell>
        </row>
        <row r="131">
          <cell r="A131" t="str">
            <v>CC258</v>
          </cell>
          <cell r="B131" t="str">
            <v>USA - Consulting - Charlottesville - Operations</v>
          </cell>
        </row>
        <row r="132">
          <cell r="A132" t="str">
            <v>CC260</v>
          </cell>
          <cell r="B132" t="str">
            <v>USA - Consulting - Charlottesville - Sales &amp; Marketing</v>
          </cell>
        </row>
        <row r="133">
          <cell r="A133" t="str">
            <v>CC271</v>
          </cell>
          <cell r="B133" t="str">
            <v>USA - Consulting - Environmental Intelligence - G&amp;A</v>
          </cell>
        </row>
        <row r="134">
          <cell r="A134" t="str">
            <v>CC272</v>
          </cell>
          <cell r="B134" t="str">
            <v>USA - Consulting - Environmental Intelligence - Operations</v>
          </cell>
        </row>
        <row r="135">
          <cell r="A135" t="str">
            <v>CC273</v>
          </cell>
          <cell r="B135" t="str">
            <v>USA - Consulting - Environmental Intelligence - Sales &amp; Marketing</v>
          </cell>
        </row>
        <row r="136">
          <cell r="A136" t="str">
            <v>CC340</v>
          </cell>
          <cell r="B136" t="str">
            <v>USA - Consulting - Nashville - G&amp;A</v>
          </cell>
        </row>
        <row r="137">
          <cell r="A137" t="str">
            <v>CC339</v>
          </cell>
          <cell r="B137" t="str">
            <v>USA - Consulting - Nashville - Operations</v>
          </cell>
        </row>
        <row r="138">
          <cell r="A138" t="str">
            <v>CC341</v>
          </cell>
          <cell r="B138" t="str">
            <v>USA - Consulting - Nashville - Sales &amp; Marketing</v>
          </cell>
        </row>
        <row r="139">
          <cell r="A139" t="str">
            <v>CC310</v>
          </cell>
          <cell r="B139" t="str">
            <v>USA - Consulting - Oakland - G&amp;A</v>
          </cell>
        </row>
        <row r="140">
          <cell r="A140" t="str">
            <v>CC309</v>
          </cell>
          <cell r="B140" t="str">
            <v>USA - Consulting - Oakland - Operations</v>
          </cell>
        </row>
        <row r="141">
          <cell r="A141" t="str">
            <v>CC311</v>
          </cell>
          <cell r="B141" t="str">
            <v>USA - Consulting - Oakland - Sales &amp; Marketing</v>
          </cell>
        </row>
        <row r="142">
          <cell r="A142" t="str">
            <v>CC459</v>
          </cell>
          <cell r="B142" t="str">
            <v>USA - Consulting - OH - COE</v>
          </cell>
        </row>
        <row r="143">
          <cell r="A143" t="str">
            <v>CC247</v>
          </cell>
          <cell r="B143" t="str">
            <v>USA - Consulting - OH - Finance</v>
          </cell>
        </row>
        <row r="144">
          <cell r="A144" t="str">
            <v>CC302</v>
          </cell>
          <cell r="B144" t="str">
            <v>USA - Consulting - OH - G&amp;A</v>
          </cell>
        </row>
        <row r="145">
          <cell r="A145" t="str">
            <v>CC304</v>
          </cell>
          <cell r="B145" t="str">
            <v>USA - Consulting - OH - HR</v>
          </cell>
        </row>
        <row r="146">
          <cell r="A146" t="str">
            <v>CC292</v>
          </cell>
          <cell r="B146" t="str">
            <v>USA - Consulting - OH - IT</v>
          </cell>
        </row>
        <row r="147">
          <cell r="A147" t="str">
            <v>CC469</v>
          </cell>
          <cell r="B147" t="str">
            <v>USA - Consulting - OH - Legal</v>
          </cell>
        </row>
        <row r="148">
          <cell r="A148" t="str">
            <v>CC301</v>
          </cell>
          <cell r="B148" t="str">
            <v>USA - Consulting - OH - Marketing</v>
          </cell>
        </row>
        <row r="149">
          <cell r="A149" t="str">
            <v>CC299</v>
          </cell>
          <cell r="B149" t="str">
            <v>USA - Consulting - OH - Occ Health</v>
          </cell>
        </row>
        <row r="150">
          <cell r="A150" t="str">
            <v>CC168</v>
          </cell>
          <cell r="B150" t="str">
            <v>USA - Consulting - OH - Safety</v>
          </cell>
        </row>
        <row r="151">
          <cell r="A151" t="str">
            <v>CC291</v>
          </cell>
          <cell r="B151" t="str">
            <v>USA - Consulting - OH - Sales</v>
          </cell>
        </row>
        <row r="152">
          <cell r="A152" t="str">
            <v>CC300</v>
          </cell>
          <cell r="B152" t="str">
            <v>USA - Consulting - Operational Support - Logistics &amp; Variable Staffing</v>
          </cell>
        </row>
        <row r="153">
          <cell r="A153" t="str">
            <v>CC473</v>
          </cell>
          <cell r="B153" t="str">
            <v>USA - Consulting - Operational Support - Supply Chain</v>
          </cell>
        </row>
        <row r="154">
          <cell r="A154" t="str">
            <v>CC254</v>
          </cell>
          <cell r="B154" t="str">
            <v>USA - Consulting - Orlando - G&amp;A</v>
          </cell>
        </row>
        <row r="155">
          <cell r="A155" t="str">
            <v>CC252</v>
          </cell>
          <cell r="B155" t="str">
            <v>USA - Consulting - Orlando - Operations</v>
          </cell>
        </row>
        <row r="156">
          <cell r="A156" t="str">
            <v>CC253</v>
          </cell>
          <cell r="B156" t="str">
            <v>USA - Consulting - Orlando - Sales &amp; Marketing</v>
          </cell>
        </row>
        <row r="157">
          <cell r="A157" t="str">
            <v>CC468</v>
          </cell>
          <cell r="B157" t="str">
            <v>USA - Consulting - Project Services - Project Services</v>
          </cell>
        </row>
        <row r="158">
          <cell r="A158" t="str">
            <v>CC116</v>
          </cell>
          <cell r="B158" t="str">
            <v>USA - Consulting - Robbinsville - G&amp;A</v>
          </cell>
        </row>
        <row r="159">
          <cell r="A159" t="str">
            <v>CC115</v>
          </cell>
          <cell r="B159" t="str">
            <v>USA - Consulting - Robbinsville - Operations</v>
          </cell>
        </row>
        <row r="160">
          <cell r="A160" t="str">
            <v>CC117</v>
          </cell>
          <cell r="B160" t="str">
            <v>USA - Consulting - Robbinsville - Sales &amp; Marketing</v>
          </cell>
        </row>
        <row r="161">
          <cell r="A161" t="str">
            <v>CC178</v>
          </cell>
          <cell r="B161" t="str">
            <v>USA - Consulting - Sacramento - G&amp;A</v>
          </cell>
        </row>
        <row r="162">
          <cell r="A162" t="str">
            <v>CC177</v>
          </cell>
          <cell r="B162" t="str">
            <v>USA - Consulting - Sacramento - Operations</v>
          </cell>
        </row>
        <row r="163">
          <cell r="A163" t="str">
            <v>CC179</v>
          </cell>
          <cell r="B163" t="str">
            <v>USA - Consulting - Sacramento - Sales &amp; Marketing</v>
          </cell>
        </row>
        <row r="164">
          <cell r="A164" t="str">
            <v>CC161</v>
          </cell>
          <cell r="B164" t="str">
            <v>USA - Consulting - Santa Ana (P&amp;C) - G&amp;A</v>
          </cell>
        </row>
        <row r="165">
          <cell r="A165" t="str">
            <v>CC160</v>
          </cell>
          <cell r="B165" t="str">
            <v>USA - Consulting - Santa Ana (P&amp;C) - Operations</v>
          </cell>
        </row>
        <row r="166">
          <cell r="A166" t="str">
            <v>CC162</v>
          </cell>
          <cell r="B166" t="str">
            <v>USA - Consulting - Santa Ana (P&amp;C) - Sales &amp; Marketing</v>
          </cell>
        </row>
        <row r="167">
          <cell r="A167" t="str">
            <v>CC110</v>
          </cell>
          <cell r="B167" t="str">
            <v>USA - Consulting - Santa Ana (Rem) - G&amp;A</v>
          </cell>
        </row>
        <row r="168">
          <cell r="A168" t="str">
            <v>CC109</v>
          </cell>
          <cell r="B168" t="str">
            <v>USA - Consulting - Santa Ana (Rem) - Operations</v>
          </cell>
        </row>
        <row r="169">
          <cell r="A169" t="str">
            <v>CC111</v>
          </cell>
          <cell r="B169" t="str">
            <v>USA - Consulting - Santa Ana (Rem) - Sales &amp; Marketing</v>
          </cell>
        </row>
        <row r="170">
          <cell r="A170" t="str">
            <v>CC113</v>
          </cell>
          <cell r="B170" t="str">
            <v>USA - Consulting - Tampa - G&amp;A</v>
          </cell>
        </row>
        <row r="171">
          <cell r="A171" t="str">
            <v>CC112</v>
          </cell>
          <cell r="B171" t="str">
            <v>USA - Consulting - Tampa - Operations</v>
          </cell>
        </row>
        <row r="172">
          <cell r="A172" t="str">
            <v>CC114</v>
          </cell>
          <cell r="B172" t="str">
            <v>USA - Consulting - Tampa - Sales &amp; Marketing</v>
          </cell>
        </row>
        <row r="173">
          <cell r="A173" t="str">
            <v>CC442</v>
          </cell>
          <cell r="B173" t="str">
            <v>USA - Consulting - Two Dot - G&amp;A</v>
          </cell>
        </row>
        <row r="174">
          <cell r="A174" t="str">
            <v>CC441</v>
          </cell>
          <cell r="B174" t="str">
            <v>USA - Consulting - Two Dot - Operations</v>
          </cell>
        </row>
        <row r="175">
          <cell r="A175" t="str">
            <v>CC443</v>
          </cell>
          <cell r="B175" t="str">
            <v>USA - Consulting - Two Dot - Sales &amp; Marketing</v>
          </cell>
        </row>
        <row r="176">
          <cell r="A176" t="str">
            <v>CC342</v>
          </cell>
          <cell r="B176" t="str">
            <v>USA - Consulting - Valley Forge - G&amp;A</v>
          </cell>
        </row>
        <row r="177">
          <cell r="A177" t="str">
            <v>CC343</v>
          </cell>
          <cell r="B177" t="str">
            <v>USA - Consulting - Valley Forge - Operations</v>
          </cell>
        </row>
        <row r="178">
          <cell r="A178" t="str">
            <v>CC344</v>
          </cell>
          <cell r="B178" t="str">
            <v>USA - Consulting - Valley Forge - Sales &amp; Marketing</v>
          </cell>
        </row>
        <row r="179">
          <cell r="A179" t="str">
            <v>CC256</v>
          </cell>
          <cell r="B179" t="str">
            <v>USA - Consulting - Wilmington - G&amp;A</v>
          </cell>
        </row>
        <row r="180">
          <cell r="A180" t="str">
            <v>CC255</v>
          </cell>
          <cell r="B180" t="str">
            <v>USA - Consulting - Wilmington - Operations</v>
          </cell>
        </row>
        <row r="181">
          <cell r="A181" t="str">
            <v>CC257</v>
          </cell>
          <cell r="B181" t="str">
            <v>USA - Consulting - Wilmington - Sales &amp; Marketing</v>
          </cell>
        </row>
        <row r="182">
          <cell r="A182" t="str">
            <v>CC380</v>
          </cell>
          <cell r="B182" t="str">
            <v>USA - Consulting - Wilmington DE - G&amp;A</v>
          </cell>
        </row>
        <row r="183">
          <cell r="A183" t="str">
            <v>CC381</v>
          </cell>
          <cell r="B183" t="str">
            <v>USA - Consulting - Wilmington DE - Operations</v>
          </cell>
        </row>
        <row r="184">
          <cell r="A184" t="str">
            <v>CC382</v>
          </cell>
          <cell r="B184" t="str">
            <v>USA - Consulting - Wilmington DE - Sales &amp; Marketing</v>
          </cell>
        </row>
        <row r="185">
          <cell r="A185" t="str">
            <v>CC466</v>
          </cell>
          <cell r="B185" t="str">
            <v>USA - Corp - Digital Engagement</v>
          </cell>
        </row>
        <row r="186">
          <cell r="A186" t="str">
            <v>CC364</v>
          </cell>
          <cell r="B186" t="str">
            <v>USA - Corp - Enterprise Applications</v>
          </cell>
        </row>
        <row r="187">
          <cell r="A187" t="str">
            <v>CC188</v>
          </cell>
          <cell r="B187" t="str">
            <v>USA - Corp - Executive</v>
          </cell>
        </row>
        <row r="188">
          <cell r="A188" t="str">
            <v>CC314</v>
          </cell>
          <cell r="B188" t="str">
            <v>USA - Corp - Federal</v>
          </cell>
        </row>
        <row r="189">
          <cell r="A189" t="str">
            <v>CC189</v>
          </cell>
          <cell r="B189" t="str">
            <v>USA - Corp - Finance</v>
          </cell>
        </row>
        <row r="190">
          <cell r="A190" t="str">
            <v>CC193</v>
          </cell>
          <cell r="B190" t="str">
            <v>USA - Corp - G&amp;A</v>
          </cell>
        </row>
        <row r="191">
          <cell r="A191" t="str">
            <v>CC356</v>
          </cell>
          <cell r="B191" t="str">
            <v>USA - Corp - Global Business Services</v>
          </cell>
        </row>
        <row r="192">
          <cell r="A192" t="str">
            <v>CC187</v>
          </cell>
          <cell r="B192" t="str">
            <v>USA - Corp - HR</v>
          </cell>
        </row>
        <row r="193">
          <cell r="A193" t="str">
            <v>CC357</v>
          </cell>
          <cell r="B193" t="str">
            <v>USA - Corp - Information Security</v>
          </cell>
        </row>
        <row r="194">
          <cell r="A194" t="str">
            <v>CC313</v>
          </cell>
          <cell r="B194" t="str">
            <v>USA - Corp - Internal Audit</v>
          </cell>
        </row>
        <row r="195">
          <cell r="A195" t="str">
            <v>CC460</v>
          </cell>
          <cell r="B195" t="str">
            <v>USA - Corp - Investor Relations &amp; Treasury</v>
          </cell>
        </row>
        <row r="196">
          <cell r="A196" t="str">
            <v>CC478</v>
          </cell>
          <cell r="B196" t="str">
            <v>USA - Corp - IT Management</v>
          </cell>
        </row>
        <row r="197">
          <cell r="A197" t="str">
            <v>CC191</v>
          </cell>
          <cell r="B197" t="str">
            <v>USA - Corp - IT Operations</v>
          </cell>
        </row>
        <row r="198">
          <cell r="A198" t="str">
            <v>CC190</v>
          </cell>
          <cell r="B198" t="str">
            <v>USA - Corp - Legal</v>
          </cell>
        </row>
        <row r="199">
          <cell r="A199" t="str">
            <v>CC194</v>
          </cell>
          <cell r="B199" t="str">
            <v>USA - Corp - M&amp;A</v>
          </cell>
        </row>
        <row r="200">
          <cell r="A200" t="str">
            <v>CC195</v>
          </cell>
          <cell r="B200" t="str">
            <v>USA - Corp - Marketing</v>
          </cell>
        </row>
        <row r="201">
          <cell r="A201" t="str">
            <v>CC315</v>
          </cell>
          <cell r="B201" t="str">
            <v>USA - Corp - Public Company</v>
          </cell>
        </row>
        <row r="202">
          <cell r="A202" t="str">
            <v>CC251</v>
          </cell>
          <cell r="B202" t="str">
            <v>USA - Corp - R&amp;D</v>
          </cell>
        </row>
        <row r="203">
          <cell r="A203" t="str">
            <v>CC192</v>
          </cell>
          <cell r="B203" t="str">
            <v>USA - Corp - Safety</v>
          </cell>
        </row>
        <row r="204">
          <cell r="A204" t="str">
            <v>CC267</v>
          </cell>
          <cell r="B204" t="str">
            <v>USA - Corp - Sales</v>
          </cell>
        </row>
        <row r="205">
          <cell r="A205" t="str">
            <v>CC480</v>
          </cell>
          <cell r="B205" t="str">
            <v>USA - Corp - Technology Product</v>
          </cell>
        </row>
        <row r="206">
          <cell r="A206" t="str">
            <v>CC136</v>
          </cell>
          <cell r="B206" t="str">
            <v>USA - ECT2 - G&amp;A</v>
          </cell>
        </row>
        <row r="207">
          <cell r="A207" t="str">
            <v>CC234</v>
          </cell>
          <cell r="B207" t="str">
            <v>USA - ECT2 - OH - Finance</v>
          </cell>
        </row>
        <row r="208">
          <cell r="A208" t="str">
            <v>CC235</v>
          </cell>
          <cell r="B208" t="str">
            <v>USA - ECT2 - OH - G&amp;A</v>
          </cell>
        </row>
        <row r="209">
          <cell r="A209" t="str">
            <v>CC236</v>
          </cell>
          <cell r="B209" t="str">
            <v>USA - ECT2 - OH - HR</v>
          </cell>
        </row>
        <row r="210">
          <cell r="A210" t="str">
            <v>CC237</v>
          </cell>
          <cell r="B210" t="str">
            <v>USA - ECT2 - OH - IT</v>
          </cell>
        </row>
        <row r="211">
          <cell r="A211" t="str">
            <v>CC239</v>
          </cell>
          <cell r="B211" t="str">
            <v>USA - ECT2 - OH - Marketing</v>
          </cell>
        </row>
        <row r="212">
          <cell r="A212" t="str">
            <v>CC374</v>
          </cell>
          <cell r="B212" t="str">
            <v>USA - ECT2 - OH - R&amp;D</v>
          </cell>
        </row>
        <row r="213">
          <cell r="A213" t="str">
            <v>CC238</v>
          </cell>
          <cell r="B213" t="str">
            <v>USA - ECT2 - OH - Safety</v>
          </cell>
        </row>
        <row r="214">
          <cell r="A214" t="str">
            <v>CC373</v>
          </cell>
          <cell r="B214" t="str">
            <v>USA - ECT2 - OH - Sales</v>
          </cell>
        </row>
        <row r="215">
          <cell r="A215" t="str">
            <v>CC135</v>
          </cell>
          <cell r="B215" t="str">
            <v>USA - ECT2 - Operations</v>
          </cell>
        </row>
        <row r="216">
          <cell r="A216" t="str">
            <v>CC137</v>
          </cell>
          <cell r="B216" t="str">
            <v>USA - ECT2 - Sales &amp; Marketing</v>
          </cell>
        </row>
        <row r="217">
          <cell r="A217" t="str">
            <v>CC139</v>
          </cell>
          <cell r="B217" t="str">
            <v>USA - ECT2 O&amp;M - G&amp;A</v>
          </cell>
        </row>
        <row r="218">
          <cell r="A218" t="str">
            <v>CC138</v>
          </cell>
          <cell r="B218" t="str">
            <v>USA - ECT2 O&amp;M - Operations</v>
          </cell>
        </row>
        <row r="219">
          <cell r="A219" t="str">
            <v>CC140</v>
          </cell>
          <cell r="B219" t="str">
            <v>USA - ECT2 O&amp;M - Sales &amp; Marketing</v>
          </cell>
        </row>
        <row r="220">
          <cell r="A220" t="str">
            <v>CC088</v>
          </cell>
          <cell r="B220" t="str">
            <v>USA - Env Lab - Deer Park - G&amp;A</v>
          </cell>
        </row>
        <row r="221">
          <cell r="A221" t="str">
            <v>CC087</v>
          </cell>
          <cell r="B221" t="str">
            <v>USA - Env Lab - Deer Park - Operations</v>
          </cell>
        </row>
        <row r="222">
          <cell r="A222" t="str">
            <v>CC089</v>
          </cell>
          <cell r="B222" t="str">
            <v>USA - Env Lab - Deer Park - Sales &amp; Marketing</v>
          </cell>
        </row>
        <row r="223">
          <cell r="A223" t="str">
            <v>CC453</v>
          </cell>
          <cell r="B223" t="str">
            <v>USA - Env Lab - Denver - G&amp;A</v>
          </cell>
        </row>
        <row r="224">
          <cell r="A224" t="str">
            <v>CC454</v>
          </cell>
          <cell r="B224" t="str">
            <v>USA - Env Lab - Denver - Operations</v>
          </cell>
        </row>
        <row r="225">
          <cell r="A225" t="str">
            <v>CC455</v>
          </cell>
          <cell r="B225" t="str">
            <v>USA - Env Lab - Denver - Sales &amp; Marketing</v>
          </cell>
        </row>
        <row r="226">
          <cell r="A226" t="str">
            <v>CC076</v>
          </cell>
          <cell r="B226" t="str">
            <v>USA - Env Lab - Durham - G&amp;A</v>
          </cell>
        </row>
        <row r="227">
          <cell r="A227" t="str">
            <v>CC075</v>
          </cell>
          <cell r="B227" t="str">
            <v>USA - Env Lab - Durham - Operations</v>
          </cell>
        </row>
        <row r="228">
          <cell r="A228" t="str">
            <v>CC077</v>
          </cell>
          <cell r="B228" t="str">
            <v>USA - Env Lab - Durham - Sales &amp; Marketing</v>
          </cell>
        </row>
        <row r="229">
          <cell r="A229" t="str">
            <v>CC264</v>
          </cell>
          <cell r="B229" t="str">
            <v>USA - Env Lab - El Dorado Hills - G&amp;A</v>
          </cell>
        </row>
        <row r="230">
          <cell r="A230" t="str">
            <v>CC265</v>
          </cell>
          <cell r="B230" t="str">
            <v>USA - Env Lab - El Dorado Hills - Operations</v>
          </cell>
        </row>
        <row r="231">
          <cell r="A231" t="str">
            <v>CC266</v>
          </cell>
          <cell r="B231" t="str">
            <v>USA - Env Lab - El Dorado Hills - Sales &amp; Marketing</v>
          </cell>
        </row>
        <row r="232">
          <cell r="A232" t="str">
            <v>CC278</v>
          </cell>
          <cell r="B232" t="str">
            <v>USA - Env Lab - Houston - G&amp;A</v>
          </cell>
        </row>
        <row r="233">
          <cell r="A233" t="str">
            <v>CC277</v>
          </cell>
          <cell r="B233" t="str">
            <v>USA - Env Lab - Houston - Operations</v>
          </cell>
        </row>
        <row r="234">
          <cell r="A234" t="str">
            <v>CC279</v>
          </cell>
          <cell r="B234" t="str">
            <v>USA - Env Lab - Houston - Sales &amp; Marketing</v>
          </cell>
        </row>
        <row r="235">
          <cell r="A235" t="str">
            <v>CC079</v>
          </cell>
          <cell r="B235" t="str">
            <v>USA - Env Lab - Mt Pleasant - G&amp;A</v>
          </cell>
        </row>
        <row r="236">
          <cell r="A236" t="str">
            <v>CC078</v>
          </cell>
          <cell r="B236" t="str">
            <v>USA - Env Lab - Mt Pleasant - Operations</v>
          </cell>
        </row>
        <row r="237">
          <cell r="A237" t="str">
            <v>CC080</v>
          </cell>
          <cell r="B237" t="str">
            <v>USA - Env Lab - Mt Pleasant - Sales &amp; Marketing</v>
          </cell>
        </row>
        <row r="238">
          <cell r="A238" t="str">
            <v>CC070</v>
          </cell>
          <cell r="B238" t="str">
            <v>USA - Env Lab - Orange - G&amp;A</v>
          </cell>
        </row>
        <row r="239">
          <cell r="A239" t="str">
            <v>CC069</v>
          </cell>
          <cell r="B239" t="str">
            <v>USA - Env Lab - Orange - Operations</v>
          </cell>
        </row>
        <row r="240">
          <cell r="A240" t="str">
            <v>CC071</v>
          </cell>
          <cell r="B240" t="str">
            <v>USA - Env Lab - Orange - Sales &amp; Marketing</v>
          </cell>
        </row>
        <row r="241">
          <cell r="A241" t="str">
            <v>CC082</v>
          </cell>
          <cell r="B241" t="str">
            <v>USA - Env Lab - Richmond - G&amp;A</v>
          </cell>
        </row>
        <row r="242">
          <cell r="A242" t="str">
            <v>CC081</v>
          </cell>
          <cell r="B242" t="str">
            <v>USA - Env Lab - Richmond - Operations</v>
          </cell>
        </row>
        <row r="243">
          <cell r="A243" t="str">
            <v>CC083</v>
          </cell>
          <cell r="B243" t="str">
            <v>USA - Env Lab - Richmond - Sales &amp; Marketing</v>
          </cell>
        </row>
        <row r="244">
          <cell r="A244" t="str">
            <v>CC100</v>
          </cell>
          <cell r="B244" t="str">
            <v>USA - Env Lab - San Diego - G&amp;A</v>
          </cell>
        </row>
        <row r="245">
          <cell r="A245" t="str">
            <v>CC099</v>
          </cell>
          <cell r="B245" t="str">
            <v>USA - Env Lab - San Diego - Operations</v>
          </cell>
        </row>
        <row r="246">
          <cell r="A246" t="str">
            <v>CC101</v>
          </cell>
          <cell r="B246" t="str">
            <v>USA - Env Lab - San Diego - Sales &amp; Marketing</v>
          </cell>
        </row>
        <row r="247">
          <cell r="A247" t="str">
            <v>CC085</v>
          </cell>
          <cell r="B247" t="str">
            <v>USA - Env Lab - Wilmington - G&amp;A</v>
          </cell>
        </row>
        <row r="248">
          <cell r="A248" t="str">
            <v>CC084</v>
          </cell>
          <cell r="B248" t="str">
            <v>USA - Env Lab - Wilmington - Operations</v>
          </cell>
        </row>
        <row r="249">
          <cell r="A249" t="str">
            <v>CC086</v>
          </cell>
          <cell r="B249" t="str">
            <v>USA - Env Lab - Wilmington - Sales &amp; Marketing</v>
          </cell>
        </row>
        <row r="250">
          <cell r="A250" t="str">
            <v>CC105</v>
          </cell>
          <cell r="B250" t="str">
            <v>USA - Lab Testing  - OH - Finance</v>
          </cell>
        </row>
        <row r="251">
          <cell r="A251" t="str">
            <v>CC210</v>
          </cell>
          <cell r="B251" t="str">
            <v>USA - Lab Testing  - OH - HR</v>
          </cell>
        </row>
        <row r="252">
          <cell r="A252" t="str">
            <v>CC108</v>
          </cell>
          <cell r="B252" t="str">
            <v>USA - Lab Testing  - OH - Marketing</v>
          </cell>
        </row>
        <row r="253">
          <cell r="A253" t="str">
            <v>CC107</v>
          </cell>
          <cell r="B253" t="str">
            <v>USA - Lab Testing  - OH - Safety</v>
          </cell>
        </row>
        <row r="254">
          <cell r="A254" t="str">
            <v>CC365</v>
          </cell>
          <cell r="B254" t="str">
            <v>USA - Lab Testing  - OH - Sales</v>
          </cell>
        </row>
        <row r="255">
          <cell r="A255" t="str">
            <v>CC201</v>
          </cell>
          <cell r="B255" t="str">
            <v>USA - Labs - OH - G&amp;A</v>
          </cell>
        </row>
        <row r="256">
          <cell r="A256" t="str">
            <v>CC106</v>
          </cell>
          <cell r="B256" t="str">
            <v>USA - Labs - OH - LIMS</v>
          </cell>
        </row>
        <row r="257">
          <cell r="A257" t="str">
            <v>CC049</v>
          </cell>
          <cell r="B257" t="str">
            <v>USA - LDAR - California - G&amp;A</v>
          </cell>
        </row>
        <row r="258">
          <cell r="A258" t="str">
            <v>CC048</v>
          </cell>
          <cell r="B258" t="str">
            <v>USA - LDAR - California - Operations</v>
          </cell>
        </row>
        <row r="259">
          <cell r="A259" t="str">
            <v>CC050</v>
          </cell>
          <cell r="B259" t="str">
            <v>USA - LDAR - California - Sales &amp; Marketing</v>
          </cell>
        </row>
        <row r="260">
          <cell r="A260" t="str">
            <v>CC211</v>
          </cell>
          <cell r="B260" t="str">
            <v>USA - LDAR - OH - G&amp;A</v>
          </cell>
        </row>
        <row r="261">
          <cell r="A261" t="str">
            <v>CC058</v>
          </cell>
          <cell r="B261" t="str">
            <v>USA - LDAR - OH - Software Development</v>
          </cell>
        </row>
        <row r="262">
          <cell r="A262" t="str">
            <v>CC052</v>
          </cell>
          <cell r="B262" t="str">
            <v>USA - LDAR - Texas - G&amp;A</v>
          </cell>
        </row>
        <row r="263">
          <cell r="A263" t="str">
            <v>CC051</v>
          </cell>
          <cell r="B263" t="str">
            <v>USA - LDAR - Texas - Operations</v>
          </cell>
        </row>
        <row r="264">
          <cell r="A264" t="str">
            <v>CC053</v>
          </cell>
          <cell r="B264" t="str">
            <v>USA - LDAR - Texas - Sales &amp; Marketing</v>
          </cell>
        </row>
        <row r="265">
          <cell r="A265" t="str">
            <v>CC055</v>
          </cell>
          <cell r="B265" t="str">
            <v>USA - OGI - G&amp;A</v>
          </cell>
        </row>
        <row r="266">
          <cell r="A266" t="str">
            <v>CC054</v>
          </cell>
          <cell r="B266" t="str">
            <v>USA - OGI - Operations</v>
          </cell>
        </row>
        <row r="267">
          <cell r="A267" t="str">
            <v>CC056</v>
          </cell>
          <cell r="B267" t="str">
            <v>USA - OGI - Sales &amp; Marketing</v>
          </cell>
        </row>
        <row r="268">
          <cell r="A268" t="str">
            <v>CC283</v>
          </cell>
          <cell r="B268" t="str">
            <v>USA - Response &amp; Recovery - Emergency Response - G&amp;A</v>
          </cell>
        </row>
        <row r="269">
          <cell r="A269" t="str">
            <v>CC284</v>
          </cell>
          <cell r="B269" t="str">
            <v>USA - Response &amp; Recovery - Emergency Response - Operations</v>
          </cell>
        </row>
        <row r="270">
          <cell r="A270" t="str">
            <v>CC285</v>
          </cell>
          <cell r="B270" t="str">
            <v>USA - Response &amp; Recovery - Emergency Response - Sales &amp; Marketing</v>
          </cell>
        </row>
        <row r="271">
          <cell r="A271" t="str">
            <v>CC456</v>
          </cell>
          <cell r="B271" t="str">
            <v>USA - Response &amp; Recovery - Environmental - G&amp;A</v>
          </cell>
        </row>
        <row r="272">
          <cell r="A272" t="str">
            <v>CC457</v>
          </cell>
          <cell r="B272" t="str">
            <v>USA - Response &amp; Recovery - Environmental - Operations</v>
          </cell>
        </row>
        <row r="273">
          <cell r="A273" t="str">
            <v>CC458</v>
          </cell>
          <cell r="B273" t="str">
            <v>USA - Response &amp; Recovery - Environmental - Sales &amp; Marketing</v>
          </cell>
        </row>
        <row r="274">
          <cell r="A274" t="str">
            <v>CC280</v>
          </cell>
          <cell r="B274" t="str">
            <v>USA - Response &amp; Recovery - Resilience &amp; Recovery Solutions - G&amp;A</v>
          </cell>
        </row>
        <row r="275">
          <cell r="A275" t="str">
            <v>CC281</v>
          </cell>
          <cell r="B275" t="str">
            <v>USA - Response &amp; Recovery - Resilience &amp; Recovery Solutions - Operations</v>
          </cell>
        </row>
        <row r="276">
          <cell r="A276" t="str">
            <v>CC282</v>
          </cell>
          <cell r="B276" t="str">
            <v>USA - Response &amp; Recovery - Resilience &amp; Recovery Solutions - Sales &amp; Marketing</v>
          </cell>
        </row>
        <row r="277">
          <cell r="A277" t="str">
            <v>CC461</v>
          </cell>
          <cell r="B277" t="str">
            <v>USA - Response &amp; Recovery - Response Consulting - G&amp;A</v>
          </cell>
        </row>
        <row r="278">
          <cell r="A278" t="str">
            <v>CC462</v>
          </cell>
          <cell r="B278" t="str">
            <v>USA - Response &amp; Recovery - Response Consulting - Operations</v>
          </cell>
        </row>
        <row r="279">
          <cell r="A279" t="str">
            <v>CC463</v>
          </cell>
          <cell r="B279" t="str">
            <v>USA - Response &amp; Recovery - Response Consulting - Sales &amp; Marketing</v>
          </cell>
        </row>
        <row r="280">
          <cell r="A280" t="str">
            <v>CC155</v>
          </cell>
          <cell r="B280" t="str">
            <v>USA - RNG - G&amp;A</v>
          </cell>
        </row>
        <row r="281">
          <cell r="A281" t="str">
            <v>CC228</v>
          </cell>
          <cell r="B281" t="str">
            <v>USA - RNG - OH - Finance</v>
          </cell>
        </row>
        <row r="282">
          <cell r="A282" t="str">
            <v>CC229</v>
          </cell>
          <cell r="B282" t="str">
            <v>USA - RNG - OH - G&amp;A</v>
          </cell>
        </row>
        <row r="283">
          <cell r="A283" t="str">
            <v>CC230</v>
          </cell>
          <cell r="B283" t="str">
            <v>USA - RNG - OH - HR</v>
          </cell>
        </row>
        <row r="284">
          <cell r="A284" t="str">
            <v>CC231</v>
          </cell>
          <cell r="B284" t="str">
            <v>USA - RNG - OH - IT</v>
          </cell>
        </row>
        <row r="285">
          <cell r="A285" t="str">
            <v>CC233</v>
          </cell>
          <cell r="B285" t="str">
            <v>USA - RNG - OH - Marketing</v>
          </cell>
        </row>
        <row r="286">
          <cell r="A286" t="str">
            <v>CC232</v>
          </cell>
          <cell r="B286" t="str">
            <v>USA - RNG - OH - Safety</v>
          </cell>
        </row>
        <row r="287">
          <cell r="A287" t="str">
            <v>CC375</v>
          </cell>
          <cell r="B287" t="str">
            <v>USA - RNG - OH - Sales</v>
          </cell>
        </row>
        <row r="288">
          <cell r="A288" t="str">
            <v>CC154</v>
          </cell>
          <cell r="B288" t="str">
            <v>USA - RNG - Operations</v>
          </cell>
        </row>
        <row r="289">
          <cell r="A289" t="str">
            <v>CC156</v>
          </cell>
          <cell r="B289" t="str">
            <v>USA - RNG - Sales &amp; Marketing</v>
          </cell>
        </row>
        <row r="290">
          <cell r="A290" t="str">
            <v>CC320</v>
          </cell>
          <cell r="B290" t="str">
            <v>USA - Sensible EDP - Austin - G&amp;A</v>
          </cell>
        </row>
        <row r="291">
          <cell r="A291" t="str">
            <v>CC321</v>
          </cell>
          <cell r="B291" t="str">
            <v>USA - Sensible EDP - Austin - Operations</v>
          </cell>
        </row>
        <row r="292">
          <cell r="A292" t="str">
            <v>CC322</v>
          </cell>
          <cell r="B292" t="str">
            <v>USA - Sensible EDP - Austin - Sales &amp; Marketing</v>
          </cell>
        </row>
        <row r="293">
          <cell r="A293" t="str">
            <v>CC317</v>
          </cell>
          <cell r="B293" t="str">
            <v>USA - Sensible EDP - Denver - G&amp;A</v>
          </cell>
        </row>
        <row r="294">
          <cell r="A294" t="str">
            <v>CC318</v>
          </cell>
          <cell r="B294" t="str">
            <v>USA - Sensible EDP - Denver - Operations</v>
          </cell>
        </row>
        <row r="295">
          <cell r="A295" t="str">
            <v>CC319</v>
          </cell>
          <cell r="B295" t="str">
            <v>USA - Sensible EDP - Denver - Sales &amp; Marketing</v>
          </cell>
        </row>
        <row r="296">
          <cell r="A296" t="str">
            <v>CC331</v>
          </cell>
          <cell r="B296" t="str">
            <v>USA - Sensible EDP - OH - G&amp;A</v>
          </cell>
        </row>
        <row r="297">
          <cell r="A297" t="str">
            <v>CC376</v>
          </cell>
          <cell r="B297" t="str">
            <v>USA - Sensible EDP - OH - Software Development</v>
          </cell>
        </row>
        <row r="298">
          <cell r="A298" t="str">
            <v>CC047</v>
          </cell>
          <cell r="B298" t="str">
            <v>USA - Sensible EDP - Pinebrook - G&amp;A</v>
          </cell>
        </row>
        <row r="299">
          <cell r="A299" t="str">
            <v>CC046</v>
          </cell>
          <cell r="B299" t="str">
            <v>USA - Sensible EDP - Pinebrook - Operations</v>
          </cell>
        </row>
        <row r="300">
          <cell r="A300" t="str">
            <v>CC245</v>
          </cell>
          <cell r="B300" t="str">
            <v>USA - Sensible EDP - Pinebrook - Sales &amp; Marketing</v>
          </cell>
        </row>
        <row r="301">
          <cell r="A301" t="str">
            <v>CC043</v>
          </cell>
          <cell r="B301" t="str">
            <v>USA - Sensible EDP - Specialized Monitoring Systems - G&amp;A</v>
          </cell>
        </row>
        <row r="302">
          <cell r="A302" t="str">
            <v>CC042</v>
          </cell>
          <cell r="B302" t="str">
            <v>USA - Sensible EDP - Specialized Monitoring Systems - Operations</v>
          </cell>
        </row>
        <row r="303">
          <cell r="A303" t="str">
            <v>CC246</v>
          </cell>
          <cell r="B303" t="str">
            <v>USA - Sensible EDP - Specialized Monitoring Systems - Sales &amp; Marketing</v>
          </cell>
        </row>
        <row r="304">
          <cell r="A304" t="str">
            <v>CC005</v>
          </cell>
          <cell r="B304" t="str">
            <v>USA - Stack - Antioch - G&amp;A</v>
          </cell>
        </row>
        <row r="305">
          <cell r="A305" t="str">
            <v>CC004</v>
          </cell>
          <cell r="B305" t="str">
            <v>USA - Stack - Antioch - Operations</v>
          </cell>
        </row>
        <row r="306">
          <cell r="A306" t="str">
            <v>CC006</v>
          </cell>
          <cell r="B306" t="str">
            <v>USA - Stack - Antioch - Sales &amp; Marketing</v>
          </cell>
        </row>
        <row r="307">
          <cell r="A307" t="str">
            <v>CC020</v>
          </cell>
          <cell r="B307" t="str">
            <v>USA - Stack - Chicago - G&amp;A</v>
          </cell>
        </row>
        <row r="308">
          <cell r="A308" t="str">
            <v>CC019</v>
          </cell>
          <cell r="B308" t="str">
            <v>USA - Stack - Chicago - Operations</v>
          </cell>
        </row>
        <row r="309">
          <cell r="A309" t="str">
            <v>CC021</v>
          </cell>
          <cell r="B309" t="str">
            <v>USA - Stack - Chicago - Sales &amp; Marketing</v>
          </cell>
        </row>
        <row r="310">
          <cell r="A310" t="str">
            <v>CC023</v>
          </cell>
          <cell r="B310" t="str">
            <v>USA - Stack - Cleveland - G&amp;A</v>
          </cell>
        </row>
        <row r="311">
          <cell r="A311" t="str">
            <v>CC022</v>
          </cell>
          <cell r="B311" t="str">
            <v>USA - Stack - Cleveland - Operations</v>
          </cell>
        </row>
        <row r="312">
          <cell r="A312" t="str">
            <v>CC024</v>
          </cell>
          <cell r="B312" t="str">
            <v>USA - Stack - Cleveland - Sales &amp; Marketing</v>
          </cell>
        </row>
        <row r="313">
          <cell r="A313" t="str">
            <v>CC014</v>
          </cell>
          <cell r="B313" t="str">
            <v>USA - Stack - Great Plains - G&amp;A</v>
          </cell>
        </row>
        <row r="314">
          <cell r="A314" t="str">
            <v>CC013</v>
          </cell>
          <cell r="B314" t="str">
            <v>USA - Stack - Great Plains - Operations</v>
          </cell>
        </row>
        <row r="315">
          <cell r="A315" t="str">
            <v>CC015</v>
          </cell>
          <cell r="B315" t="str">
            <v>USA - Stack - Great Plains - Sales &amp; Marketing</v>
          </cell>
        </row>
        <row r="316">
          <cell r="A316" t="str">
            <v>CC011</v>
          </cell>
          <cell r="B316" t="str">
            <v>USA - Stack - Gulf Coast - G&amp;A</v>
          </cell>
        </row>
        <row r="317">
          <cell r="A317" t="str">
            <v>CC010</v>
          </cell>
          <cell r="B317" t="str">
            <v>USA - Stack - Gulf Coast - Operations</v>
          </cell>
        </row>
        <row r="318">
          <cell r="A318" t="str">
            <v>CC012</v>
          </cell>
          <cell r="B318" t="str">
            <v>USA - Stack - Gulf Coast - Sales &amp; Marketing</v>
          </cell>
        </row>
        <row r="319">
          <cell r="A319" t="str">
            <v>CC026</v>
          </cell>
          <cell r="B319" t="str">
            <v>USA - Stack - Northeast - G&amp;A</v>
          </cell>
        </row>
        <row r="320">
          <cell r="A320" t="str">
            <v>CC025</v>
          </cell>
          <cell r="B320" t="str">
            <v>USA - Stack - Northeast - Operations</v>
          </cell>
        </row>
        <row r="321">
          <cell r="A321" t="str">
            <v>CC027</v>
          </cell>
          <cell r="B321" t="str">
            <v>USA - Stack - Northeast - Sales &amp; Marketing</v>
          </cell>
        </row>
        <row r="322">
          <cell r="A322" t="str">
            <v>CC202</v>
          </cell>
          <cell r="B322" t="str">
            <v>USA - Stack - OH - G&amp;A</v>
          </cell>
        </row>
        <row r="323">
          <cell r="A323" t="str">
            <v>CC220</v>
          </cell>
          <cell r="B323" t="str">
            <v>USA - Stack - Power Start-Ups - G&amp;A</v>
          </cell>
        </row>
        <row r="324">
          <cell r="A324" t="str">
            <v>CC219</v>
          </cell>
          <cell r="B324" t="str">
            <v>USA - Stack - Power Start-Ups - Operations</v>
          </cell>
        </row>
        <row r="325">
          <cell r="A325" t="str">
            <v>CC221</v>
          </cell>
          <cell r="B325" t="str">
            <v>USA - Stack - Power Start-Ups - Sales &amp; Marketing</v>
          </cell>
        </row>
        <row r="326">
          <cell r="A326" t="str">
            <v>CC008</v>
          </cell>
          <cell r="B326" t="str">
            <v>USA - Stack - Santa Ana - G&amp;A</v>
          </cell>
        </row>
        <row r="327">
          <cell r="A327" t="str">
            <v>CC007</v>
          </cell>
          <cell r="B327" t="str">
            <v>USA - Stack - Santa Ana - Operations</v>
          </cell>
        </row>
        <row r="328">
          <cell r="A328" t="str">
            <v>CC009</v>
          </cell>
          <cell r="B328" t="str">
            <v>USA - Stack - Santa Ana - Sales &amp; Marketing</v>
          </cell>
        </row>
        <row r="329">
          <cell r="A329" t="str">
            <v>CC002</v>
          </cell>
          <cell r="B329" t="str">
            <v>USA - Stack - Seattle - G&amp;A</v>
          </cell>
        </row>
        <row r="330">
          <cell r="A330" t="str">
            <v>CC001</v>
          </cell>
          <cell r="B330" t="str">
            <v>USA - Stack - Seattle - Operations</v>
          </cell>
        </row>
        <row r="331">
          <cell r="A331" t="str">
            <v>CC003</v>
          </cell>
          <cell r="B331" t="str">
            <v>USA - Stack - Seattle - Sales &amp; Marketing</v>
          </cell>
        </row>
        <row r="332">
          <cell r="A332" t="str">
            <v>CC017</v>
          </cell>
          <cell r="B332" t="str">
            <v>USA - Stack - Southeast - G&amp;A</v>
          </cell>
        </row>
        <row r="333">
          <cell r="A333" t="str">
            <v>CC016</v>
          </cell>
          <cell r="B333" t="str">
            <v>USA - Stack - Southeast - Operations</v>
          </cell>
        </row>
        <row r="334">
          <cell r="A334" t="str">
            <v>CC018</v>
          </cell>
          <cell r="B334" t="str">
            <v>USA - Stack - Southeast - Sales &amp; Marketing</v>
          </cell>
        </row>
        <row r="335">
          <cell r="A335" t="str">
            <v>CC444</v>
          </cell>
          <cell r="B335" t="str">
            <v>USA - Sustainable Treatment Solutions - G&amp;A</v>
          </cell>
        </row>
        <row r="336">
          <cell r="A336" t="str">
            <v>CC445</v>
          </cell>
          <cell r="B336" t="str">
            <v>USA - Sustainable Treatment Solutions - Operations</v>
          </cell>
        </row>
        <row r="337">
          <cell r="A337" t="str">
            <v>CC446</v>
          </cell>
          <cell r="B337" t="str">
            <v>USA - Sustainable Treatment Solutions - Sales &amp; Marketing</v>
          </cell>
        </row>
        <row r="338">
          <cell r="A338" t="str">
            <v>CC197</v>
          </cell>
          <cell r="B338" t="str">
            <v>zzzCAN - Air Quality - OH - Finance</v>
          </cell>
        </row>
        <row r="339">
          <cell r="A339" t="str">
            <v>CC200</v>
          </cell>
          <cell r="B339" t="str">
            <v>zzzCAN - Air Quality - OH - G&amp;A</v>
          </cell>
        </row>
        <row r="340">
          <cell r="A340" t="str">
            <v>CC196</v>
          </cell>
          <cell r="B340" t="str">
            <v>zzzCAN - Air Quality - OH - HR</v>
          </cell>
        </row>
        <row r="341">
          <cell r="A341" t="str">
            <v>CC199</v>
          </cell>
          <cell r="B341" t="str">
            <v>zzzCAN - Air Quality - OH - IT Systems</v>
          </cell>
        </row>
        <row r="342">
          <cell r="A342" t="str">
            <v>CC198</v>
          </cell>
          <cell r="B342" t="str">
            <v>zzzCAN - Air Quality - OH - Legal</v>
          </cell>
        </row>
        <row r="343">
          <cell r="A343" t="str">
            <v>CC359</v>
          </cell>
          <cell r="B343" t="str">
            <v>zzzCAN - Air Quality - OH - Marketing</v>
          </cell>
        </row>
        <row r="344">
          <cell r="A344" t="str">
            <v>CC360</v>
          </cell>
          <cell r="B344" t="str">
            <v>zzzCAN - Air Quality - OH - Safety</v>
          </cell>
        </row>
        <row r="345">
          <cell r="A345" t="str">
            <v>CC358</v>
          </cell>
          <cell r="B345" t="str">
            <v>zzzCAN - Air Quality - OH - Sales</v>
          </cell>
        </row>
        <row r="346">
          <cell r="A346" t="str">
            <v>CC435</v>
          </cell>
          <cell r="B346" t="str">
            <v>zzzCAN - Consulting - Emerging Services - G&amp;A</v>
          </cell>
        </row>
        <row r="347">
          <cell r="A347" t="str">
            <v>CC436</v>
          </cell>
          <cell r="B347" t="str">
            <v>zzzCAN - Consulting - Emerging Services - Operations</v>
          </cell>
        </row>
        <row r="348">
          <cell r="A348" t="str">
            <v>CC437</v>
          </cell>
          <cell r="B348" t="str">
            <v>zzzCAN - Consulting - Emerging Services - Sales &amp; Marketing</v>
          </cell>
        </row>
        <row r="349">
          <cell r="A349" t="str">
            <v>CC432</v>
          </cell>
          <cell r="B349" t="str">
            <v>zzzCAN - Consulting - Project Services - G&amp;A</v>
          </cell>
        </row>
        <row r="350">
          <cell r="A350" t="str">
            <v>CC434</v>
          </cell>
          <cell r="B350" t="str">
            <v>zzzCAN - Consulting - Project Services - Sales &amp; Marketing</v>
          </cell>
        </row>
        <row r="351">
          <cell r="A351" t="str">
            <v>CC417</v>
          </cell>
          <cell r="B351" t="str">
            <v>zzzCAN - Consulting - West GW - G&amp;A</v>
          </cell>
        </row>
        <row r="352">
          <cell r="A352" t="str">
            <v>CC418</v>
          </cell>
          <cell r="B352" t="str">
            <v>zzzCAN - Consulting - West GW - Operations</v>
          </cell>
        </row>
        <row r="353">
          <cell r="A353" t="str">
            <v>CC419</v>
          </cell>
          <cell r="B353" t="str">
            <v>zzzCAN - Consulting - West GW - Sales &amp; Marketing</v>
          </cell>
        </row>
        <row r="354">
          <cell r="A354" t="str">
            <v>CC064</v>
          </cell>
          <cell r="B354" t="str">
            <v>zzzCAN - OGI - OH - Finance</v>
          </cell>
        </row>
        <row r="355">
          <cell r="A355" t="str">
            <v>CC214</v>
          </cell>
          <cell r="B355" t="str">
            <v>zzzCAN - OGI - OH - G&amp;A</v>
          </cell>
        </row>
        <row r="356">
          <cell r="A356" t="str">
            <v>CC240</v>
          </cell>
          <cell r="B356" t="str">
            <v>zzzCAN - OGI - OH - HR</v>
          </cell>
        </row>
        <row r="357">
          <cell r="A357" t="str">
            <v>CC065</v>
          </cell>
          <cell r="B357" t="str">
            <v>zzzCAN - OGI - OH - IT</v>
          </cell>
        </row>
        <row r="358">
          <cell r="A358" t="str">
            <v>CC066</v>
          </cell>
          <cell r="B358" t="str">
            <v>zzzCAN - OGI - OH - Safety</v>
          </cell>
        </row>
        <row r="359">
          <cell r="A359" t="str">
            <v>CC067</v>
          </cell>
          <cell r="B359" t="str">
            <v>zzzCAN - OGI - OH - Sales &amp; Marketing</v>
          </cell>
        </row>
        <row r="360">
          <cell r="A360" t="str">
            <v>CC323</v>
          </cell>
          <cell r="B360" t="str">
            <v>zzzCAN - Overhead - G&amp;A</v>
          </cell>
        </row>
        <row r="361">
          <cell r="A361" t="str">
            <v>CC173</v>
          </cell>
          <cell r="B361" t="str">
            <v>zzzCAN - Permit &amp; Comp - OH - Finance</v>
          </cell>
        </row>
        <row r="362">
          <cell r="A362" t="str">
            <v>CC215</v>
          </cell>
          <cell r="B362" t="str">
            <v>zzzCAN - Permit &amp; Comp - OH - G&amp;A</v>
          </cell>
        </row>
        <row r="363">
          <cell r="A363" t="str">
            <v>CC208</v>
          </cell>
          <cell r="B363" t="str">
            <v>zzzCAN - Permit &amp; Comp - OH - HR</v>
          </cell>
        </row>
        <row r="364">
          <cell r="A364" t="str">
            <v>CC174</v>
          </cell>
          <cell r="B364" t="str">
            <v>zzzCAN - Permit &amp; Comp - OH - IT</v>
          </cell>
        </row>
        <row r="365">
          <cell r="A365" t="str">
            <v>CC175</v>
          </cell>
          <cell r="B365" t="str">
            <v>zzzCAN - Permit &amp; Comp - OH - Safety</v>
          </cell>
        </row>
        <row r="366">
          <cell r="A366" t="str">
            <v>CC176</v>
          </cell>
          <cell r="B366" t="str">
            <v>zzzCAN - Permit &amp; Comp - OH - Sales &amp; Marketing</v>
          </cell>
        </row>
        <row r="367">
          <cell r="A367" t="str">
            <v>CC038</v>
          </cell>
          <cell r="B367" t="str">
            <v>zzzCAN - Stack - OH - Finance</v>
          </cell>
        </row>
        <row r="368">
          <cell r="A368" t="str">
            <v>CC213</v>
          </cell>
          <cell r="B368" t="str">
            <v>zzzCAN - Stack - OH - G&amp;A</v>
          </cell>
        </row>
        <row r="369">
          <cell r="A369" t="str">
            <v>CC204</v>
          </cell>
          <cell r="B369" t="str">
            <v>zzzCAN - Stack - OH - HR</v>
          </cell>
        </row>
        <row r="370">
          <cell r="A370" t="str">
            <v>CC039</v>
          </cell>
          <cell r="B370" t="str">
            <v>zzzCAN - Stack - OH - IT</v>
          </cell>
        </row>
        <row r="371">
          <cell r="A371" t="str">
            <v>CC040</v>
          </cell>
          <cell r="B371" t="str">
            <v>zzzCAN - Stack - OH - Safety</v>
          </cell>
        </row>
        <row r="372">
          <cell r="A372" t="str">
            <v>CC041</v>
          </cell>
          <cell r="B372" t="str">
            <v>zzzCAN - Stack - OH - Sales &amp; Marketing</v>
          </cell>
        </row>
        <row r="373">
          <cell r="A373" t="str">
            <v>CC337</v>
          </cell>
          <cell r="B373" t="str">
            <v>zzzEUR - (BE) ECT2 - Operations</v>
          </cell>
        </row>
        <row r="374">
          <cell r="A374" t="str">
            <v>CC326</v>
          </cell>
          <cell r="B374" t="str">
            <v>zzzUSA - Advisory &amp; Technical - Ecosystem Economics  - G&amp;A</v>
          </cell>
        </row>
        <row r="375">
          <cell r="A375" t="str">
            <v>CC327</v>
          </cell>
          <cell r="B375" t="str">
            <v>zzzUSA - Advisory &amp; Technical - Ecosystem Economics  - Operations</v>
          </cell>
        </row>
        <row r="376">
          <cell r="A376" t="str">
            <v>CC328</v>
          </cell>
          <cell r="B376" t="str">
            <v>zzzUSA - Advisory &amp; Technical - Ecosystem Economics  - Sales &amp; Marketing</v>
          </cell>
        </row>
        <row r="377">
          <cell r="A377" t="str">
            <v>CC346</v>
          </cell>
          <cell r="B377" t="str">
            <v>zzzUSA - Advisory &amp; Technical - EHSS  - G&amp;A</v>
          </cell>
        </row>
        <row r="378">
          <cell r="A378" t="str">
            <v>CC345</v>
          </cell>
          <cell r="B378" t="str">
            <v>zzzUSA - Advisory &amp; Technical - EHSS  - Operations</v>
          </cell>
        </row>
        <row r="379">
          <cell r="A379" t="str">
            <v>CC347</v>
          </cell>
          <cell r="B379" t="str">
            <v>zzzUSA - Advisory &amp; Technical - EHSS  - Sales &amp; Marketing</v>
          </cell>
        </row>
        <row r="380">
          <cell r="A380" t="str">
            <v>CC275</v>
          </cell>
          <cell r="B380" t="str">
            <v>zzzUSA - Advisory &amp; Technical - Sustainability - G&amp;A</v>
          </cell>
        </row>
        <row r="381">
          <cell r="A381" t="str">
            <v>CC274</v>
          </cell>
          <cell r="B381" t="str">
            <v>zzzUSA - Advisory &amp; Technical - Sustainability - Operations</v>
          </cell>
        </row>
        <row r="382">
          <cell r="A382" t="str">
            <v>CC276</v>
          </cell>
          <cell r="B382" t="str">
            <v>zzzUSA - Advisory &amp; Technical - Sustainability - Sales &amp; Marketing</v>
          </cell>
        </row>
        <row r="383">
          <cell r="A383" t="str">
            <v>CC383</v>
          </cell>
          <cell r="B383" t="str">
            <v>zzzUSA - Advisory &amp; Technical - Transaction Advisory - G&amp;A</v>
          </cell>
        </row>
        <row r="384">
          <cell r="A384" t="str">
            <v>CC384</v>
          </cell>
          <cell r="B384" t="str">
            <v>zzzUSA - Advisory &amp; Technical - Transaction Advisory - Operations</v>
          </cell>
        </row>
        <row r="385">
          <cell r="A385" t="str">
            <v>CC385</v>
          </cell>
          <cell r="B385" t="str">
            <v>zzzUSA - Advisory &amp; Technical - Transaction Advisory - Sales &amp; Marketing</v>
          </cell>
        </row>
        <row r="386">
          <cell r="A386" t="str">
            <v>CC350</v>
          </cell>
          <cell r="B386" t="str">
            <v>zzzUSA - Advisory &amp; Technical OH - Finance</v>
          </cell>
        </row>
        <row r="387">
          <cell r="A387" t="str">
            <v>CC348</v>
          </cell>
          <cell r="B387" t="str">
            <v>zzzUSA - Advisory &amp; Technical OH - G&amp;A</v>
          </cell>
        </row>
        <row r="388">
          <cell r="A388" t="str">
            <v>CC349</v>
          </cell>
          <cell r="B388" t="str">
            <v>zzzUSA - Advisory &amp; Technical OH - HR</v>
          </cell>
        </row>
        <row r="389">
          <cell r="A389" t="str">
            <v>CC353</v>
          </cell>
          <cell r="B389" t="str">
            <v>zzzUSA - Advisory &amp; Technical OH - IT</v>
          </cell>
        </row>
        <row r="390">
          <cell r="A390" t="str">
            <v>CC351</v>
          </cell>
          <cell r="B390" t="str">
            <v>zzzUSA - Advisory &amp; Technical OH - Marketing</v>
          </cell>
        </row>
        <row r="391">
          <cell r="A391" t="str">
            <v>CC354</v>
          </cell>
          <cell r="B391" t="str">
            <v>zzzUSA - Advisory &amp; Technical OH - Safety</v>
          </cell>
        </row>
        <row r="392">
          <cell r="A392" t="str">
            <v>CC352</v>
          </cell>
          <cell r="B392" t="str">
            <v>zzzUSA - Advisory &amp; Technical OH - Sales</v>
          </cell>
        </row>
        <row r="393">
          <cell r="A393" t="str">
            <v>CC223</v>
          </cell>
          <cell r="B393" t="str">
            <v>zzzUSA - Consulting - Long Beach - G&amp;A</v>
          </cell>
        </row>
        <row r="394">
          <cell r="A394" t="str">
            <v>CC222</v>
          </cell>
          <cell r="B394" t="str">
            <v>zzzUSA - Consulting - Long Beach - Operations</v>
          </cell>
        </row>
        <row r="395">
          <cell r="A395" t="str">
            <v>CC224</v>
          </cell>
          <cell r="B395" t="str">
            <v>zzzUSA - Consulting - Long Beach - Sales &amp; Marketing</v>
          </cell>
        </row>
        <row r="396">
          <cell r="A396" t="str">
            <v>CC226</v>
          </cell>
          <cell r="B396" t="str">
            <v>zzzUSA - Consulting - Southeast - G&amp;A</v>
          </cell>
        </row>
        <row r="397">
          <cell r="A397" t="str">
            <v>CC225</v>
          </cell>
          <cell r="B397" t="str">
            <v>zzzUSA - Consulting - Southeast - Operations</v>
          </cell>
        </row>
        <row r="398">
          <cell r="A398" t="str">
            <v>CC227</v>
          </cell>
          <cell r="B398" t="str">
            <v>zzzUSA - Consulting - Southeast - Sales &amp; Marketing</v>
          </cell>
        </row>
        <row r="399">
          <cell r="A399" t="str">
            <v>CC166</v>
          </cell>
          <cell r="B399" t="str">
            <v>zzzUSA - Consulting OH - Finance</v>
          </cell>
        </row>
        <row r="400">
          <cell r="A400" t="str">
            <v>CC217</v>
          </cell>
          <cell r="B400" t="str">
            <v>zzzUSA - Consulting OH - G&amp;A</v>
          </cell>
        </row>
        <row r="401">
          <cell r="A401" t="str">
            <v>CC241</v>
          </cell>
          <cell r="B401" t="str">
            <v>zzzUSA - Consulting OH - HR</v>
          </cell>
        </row>
        <row r="402">
          <cell r="A402" t="str">
            <v>CC167</v>
          </cell>
          <cell r="B402" t="str">
            <v>zzzUSA - Consulting OH - IT</v>
          </cell>
        </row>
        <row r="403">
          <cell r="A403" t="str">
            <v>CC169</v>
          </cell>
          <cell r="B403" t="str">
            <v>zzzUSA - Consulting OH - Marketing</v>
          </cell>
        </row>
        <row r="404">
          <cell r="A404" t="str">
            <v>CC355</v>
          </cell>
          <cell r="B404" t="str">
            <v>zzzUSA - Consulting OH - Sales</v>
          </cell>
        </row>
        <row r="405">
          <cell r="A405" t="str">
            <v>CC329</v>
          </cell>
          <cell r="B405" t="str">
            <v>zzzUSA - Corp - Marketing Events</v>
          </cell>
        </row>
        <row r="406">
          <cell r="A406" t="str">
            <v>CC312</v>
          </cell>
          <cell r="B406" t="str">
            <v>zzzUSA - Corp - Proposal</v>
          </cell>
        </row>
        <row r="407">
          <cell r="A407" t="str">
            <v>CC262</v>
          </cell>
          <cell r="B407" t="str">
            <v>zzzUSA - Eco Services - Expansion - G&amp;A</v>
          </cell>
        </row>
        <row r="408">
          <cell r="A408" t="str">
            <v>CC261</v>
          </cell>
          <cell r="B408" t="str">
            <v>zzzUSA - Eco Services - Expansion - Operations</v>
          </cell>
        </row>
        <row r="409">
          <cell r="A409" t="str">
            <v>CC263</v>
          </cell>
          <cell r="B409" t="str">
            <v>zzzUSA - Eco Services - Expansion - Sales &amp; Marketing</v>
          </cell>
        </row>
        <row r="410">
          <cell r="A410" t="str">
            <v>CC183</v>
          </cell>
          <cell r="B410" t="str">
            <v>zzzUSA - Eco Services - OH - Finance</v>
          </cell>
        </row>
        <row r="411">
          <cell r="A411" t="str">
            <v>CC216</v>
          </cell>
          <cell r="B411" t="str">
            <v>zzzUSA - Eco Services - OH - G&amp;A</v>
          </cell>
        </row>
        <row r="412">
          <cell r="A412" t="str">
            <v>CC209</v>
          </cell>
          <cell r="B412" t="str">
            <v>zzzUSA - Eco Services - OH - HR</v>
          </cell>
        </row>
        <row r="413">
          <cell r="A413" t="str">
            <v>CC184</v>
          </cell>
          <cell r="B413" t="str">
            <v>zzzUSA - Eco Services - OH - IT</v>
          </cell>
        </row>
        <row r="414">
          <cell r="A414" t="str">
            <v>CC185</v>
          </cell>
          <cell r="B414" t="str">
            <v>zzzUSA - Eco Services - OH - Safety</v>
          </cell>
        </row>
        <row r="415">
          <cell r="A415" t="str">
            <v>CC186</v>
          </cell>
          <cell r="B415" t="str">
            <v>zzzUSA - Eco Services - OH - Sales &amp; Marketing</v>
          </cell>
        </row>
        <row r="416">
          <cell r="A416" t="str">
            <v>CC073</v>
          </cell>
          <cell r="B416" t="str">
            <v>zzzUSA - Env Lab - Berkeley - G&amp;A</v>
          </cell>
        </row>
        <row r="417">
          <cell r="A417" t="str">
            <v>CC072</v>
          </cell>
          <cell r="B417" t="str">
            <v>zzzUSA - Env Lab - Berkeley - Operations</v>
          </cell>
        </row>
        <row r="418">
          <cell r="A418" t="str">
            <v>CC074</v>
          </cell>
          <cell r="B418" t="str">
            <v>zzzUSA - Env Lab - Berkeley - Sales &amp; Marketing</v>
          </cell>
        </row>
        <row r="419">
          <cell r="A419" t="str">
            <v>CC057</v>
          </cell>
          <cell r="B419" t="str">
            <v>zzzUSA - LDAR - OH - Finance</v>
          </cell>
        </row>
        <row r="420">
          <cell r="A420" t="str">
            <v>CC060</v>
          </cell>
          <cell r="B420" t="str">
            <v>zzzUSA - LDAR - OH - Marketing</v>
          </cell>
        </row>
        <row r="421">
          <cell r="A421" t="str">
            <v>CC059</v>
          </cell>
          <cell r="B421" t="str">
            <v>zzzUSA - LDAR - OH - Safety</v>
          </cell>
        </row>
        <row r="422">
          <cell r="A422" t="str">
            <v>CC464</v>
          </cell>
          <cell r="B422" t="str">
            <v>zzzUSA - MES - Segment</v>
          </cell>
        </row>
        <row r="423">
          <cell r="A423" t="str">
            <v>CC164</v>
          </cell>
          <cell r="B423" t="str">
            <v>zzzUSA - Permit &amp; Comp - East - G&amp;A</v>
          </cell>
        </row>
        <row r="424">
          <cell r="A424" t="str">
            <v>CC163</v>
          </cell>
          <cell r="B424" t="str">
            <v>zzzUSA - Permit &amp; Comp - East - Operations</v>
          </cell>
        </row>
        <row r="425">
          <cell r="A425" t="str">
            <v>CC165</v>
          </cell>
          <cell r="B425" t="str">
            <v>zzzUSA - Permit &amp; Comp - East - Sales &amp; Marketing</v>
          </cell>
        </row>
        <row r="426">
          <cell r="A426" t="str">
            <v>CC121</v>
          </cell>
          <cell r="B426" t="str">
            <v>zzzUSA - Remediation - OH - Finance</v>
          </cell>
        </row>
        <row r="427">
          <cell r="A427" t="str">
            <v>CC218</v>
          </cell>
          <cell r="B427" t="str">
            <v>zzzUSA - Remediation - OH - G&amp;A</v>
          </cell>
        </row>
        <row r="428">
          <cell r="A428" t="str">
            <v>CC207</v>
          </cell>
          <cell r="B428" t="str">
            <v>zzzUSA - Remediation - OH - HR</v>
          </cell>
        </row>
        <row r="429">
          <cell r="A429" t="str">
            <v>CC122</v>
          </cell>
          <cell r="B429" t="str">
            <v>zzzUSA - Remediation - OH - IT</v>
          </cell>
        </row>
        <row r="430">
          <cell r="A430" t="str">
            <v>CC123</v>
          </cell>
          <cell r="B430" t="str">
            <v>zzzUSA - Remediation - OH - Safety</v>
          </cell>
        </row>
        <row r="431">
          <cell r="A431" t="str">
            <v>CC124</v>
          </cell>
          <cell r="B431" t="str">
            <v>zzzUSA - Remediation - OH - Sales &amp; Marketing</v>
          </cell>
        </row>
        <row r="432">
          <cell r="A432" t="str">
            <v>CC289</v>
          </cell>
          <cell r="B432" t="str">
            <v>zzzUSA - Response &amp; Recovery - Innovative Services - G&amp;A</v>
          </cell>
        </row>
        <row r="433">
          <cell r="A433" t="str">
            <v>CC290</v>
          </cell>
          <cell r="B433" t="str">
            <v>zzzUSA - Response &amp; Recovery - Innovative Services - Operations</v>
          </cell>
        </row>
        <row r="434">
          <cell r="A434" t="str">
            <v>CC298</v>
          </cell>
          <cell r="B434" t="str">
            <v>zzzUSA - Response &amp; Recovery - Logistics &amp; Variable Staffing - G&amp;A</v>
          </cell>
        </row>
        <row r="435">
          <cell r="A435" t="str">
            <v>CC294</v>
          </cell>
          <cell r="B435" t="str">
            <v>zzzUSA - Response &amp; Recovery - Technology Services - Sales &amp; Marketing</v>
          </cell>
        </row>
        <row r="436">
          <cell r="A436" t="str">
            <v>CC293</v>
          </cell>
          <cell r="B436" t="str">
            <v>zzzUSA - Response &amp; Recovery OH - Software Development</v>
          </cell>
        </row>
        <row r="437">
          <cell r="A437" t="str">
            <v>CC158</v>
          </cell>
          <cell r="B437" t="str">
            <v>zzzUSA - RNG O&amp;M - G&amp;A</v>
          </cell>
        </row>
        <row r="438">
          <cell r="A438" t="str">
            <v>CC157</v>
          </cell>
          <cell r="B438" t="str">
            <v>zzzUSA - RNG O&amp;M - Operations</v>
          </cell>
        </row>
        <row r="439">
          <cell r="A439" t="str">
            <v>CC159</v>
          </cell>
          <cell r="B439" t="str">
            <v>zzzUSA - RNG O&amp;M - Sales &amp; Marketing</v>
          </cell>
        </row>
        <row r="440">
          <cell r="A440" t="str">
            <v>CC045</v>
          </cell>
          <cell r="B440" t="str">
            <v>zzzUSA - Sensible EDP - Albuquerque - G&amp;A</v>
          </cell>
        </row>
        <row r="441">
          <cell r="A441" t="str">
            <v>CC044</v>
          </cell>
          <cell r="B441" t="str">
            <v>zzzUSA - Sensible EDP - Albuquerque - Operations</v>
          </cell>
        </row>
        <row r="442">
          <cell r="A442" t="str">
            <v>CC244</v>
          </cell>
          <cell r="B442" t="str">
            <v>zzzUSA - Sensible EDP - Albuquerque - Sales &amp; Marketing</v>
          </cell>
        </row>
        <row r="443">
          <cell r="A443" t="str">
            <v>CC330</v>
          </cell>
          <cell r="B443" t="str">
            <v>zzzUSA - Sensible EDP - OH - Finance</v>
          </cell>
        </row>
        <row r="444">
          <cell r="A444" t="str">
            <v>CC332</v>
          </cell>
          <cell r="B444" t="str">
            <v>zzzUSA - Sensible EDP - OH - HR</v>
          </cell>
        </row>
        <row r="445">
          <cell r="A445" t="str">
            <v>CC333</v>
          </cell>
          <cell r="B445" t="str">
            <v>zzzUSA - Sensible EDP - OH - IT</v>
          </cell>
        </row>
        <row r="446">
          <cell r="A446" t="str">
            <v>CC335</v>
          </cell>
          <cell r="B446" t="str">
            <v>zzzUSA - Sensible EDP - OH - Marketing</v>
          </cell>
        </row>
        <row r="447">
          <cell r="A447" t="str">
            <v>CC334</v>
          </cell>
          <cell r="B447" t="str">
            <v>zzzUSA - Sensible EDP - OH - Safety</v>
          </cell>
        </row>
        <row r="448">
          <cell r="A448" t="str">
            <v>CC362</v>
          </cell>
          <cell r="B448" t="str">
            <v>zzzUSA - Sensible EDP - OH - Sales</v>
          </cell>
        </row>
        <row r="449">
          <cell r="A449" t="str">
            <v>CC268</v>
          </cell>
          <cell r="B449" t="str">
            <v>zzzUSA - Software Solutions - G&amp;A</v>
          </cell>
        </row>
        <row r="450">
          <cell r="A450" t="str">
            <v>CC269</v>
          </cell>
          <cell r="B450" t="str">
            <v>zzzUSA - Software Solutions - Operations</v>
          </cell>
        </row>
        <row r="451">
          <cell r="A451" t="str">
            <v>CC270</v>
          </cell>
          <cell r="B451" t="str">
            <v>zzzUSA - Software Solutions - Sales &amp; Marketing</v>
          </cell>
        </row>
        <row r="452">
          <cell r="A452" t="str">
            <v>CC097</v>
          </cell>
          <cell r="B452" t="str">
            <v>zzzUSA - Tob Lab - Berkeley - G&amp;A</v>
          </cell>
        </row>
        <row r="453">
          <cell r="A453" t="str">
            <v>CC096</v>
          </cell>
          <cell r="B453" t="str">
            <v>zzzUSA - Tob Lab - Berkeley - Operations</v>
          </cell>
        </row>
        <row r="454">
          <cell r="A454" t="str">
            <v>CC098</v>
          </cell>
          <cell r="B454" t="str">
            <v>zzzUSA - Tob Lab - Berkeley - Sales &amp; Marketing</v>
          </cell>
        </row>
        <row r="455">
          <cell r="A455" t="str">
            <v>CC094</v>
          </cell>
          <cell r="B455" t="str">
            <v>zzzUSA - Tob Lab - Durham - G&amp;A</v>
          </cell>
        </row>
        <row r="456">
          <cell r="A456" t="str">
            <v>CC093</v>
          </cell>
          <cell r="B456" t="str">
            <v>zzzUSA - Tob Lab - Durham - Operations</v>
          </cell>
        </row>
        <row r="457">
          <cell r="A457" t="str">
            <v>CC095</v>
          </cell>
          <cell r="B457" t="str">
            <v>zzzUSA - Tob Lab - Durham - Sales &amp; Marketing</v>
          </cell>
        </row>
        <row r="458">
          <cell r="A458" t="str">
            <v>CC091</v>
          </cell>
          <cell r="B458" t="str">
            <v>zzzUSA - Tob Lab - Richmond - G&amp;A</v>
          </cell>
        </row>
        <row r="459">
          <cell r="A459" t="str">
            <v>CC090</v>
          </cell>
          <cell r="B459" t="str">
            <v>zzzUSA - Tob Lab - Richmond - Operations</v>
          </cell>
        </row>
        <row r="460">
          <cell r="A460" t="str">
            <v>CC092</v>
          </cell>
          <cell r="B460" t="str">
            <v>zzzUSA - Tob Lab - Richmond - Sales &amp; Marketing</v>
          </cell>
        </row>
        <row r="461">
          <cell r="A461" t="str">
            <v>CC103</v>
          </cell>
          <cell r="B461" t="str">
            <v>zzzUSA - Tox Lab - Hampton - G&amp;A</v>
          </cell>
        </row>
        <row r="462">
          <cell r="A462" t="str">
            <v>CC102</v>
          </cell>
          <cell r="B462" t="str">
            <v>zzzUSA - Tox Lab - Hampton - Operations</v>
          </cell>
        </row>
        <row r="463">
          <cell r="A463" t="str">
            <v>CC104</v>
          </cell>
          <cell r="B463" t="str">
            <v>zzzUSA - Tox Lab - Hampton - Sales &amp; Marketing</v>
          </cell>
        </row>
        <row r="464">
          <cell r="A464" t="str">
            <v>CC126</v>
          </cell>
          <cell r="B464" t="str">
            <v>zzzUSA - Water Treatment - G&amp;A</v>
          </cell>
        </row>
        <row r="465">
          <cell r="A465" t="str">
            <v>CC131</v>
          </cell>
          <cell r="B465" t="str">
            <v>zzzUSA - Water Treatment - OH - Finance</v>
          </cell>
        </row>
        <row r="466">
          <cell r="A466" t="str">
            <v>CC212</v>
          </cell>
          <cell r="B466" t="str">
            <v>zzzUSA - Water Treatment - OH - G&amp;A</v>
          </cell>
        </row>
        <row r="467">
          <cell r="A467" t="str">
            <v>CC206</v>
          </cell>
          <cell r="B467" t="str">
            <v>zzzUSA - Water Treatment - OH - HR</v>
          </cell>
        </row>
        <row r="468">
          <cell r="A468" t="str">
            <v>CC132</v>
          </cell>
          <cell r="B468" t="str">
            <v>zzzUSA - Water Treatment - OH - IT</v>
          </cell>
        </row>
        <row r="469">
          <cell r="A469" t="str">
            <v>CC133</v>
          </cell>
          <cell r="B469" t="str">
            <v>zzzUSA - Water Treatment - OH - Safety</v>
          </cell>
        </row>
        <row r="470">
          <cell r="A470" t="str">
            <v>CC134</v>
          </cell>
          <cell r="B470" t="str">
            <v>zzzUSA - Water Treatment - OH - Sales &amp; Marketing</v>
          </cell>
        </row>
        <row r="471">
          <cell r="A471" t="str">
            <v>CC125</v>
          </cell>
          <cell r="B471" t="str">
            <v>zzzUSA - Water Treatment - Operations</v>
          </cell>
        </row>
        <row r="472">
          <cell r="A472" t="str">
            <v>CC127</v>
          </cell>
          <cell r="B472" t="str">
            <v>zzzUSA - Water Treatment - Sales &amp; Marketing</v>
          </cell>
        </row>
        <row r="473">
          <cell r="A473" t="str">
            <v>CC129</v>
          </cell>
          <cell r="B473" t="str">
            <v>zzzUSA - Water Treatment O&amp;M - G&amp;A</v>
          </cell>
        </row>
        <row r="474">
          <cell r="A474" t="str">
            <v>CC128</v>
          </cell>
          <cell r="B474" t="str">
            <v>zzzUSA - Water Treatment O&amp;M - Operations</v>
          </cell>
        </row>
        <row r="475">
          <cell r="A475" t="str">
            <v>CC130</v>
          </cell>
          <cell r="B475" t="str">
            <v>zzzUSA - Water Treatment O&amp;M - Sales &amp; Marketing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Quach" refreshedDate="46082.675375810184" createdVersion="8" refreshedVersion="8" minRefreshableVersion="3" recordCount="269" xr:uid="{69A03135-B3EC-44A1-B9C8-EEF9653FA6C1}">
  <cacheSource type="worksheet">
    <worksheetSource ref="A1:I270" sheet="users clean"/>
  </cacheSource>
  <cacheFields count="9">
    <cacheField name="First Name" numFmtId="0">
      <sharedItems/>
    </cacheField>
    <cacheField name="Last Name" numFmtId="0">
      <sharedItems containsBlank="1"/>
    </cacheField>
    <cacheField name="Email" numFmtId="0">
      <sharedItems/>
    </cacheField>
    <cacheField name="Role" numFmtId="0">
      <sharedItems/>
    </cacheField>
    <cacheField name="Status" numFmtId="0">
      <sharedItems/>
    </cacheField>
    <cacheField name="User managed groups" numFmtId="0">
      <sharedItems containsBlank="1"/>
    </cacheField>
    <cacheField name="Two-factor authentication" numFmtId="0">
      <sharedItems/>
    </cacheField>
    <cacheField name="cc id" numFmtId="0">
      <sharedItems count="75">
        <s v="CC466"/>
        <s v="CC191"/>
        <s v="CC373"/>
        <s v="CC160"/>
        <s v="CC135"/>
        <s v="CC344"/>
        <s v="CC145"/>
        <s v="CC281"/>
        <s v="CC203"/>
        <s v="CC291"/>
        <s v="CC441"/>
        <s v="CC235"/>
        <s v="CC343"/>
        <s v="CC331"/>
        <s v="CC469"/>
        <s v="CC374"/>
        <s v="CC265"/>
        <s v="CC115"/>
        <s v="CC192"/>
        <s v="CC011"/>
        <s v="CC272"/>
        <s v="CC190"/>
        <s v="CC267"/>
        <s v="CC242"/>
        <s v="CC309"/>
        <s v="CC361"/>
        <s v="CC034"/>
        <s v="CC109"/>
        <s v="CC234"/>
        <s v="CC389"/>
        <s v="CC107"/>
        <s v="CC202"/>
        <s v="CC195"/>
        <s v="CC433"/>
        <s v="CC238"/>
        <s v="CC356"/>
        <s v="CC366"/>
        <s v="CC251"/>
        <s v="CC025"/>
        <s v="CC016"/>
        <s v="CC075"/>
        <s v="CC189"/>
        <s v="CC205"/>
        <s v="CC255"/>
        <s v="CC105"/>
        <s v="CC143"/>
        <s v="CC001"/>
        <s v="CC168"/>
        <s v="CC318"/>
        <s v="CC317"/>
        <s v="CC007"/>
        <s v="CC304"/>
        <s v="CC194"/>
        <s v="CC188"/>
        <s v="CC161"/>
        <s v="CC118"/>
        <s v="CC049"/>
        <s v="CC247"/>
        <s v="CC048"/>
        <s v="CC052"/>
        <s v="CC377"/>
        <s v="CC457"/>
        <s v="CC112"/>
        <s v="CC459"/>
        <s v="CC473"/>
        <s v="CC141"/>
        <s v="CC239"/>
        <s v="CC069"/>
        <s v="CC004"/>
        <s v="CC363"/>
        <s v="CC020"/>
        <s v="CC321"/>
        <s v="CC258"/>
        <s v="CC454"/>
        <s v="CC365"/>
      </sharedItems>
    </cacheField>
    <cacheField name="cc descr" numFmtId="0">
      <sharedItems count="75">
        <s v="USA - Corp - Digital Engagement"/>
        <s v="USA - Corp - IT Operations"/>
        <s v="USA - ECT2 - OH - Sales"/>
        <s v="USA - Consulting - Santa Ana (P&amp;C) - Operations"/>
        <s v="USA - ECT2 - Operations"/>
        <s v="USA - Consulting - Valley Forge - Sales &amp; Marketing"/>
        <s v="AUS - ECT2 - Operations"/>
        <s v="USA - Response &amp; Recovery - Resilience &amp; Recovery Solutions - Operations"/>
        <s v="USA  - Air Testing - OH - HR Stack"/>
        <s v="USA - Consulting - OH - Sales"/>
        <s v="USA - Consulting - Two Dot - Operations"/>
        <s v="USA - ECT2 - OH - G&amp;A"/>
        <s v="USA - Consulting - Valley Forge - Operations"/>
        <s v="USA - Sensible EDP - OH - G&amp;A"/>
        <s v="USA - Consulting - OH - Legal"/>
        <s v="USA - ECT2 - OH - R&amp;D"/>
        <s v="USA - Env Lab - El Dorado Hills - Operations"/>
        <s v="USA - Consulting - Robbinsville - Operations"/>
        <s v="USA - Corp - Safety"/>
        <s v="USA - Stack - Gulf Coast - G&amp;A"/>
        <s v="USA - Consulting - Environmental Intelligence - Operations"/>
        <s v="USA - Corp - Legal"/>
        <s v="USA - Corp - Sales"/>
        <s v="AUS - ECT2 - OH - G&amp;A"/>
        <s v="USA - Consulting - Oakland - Operations"/>
        <s v="USA  - Air Testing - OH - Sales LDAR/Sensible"/>
        <s v="USA  - Air Testing - OH - Finance"/>
        <s v="USA - Consulting - Santa Ana (Rem) - Operations"/>
        <s v="USA - ECT2 - OH - Finance"/>
        <s v="CAN - Consulting - OH - Finance"/>
        <s v="USA - Lab Testing  - OH - Safety"/>
        <s v="USA - Stack - OH - G&amp;A"/>
        <s v="USA - Corp - Marketing"/>
        <s v="CAN - Consulting - Project Services - Project Services"/>
        <s v="USA - ECT2 - OH - Safety"/>
        <s v="USA - Corp - Global Business Services"/>
        <s v="AUS - ECT2 - OH - Sales"/>
        <s v="USA - Corp - R&amp;D"/>
        <s v="USA - Stack - Northeast - Operations"/>
        <s v="USA - Stack - Southeast - Operations"/>
        <s v="USA - Env Lab - Durham - Operations"/>
        <s v="USA - Corp - Finance"/>
        <s v="USA  - Air Testing - OH - HR LDAR/Sensible"/>
        <s v="USA - Consulting - Wilmington - Operations"/>
        <s v="USA - Lab Testing  - OH - Finance"/>
        <s v="AUS - ECT2 - OH - Safety"/>
        <s v="USA - Stack - Seattle - Operations"/>
        <s v="USA - Consulting - OH - Safety"/>
        <s v="USA - Sensible EDP - Denver - Operations"/>
        <s v="USA - Sensible EDP - Denver - G&amp;A"/>
        <s v="USA - Stack - Santa Ana - Operations"/>
        <s v="USA - Consulting - OH - HR"/>
        <s v="USA - Corp - M&amp;A"/>
        <s v="USA - Corp - Executive"/>
        <s v="USA - Consulting - Santa Ana (P&amp;C) - G&amp;A"/>
        <s v="USA - Consulting - Atlanta - Operations"/>
        <s v="USA - LDAR - California - G&amp;A"/>
        <s v="USA - Consulting - OH - Finance"/>
        <s v="USA - LDAR - California - Operations"/>
        <s v="USA - LDAR - Texas - G&amp;A"/>
        <s v="USA - Advisory &amp; Technical - Risk Management Solutions - Operations"/>
        <s v="USA - Response &amp; Recovery - Environmental - Operations"/>
        <s v="USA - Consulting - Tampa - Operations"/>
        <s v="USA - Consulting - OH - COE"/>
        <s v="USA - Consulting - Operational Support - Supply Chain"/>
        <s v="AUS - ECT2 - OH - Finance"/>
        <s v="USA - ECT2 - OH - Marketing"/>
        <s v="USA - Env Lab - Orange - Operations"/>
        <s v="USA - Stack - Antioch - Operations"/>
        <s v="USA  - Air Testing - OH - Sales Stack"/>
        <s v="USA - Stack - Chicago - G&amp;A"/>
        <s v="USA - Sensible EDP - Austin - Operations"/>
        <s v="USA - Consulting - Charlottesville - Operations"/>
        <s v="USA - Env Lab - Denver - Operations"/>
        <s v="USA - Lab Testing  - OH - Sa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s v="Dan"/>
    <s v="Jensen Admin"/>
    <s v="djensenadmin@montrose-env.com"/>
    <s v="Team admin"/>
    <s v="Active"/>
    <m/>
    <s v="Not enabled"/>
    <x v="0"/>
    <x v="0"/>
  </r>
  <r>
    <s v="Gabriel"/>
    <s v="Morales"/>
    <s v="gamorales@montrose-env.com"/>
    <s v="Team admin"/>
    <s v="Active"/>
    <m/>
    <s v="Enabled"/>
    <x v="1"/>
    <x v="1"/>
  </r>
  <r>
    <s v="Isabella"/>
    <s v="Rodriguez"/>
    <s v="isabellarodriguez@montrose-env.com"/>
    <s v="Team admin"/>
    <s v="Active"/>
    <m/>
    <s v="Enabled"/>
    <x v="1"/>
    <x v="1"/>
  </r>
  <r>
    <s v="Jared"/>
    <s v="Griego"/>
    <s v="ext-jaredgriego@montrose-env.com"/>
    <s v="Team admin"/>
    <s v="Active"/>
    <m/>
    <s v="Enabled"/>
    <x v="1"/>
    <x v="1"/>
  </r>
  <r>
    <s v="Jim"/>
    <s v="Wang"/>
    <s v="jiwang@montrose-env.com"/>
    <s v="Team admin"/>
    <s v="Active"/>
    <s v="Test_ECT2-Users, ECT2 - Everyone at ECT2"/>
    <s v="Enabled"/>
    <x v="1"/>
    <x v="1"/>
  </r>
  <r>
    <s v="Johnny"/>
    <s v="Le"/>
    <s v="jole@montrose-env.com"/>
    <s v="Team admin"/>
    <s v="Active"/>
    <m/>
    <s v="Enabled"/>
    <x v="1"/>
    <x v="1"/>
  </r>
  <r>
    <s v="Montrose"/>
    <s v="ITregistration"/>
    <s v="itregistration@montrose-env.com"/>
    <s v="Team admin"/>
    <s v="Active"/>
    <s v="ECT2 - Everyone at ECT2"/>
    <s v="Enabled"/>
    <x v="0"/>
    <x v="0"/>
  </r>
  <r>
    <s v="Adam"/>
    <s v="Lirette"/>
    <s v="adamlirette@ect2.com"/>
    <s v="Member"/>
    <s v="Active"/>
    <m/>
    <s v="Enabled"/>
    <x v="2"/>
    <x v="2"/>
  </r>
  <r>
    <s v="Agustinus"/>
    <s v="Krisnadi"/>
    <s v="ekrisnadi@montrose-env.com"/>
    <s v="Member"/>
    <s v="Active"/>
    <m/>
    <s v="Enabled"/>
    <x v="3"/>
    <x v="3"/>
  </r>
  <r>
    <s v="Alan"/>
    <s v="Duke"/>
    <s v="alduke@ect2.com"/>
    <s v="Member"/>
    <s v="Active"/>
    <s v="ECT2 - Everyone at ECT2"/>
    <s v="Not enabled"/>
    <x v="4"/>
    <x v="4"/>
  </r>
  <r>
    <s v="Alan"/>
    <s v="Miller"/>
    <s v="alanmiller@montrose-env.com"/>
    <s v="Member"/>
    <s v="Active"/>
    <m/>
    <s v="Enabled"/>
    <x v="5"/>
    <x v="5"/>
  </r>
  <r>
    <s v="Alex"/>
    <s v="Bailey"/>
    <s v="abailey@ect2.com"/>
    <s v="Member"/>
    <s v="Active"/>
    <s v="ECT2 - Everyone at ECT2"/>
    <s v="Enabled"/>
    <x v="4"/>
    <x v="4"/>
  </r>
  <r>
    <s v="Alex"/>
    <s v="Thomson"/>
    <s v="ajthomson@ect2.com"/>
    <s v="Member"/>
    <s v="Active"/>
    <s v="ECT2 - Everyone at ECT2"/>
    <s v="Not enabled"/>
    <x v="6"/>
    <x v="6"/>
  </r>
  <r>
    <s v="Ali"/>
    <s v="Adair"/>
    <s v="aladair@ect2.com"/>
    <s v="Member"/>
    <s v="Active"/>
    <s v="ECT2 - Everyone at ECT2"/>
    <s v="Enabled"/>
    <x v="4"/>
    <x v="4"/>
  </r>
  <r>
    <s v="Allison"/>
    <s v="Grotts"/>
    <s v="allisongrotts@montrose-env.com"/>
    <s v="Member"/>
    <s v="Active"/>
    <m/>
    <s v="Not enabled"/>
    <x v="7"/>
    <x v="7"/>
  </r>
  <r>
    <s v="Alora"/>
    <s v="Aguilar"/>
    <s v="alaguilar@ect2.com"/>
    <s v="Member"/>
    <s v="Active"/>
    <s v="ECT2 - Everyone at ECT2"/>
    <s v="Not enabled"/>
    <x v="4"/>
    <x v="4"/>
  </r>
  <r>
    <s v="Amanda"/>
    <s v="Lukash"/>
    <s v="alukash@montrose-env.com"/>
    <s v="Member"/>
    <s v="Active"/>
    <m/>
    <s v="Enabled"/>
    <x v="8"/>
    <x v="8"/>
  </r>
  <r>
    <s v="Amy-Lee"/>
    <s v="Prieslty"/>
    <s v="amyleepriestly@ect2.com"/>
    <s v="Member"/>
    <s v="Active"/>
    <m/>
    <s v="Enabled"/>
    <x v="6"/>
    <x v="6"/>
  </r>
  <r>
    <s v="Andrea"/>
    <s v="Pedersen"/>
    <s v="anpedersen@montrose-env.com"/>
    <s v="Member"/>
    <s v="Active"/>
    <m/>
    <s v="Enabled"/>
    <x v="9"/>
    <x v="9"/>
  </r>
  <r>
    <s v="Andrea"/>
    <s v="Sepulveda"/>
    <s v="asepulveda@ect2.com"/>
    <s v="Member"/>
    <s v="Active"/>
    <s v="ECT2 - Everyone at ECT2"/>
    <s v="Enabled"/>
    <x v="4"/>
    <x v="4"/>
  </r>
  <r>
    <s v="Andrea"/>
    <s v="Shetler"/>
    <s v="anshetler@ect2.com"/>
    <s v="Member"/>
    <s v="Active"/>
    <m/>
    <s v="Not enabled"/>
    <x v="4"/>
    <x v="4"/>
  </r>
  <r>
    <s v="andrew"/>
    <s v="mccarthy"/>
    <s v="amccarthy@ect2.com"/>
    <s v="Member"/>
    <s v="Active"/>
    <s v="ECT2 - Everyone at ECT2"/>
    <s v="Enabled"/>
    <x v="6"/>
    <x v="6"/>
  </r>
  <r>
    <s v="andrew"/>
    <s v="Schmalfuss"/>
    <s v="andrewschmalfuss@montrose-env.com"/>
    <s v="Member"/>
    <s v="Active"/>
    <m/>
    <s v="Enabled"/>
    <x v="10"/>
    <x v="10"/>
  </r>
  <r>
    <s v="andy"/>
    <s v="bishop"/>
    <s v="abishop@ect2.com"/>
    <s v="Member"/>
    <s v="Active"/>
    <s v="ECT2 - Everyone at ECT2"/>
    <s v="Enabled"/>
    <x v="11"/>
    <x v="11"/>
  </r>
  <r>
    <s v="anna"/>
    <s v="leisher"/>
    <s v="annaleisher@montrose-env.com"/>
    <s v="Member"/>
    <s v="Active"/>
    <m/>
    <s v="Enabled"/>
    <x v="12"/>
    <x v="12"/>
  </r>
  <r>
    <s v="Antonios"/>
    <s v="Tasoglou"/>
    <s v="antasoglou@montrose-env.com"/>
    <s v="Member"/>
    <s v="Active"/>
    <m/>
    <s v="Not enabled"/>
    <x v="13"/>
    <x v="13"/>
  </r>
  <r>
    <s v="Ashley"/>
    <s v="Peoples"/>
    <s v="aspeoples@montrose-env.com"/>
    <s v="Member"/>
    <s v="Active"/>
    <m/>
    <s v="Not enabled"/>
    <x v="14"/>
    <x v="14"/>
  </r>
  <r>
    <s v="Benjamin"/>
    <s v="Curry"/>
    <s v="becurry@ect2.com"/>
    <s v="Member"/>
    <s v="Active"/>
    <m/>
    <s v="Not enabled"/>
    <x v="4"/>
    <x v="4"/>
  </r>
  <r>
    <s v="Bethany"/>
    <s v="Green"/>
    <s v="begreen@ect2.com"/>
    <s v="Member"/>
    <s v="Active"/>
    <m/>
    <s v="Not enabled"/>
    <x v="15"/>
    <x v="15"/>
  </r>
  <r>
    <s v="BETTINA"/>
    <s v="BENEDICT"/>
    <s v="bettina.benedict@enthalpy.com"/>
    <s v="Member"/>
    <s v="Active"/>
    <m/>
    <s v="Enabled"/>
    <x v="16"/>
    <x v="16"/>
  </r>
  <r>
    <s v="Bill"/>
    <s v="Winchester"/>
    <s v="bwinchester@montrose-env.com"/>
    <s v="Member"/>
    <s v="Active"/>
    <m/>
    <s v="Enabled"/>
    <x v="3"/>
    <x v="3"/>
  </r>
  <r>
    <s v="Brandon"/>
    <s v="Newman"/>
    <s v="bnewman@ect2.com"/>
    <s v="Member"/>
    <s v="Active"/>
    <s v="ECT2 - Everyone at ECT2"/>
    <s v="Enabled"/>
    <x v="4"/>
    <x v="4"/>
  </r>
  <r>
    <s v="Brian"/>
    <s v="Burns"/>
    <s v="brianburns@montrose-env.com"/>
    <s v="Member"/>
    <s v="Active"/>
    <m/>
    <s v="Enabled"/>
    <x v="17"/>
    <x v="17"/>
  </r>
  <r>
    <s v="Brian"/>
    <s v="Frewerd"/>
    <s v="brianfrewerd@ect2.com"/>
    <s v="Member"/>
    <s v="Active"/>
    <s v="ECT2 - Everyone at ECT2"/>
    <s v="Not enabled"/>
    <x v="2"/>
    <x v="2"/>
  </r>
  <r>
    <s v="Brian"/>
    <s v="Hunter"/>
    <s v="brianhunter@ect2.com"/>
    <s v="Member"/>
    <s v="Active"/>
    <s v="ECT2 - Everyone at ECT2"/>
    <s v="Enabled"/>
    <x v="4"/>
    <x v="4"/>
  </r>
  <r>
    <s v="Brian"/>
    <s v="Wilson"/>
    <s v="brianwilson@montrose-env.com"/>
    <s v="Member"/>
    <s v="Active"/>
    <m/>
    <s v="Not enabled"/>
    <x v="18"/>
    <x v="18"/>
  </r>
  <r>
    <s v="Britney"/>
    <s v="Beck"/>
    <s v="bbeck@montrose-env.com"/>
    <s v="Member"/>
    <s v="Active"/>
    <m/>
    <s v="Not enabled"/>
    <x v="19"/>
    <x v="19"/>
  </r>
  <r>
    <s v="Brittany"/>
    <s v="Gamboa"/>
    <s v="brittanygamboa@montrose-env.com"/>
    <s v="Member"/>
    <s v="Active"/>
    <m/>
    <s v="Enabled"/>
    <x v="20"/>
    <x v="20"/>
  </r>
  <r>
    <s v="Bruce"/>
    <s v="Nicholson"/>
    <s v="brnicholson@montrose-env.com"/>
    <s v="Member"/>
    <s v="Active"/>
    <m/>
    <s v="Enabled"/>
    <x v="21"/>
    <x v="21"/>
  </r>
  <r>
    <s v="Bryan"/>
    <s v="Chubb"/>
    <s v="brchubb@montrose-env.com"/>
    <s v="Member"/>
    <s v="Active"/>
    <m/>
    <s v="Not enabled"/>
    <x v="22"/>
    <x v="22"/>
  </r>
  <r>
    <s v="Cameron"/>
    <s v="Edmonson"/>
    <s v="cameronedmonson@montrose-env.com"/>
    <s v="Member"/>
    <s v="Active"/>
    <m/>
    <s v="Enabled"/>
    <x v="21"/>
    <x v="21"/>
  </r>
  <r>
    <s v="Cameron"/>
    <s v="Marshall"/>
    <s v="camarshall@ect2.com"/>
    <s v="Member"/>
    <s v="Active"/>
    <s v="ECT2 - Everyone at ECT2"/>
    <s v="Not enabled"/>
    <x v="6"/>
    <x v="6"/>
  </r>
  <r>
    <s v="Camille"/>
    <s v="White"/>
    <s v="camillewhite@ect2.com"/>
    <s v="Member"/>
    <s v="Active"/>
    <m/>
    <s v="Enabled"/>
    <x v="4"/>
    <x v="4"/>
  </r>
  <r>
    <s v="Carl"/>
    <s v="Sueli"/>
    <s v="csueli@ect2.com"/>
    <s v="Member"/>
    <s v="Active"/>
    <s v="ECT2 - Everyone at ECT2"/>
    <s v="Enabled"/>
    <x v="23"/>
    <x v="23"/>
  </r>
  <r>
    <s v="Carley"/>
    <s v="Dutra"/>
    <s v="cadutra@montrose-env.com"/>
    <s v="Member"/>
    <s v="Active"/>
    <m/>
    <s v="Enabled"/>
    <x v="24"/>
    <x v="24"/>
  </r>
  <r>
    <s v="carlosbanales"/>
    <m/>
    <s v="carlosbanales@ect2.com"/>
    <s v="Member"/>
    <s v="Active"/>
    <s v="ECT2 - Everyone at ECT2"/>
    <s v="Not enabled"/>
    <x v="4"/>
    <x v="4"/>
  </r>
  <r>
    <s v="Carter"/>
    <s v="Morrison"/>
    <s v="camorrison@montrose-env.com"/>
    <s v="Member"/>
    <s v="Active"/>
    <m/>
    <s v="Enabled"/>
    <x v="25"/>
    <x v="25"/>
  </r>
  <r>
    <s v="Cathy"/>
    <s v="Busse"/>
    <s v="cbusse@montrose-env.com"/>
    <s v="Member"/>
    <s v="Active"/>
    <m/>
    <s v="Enabled"/>
    <x v="26"/>
    <x v="26"/>
  </r>
  <r>
    <s v="Cathy"/>
    <s v="Wiesner"/>
    <s v="cawiesner@montrose-env.com"/>
    <s v="Member"/>
    <s v="Active"/>
    <m/>
    <s v="Not enabled"/>
    <x v="1"/>
    <x v="1"/>
  </r>
  <r>
    <s v="Charlie"/>
    <s v="Gordon"/>
    <s v="cgordon@ect2.com"/>
    <s v="Member"/>
    <s v="Active"/>
    <s v="ECT2 - Everyone at ECT2"/>
    <s v="Not enabled"/>
    <x v="6"/>
    <x v="6"/>
  </r>
  <r>
    <s v="Charlotte"/>
    <s v="Berg"/>
    <s v="chberg@ect2.com"/>
    <s v="Member"/>
    <s v="Active"/>
    <s v="ECT2 - Everyone at ECT2"/>
    <s v="Not enabled"/>
    <x v="4"/>
    <x v="4"/>
  </r>
  <r>
    <s v="Chip"/>
    <s v="Saunders"/>
    <s v="csaunders@ect2.com"/>
    <s v="Member"/>
    <s v="Active"/>
    <m/>
    <s v="Not enabled"/>
    <x v="4"/>
    <x v="4"/>
  </r>
  <r>
    <s v="Chris"/>
    <s v="Guesnon"/>
    <s v="cguesnon@montrose-env.com"/>
    <s v="Member"/>
    <s v="Active"/>
    <s v="Altamont"/>
    <s v="Enabled"/>
    <x v="27"/>
    <x v="27"/>
  </r>
  <r>
    <s v="Chris"/>
    <s v="Lehrman"/>
    <s v="clehrman@ect2.com"/>
    <s v="Member"/>
    <s v="Active"/>
    <s v="ECT2 - Everyone at ECT2, Test_ECT2-Users"/>
    <s v="Enabled"/>
    <x v="4"/>
    <x v="4"/>
  </r>
  <r>
    <s v="Chris"/>
    <s v="Nosti"/>
    <s v="chnosti@ect2.com"/>
    <s v="Member"/>
    <s v="Active"/>
    <s v="ECT2 - Everyone at ECT2"/>
    <s v="Not enabled"/>
    <x v="4"/>
    <x v="4"/>
  </r>
  <r>
    <s v="Christian"/>
    <s v="Junghanss"/>
    <s v="christianjunghanss@ect2.com"/>
    <s v="Member"/>
    <s v="Active"/>
    <s v="ECT2 - Everyone at ECT2"/>
    <s v="Enabled"/>
    <x v="28"/>
    <x v="28"/>
  </r>
  <r>
    <s v="Christine"/>
    <s v="Barr"/>
    <s v="cbarr@matrix-solutions.com"/>
    <s v="Member"/>
    <s v="Active"/>
    <m/>
    <s v="Not enabled"/>
    <x v="29"/>
    <x v="29"/>
  </r>
  <r>
    <s v="Christine"/>
    <s v="Barr"/>
    <s v="cbarr@montrose-env.ca"/>
    <s v="Member"/>
    <s v="Active"/>
    <m/>
    <s v="Enabled"/>
    <x v="29"/>
    <x v="29"/>
  </r>
  <r>
    <s v="Christopher"/>
    <s v="Abraham"/>
    <s v="cabraham@montrose-env.com"/>
    <s v="Member"/>
    <s v="Active"/>
    <m/>
    <s v="Not enabled"/>
    <x v="30"/>
    <x v="30"/>
  </r>
  <r>
    <s v="Christopher"/>
    <s v="Delmond"/>
    <s v="chdelmond@ect2.com"/>
    <s v="Member"/>
    <s v="Active"/>
    <s v="ECT2 - Everyone at ECT2"/>
    <s v="Not enabled"/>
    <x v="4"/>
    <x v="4"/>
  </r>
  <r>
    <s v="Christopher"/>
    <s v="Robare"/>
    <s v="chrobare@ect2.com"/>
    <s v="Member"/>
    <s v="Active"/>
    <s v="ECT2 - Everyone at ECT2"/>
    <s v="Not enabled"/>
    <x v="4"/>
    <x v="4"/>
  </r>
  <r>
    <s v="Claire"/>
    <s v="Deaner"/>
    <s v="cdeaner@montrose-env.com"/>
    <s v="Member"/>
    <s v="Active"/>
    <m/>
    <s v="Enabled"/>
    <x v="31"/>
    <x v="31"/>
  </r>
  <r>
    <s v="Colin"/>
    <s v="Howe"/>
    <s v="cohowe@ect2.com"/>
    <s v="Member"/>
    <s v="Active"/>
    <s v="ECT2 - Everyone at ECT2"/>
    <s v="Not enabled"/>
    <x v="4"/>
    <x v="4"/>
  </r>
  <r>
    <s v="Colleen"/>
    <s v="Moore"/>
    <s v="colleenmoore@montrose-env.com"/>
    <s v="Member"/>
    <s v="Active"/>
    <m/>
    <s v="Enabled"/>
    <x v="32"/>
    <x v="32"/>
  </r>
  <r>
    <s v="Collin"/>
    <s v="Oriente"/>
    <s v="cjoriente@montrose-env.com"/>
    <s v="Member"/>
    <s v="Active"/>
    <m/>
    <s v="Not enabled"/>
    <x v="17"/>
    <x v="17"/>
  </r>
  <r>
    <s v="Cornel"/>
    <s v="Wessels"/>
    <s v="cwessels@montrose-env.ca"/>
    <s v="Member"/>
    <s v="Active"/>
    <m/>
    <s v="Enabled"/>
    <x v="33"/>
    <x v="33"/>
  </r>
  <r>
    <s v="Craig"/>
    <s v="Ruberti"/>
    <s v="cruberti@montrose-env.com"/>
    <s v="Member"/>
    <s v="Active"/>
    <s v="ECT2 - Everyone at ECT2"/>
    <s v="Not enabled"/>
    <x v="34"/>
    <x v="34"/>
  </r>
  <r>
    <s v="Dale"/>
    <s v="Pullin"/>
    <s v="dapullin@ect2.com"/>
    <s v="Member"/>
    <s v="Active"/>
    <m/>
    <s v="Not enabled"/>
    <x v="6"/>
    <x v="6"/>
  </r>
  <r>
    <s v="Dale"/>
    <s v="Wynkoop"/>
    <s v="dwynkoop@ect2.com"/>
    <s v="Member"/>
    <s v="Active"/>
    <s v="ECT2 - Everyone at ECT2"/>
    <s v="Enabled"/>
    <x v="2"/>
    <x v="2"/>
  </r>
  <r>
    <s v="Dan"/>
    <s v="Casey"/>
    <s v="dcasey@ect2.com"/>
    <s v="Member"/>
    <s v="Active"/>
    <s v="ECT2 - Everyone at ECT2"/>
    <s v="Enabled"/>
    <x v="4"/>
    <x v="4"/>
  </r>
  <r>
    <s v="Dan"/>
    <s v="Fitzgerald"/>
    <s v="dfitzgerald@montrose-env.com"/>
    <s v="Member"/>
    <s v="Active"/>
    <m/>
    <s v="Enabled"/>
    <x v="31"/>
    <x v="31"/>
  </r>
  <r>
    <s v="Daniel"/>
    <s v="Florez"/>
    <s v="daflorez@ect2.com"/>
    <s v="Member"/>
    <s v="Active"/>
    <s v="ECT2 - Everyone at ECT2"/>
    <s v="Not enabled"/>
    <x v="4"/>
    <x v="4"/>
  </r>
  <r>
    <s v="Daniel"/>
    <s v="Gerard"/>
    <s v="dagerard@montrose-env.com"/>
    <s v="Member"/>
    <s v="Active"/>
    <m/>
    <s v="Not enabled"/>
    <x v="35"/>
    <x v="35"/>
  </r>
  <r>
    <s v="Daniel"/>
    <s v="Goltz"/>
    <s v="dgoltz@ect2.com"/>
    <s v="Member"/>
    <s v="Active"/>
    <s v="ECT2 - Everyone at ECT2"/>
    <s v="Enabled"/>
    <x v="6"/>
    <x v="6"/>
  </r>
  <r>
    <s v="Darren"/>
    <s v="Skinner"/>
    <s v="darrenskinner@ect2.com"/>
    <s v="Member"/>
    <s v="Active"/>
    <m/>
    <s v="Enabled"/>
    <x v="6"/>
    <x v="6"/>
  </r>
  <r>
    <s v="Darrin"/>
    <s v="Stoker"/>
    <s v="dastoker@ect2.com"/>
    <s v="Member"/>
    <s v="Active"/>
    <s v="ECT2 - Everyone at ECT2"/>
    <s v="Not enabled"/>
    <x v="36"/>
    <x v="36"/>
  </r>
  <r>
    <s v="Dave"/>
    <s v="Kempisty"/>
    <s v="dakempisty@ect2.com"/>
    <s v="Member"/>
    <s v="Active"/>
    <s v="ECT2 - Everyone at ECT2"/>
    <s v="Not enabled"/>
    <x v="37"/>
    <x v="37"/>
  </r>
  <r>
    <s v="David"/>
    <s v="Chandler"/>
    <s v="davidchandler@ect2.com"/>
    <s v="Member"/>
    <s v="Active"/>
    <s v="ECT2 - Everyone at ECT2"/>
    <s v="Enabled"/>
    <x v="4"/>
    <x v="4"/>
  </r>
  <r>
    <s v="David"/>
    <s v="Pepper"/>
    <s v="davidpepper@montrose-env.com"/>
    <s v="Member"/>
    <s v="Active"/>
    <m/>
    <s v="Enabled"/>
    <x v="38"/>
    <x v="38"/>
  </r>
  <r>
    <s v="David"/>
    <s v="Petryshin"/>
    <s v="dpetryshin@montrose-env.com"/>
    <s v="Member"/>
    <s v="Active"/>
    <m/>
    <s v="Enabled"/>
    <x v="27"/>
    <x v="27"/>
  </r>
  <r>
    <s v="David"/>
    <s v="Tucker"/>
    <s v="datucker@ect2.com"/>
    <s v="Member"/>
    <s v="Active"/>
    <s v="ECT2 - Everyone at ECT2"/>
    <s v="Not enabled"/>
    <x v="22"/>
    <x v="22"/>
  </r>
  <r>
    <s v="David"/>
    <s v="Vecellio"/>
    <s v="dvecellio@montrose-env.com"/>
    <s v="Member"/>
    <s v="Active"/>
    <m/>
    <s v="Enabled"/>
    <x v="39"/>
    <x v="39"/>
  </r>
  <r>
    <s v="Debra"/>
    <s v="Lilly"/>
    <s v="delilly@montrose-env.com"/>
    <s v="Member"/>
    <s v="Active"/>
    <m/>
    <s v="Enabled"/>
    <x v="24"/>
    <x v="24"/>
  </r>
  <r>
    <s v="Denese"/>
    <s v="Daniels"/>
    <s v="ddaniels@montrose-env.com"/>
    <s v="Member"/>
    <s v="Active"/>
    <m/>
    <s v="Enabled"/>
    <x v="40"/>
    <x v="40"/>
  </r>
  <r>
    <s v="Denniese"/>
    <s v="Mutuc"/>
    <s v="dmutuc@montrose-env.com"/>
    <s v="Member"/>
    <s v="Active"/>
    <m/>
    <s v="Not enabled"/>
    <x v="41"/>
    <x v="41"/>
  </r>
  <r>
    <s v="Derek"/>
    <s v="Street"/>
    <s v="derekstreet@montrose-env.com"/>
    <s v="Member"/>
    <s v="Active"/>
    <m/>
    <s v="Enabled"/>
    <x v="9"/>
    <x v="9"/>
  </r>
  <r>
    <s v="Devin"/>
    <s v="Fox"/>
    <s v="devinfox@ect2.com"/>
    <s v="Member"/>
    <s v="Active"/>
    <s v="ECT2 - Everyone at ECT2"/>
    <s v="Not enabled"/>
    <x v="4"/>
    <x v="4"/>
  </r>
  <r>
    <s v="Diane"/>
    <s v="DeStephano"/>
    <s v="dianedestephano@ect2.com"/>
    <s v="Member"/>
    <s v="Active"/>
    <m/>
    <s v="Enabled"/>
    <x v="11"/>
    <x v="11"/>
  </r>
  <r>
    <s v="Eben"/>
    <s v="Joslyn"/>
    <s v="ebjoslyn@ect2.com"/>
    <s v="Member"/>
    <s v="Active"/>
    <m/>
    <s v="Not enabled"/>
    <x v="4"/>
    <x v="4"/>
  </r>
  <r>
    <s v="Elizabeth"/>
    <s v="Fuchs"/>
    <s v="elizabethfuchs@montrose-env.com"/>
    <s v="Member"/>
    <s v="Active"/>
    <m/>
    <s v="Enabled"/>
    <x v="17"/>
    <x v="17"/>
  </r>
  <r>
    <s v="Eric"/>
    <s v="Cooper"/>
    <s v="ercooper@montrose-env.com"/>
    <s v="Member"/>
    <s v="Active"/>
    <m/>
    <s v="Enabled"/>
    <x v="9"/>
    <x v="9"/>
  </r>
  <r>
    <s v="Erika"/>
    <s v="Houtz"/>
    <s v="erhoutz@ect2.com"/>
    <s v="Member"/>
    <s v="Active"/>
    <s v="ECT2 - Everyone at ECT2"/>
    <s v="Not enabled"/>
    <x v="37"/>
    <x v="37"/>
  </r>
  <r>
    <s v="Erin"/>
    <s v="Boelkens"/>
    <s v="erboelkens@montrose-env.com"/>
    <s v="Member"/>
    <s v="Active"/>
    <m/>
    <s v="Not enabled"/>
    <x v="41"/>
    <x v="41"/>
  </r>
  <r>
    <s v="Ethan"/>
    <s v="Jahnke"/>
    <s v="ethanjahnke@montrose-env.com"/>
    <s v="Member"/>
    <s v="Active"/>
    <m/>
    <s v="Enabled"/>
    <x v="10"/>
    <x v="10"/>
  </r>
  <r>
    <s v="Farideh"/>
    <s v="Kia"/>
    <s v="fkia@montrose-env.com"/>
    <s v="Member"/>
    <s v="Active"/>
    <m/>
    <s v="Not enabled"/>
    <x v="27"/>
    <x v="27"/>
  </r>
  <r>
    <s v="Francis"/>
    <s v="Dayrit"/>
    <s v="francisdayrit@montrose-env.com"/>
    <s v="Member"/>
    <s v="Active"/>
    <m/>
    <s v="Enabled"/>
    <x v="41"/>
    <x v="41"/>
  </r>
  <r>
    <s v="Gavin"/>
    <s v="Broughton"/>
    <s v="gbroughton@ect2.com"/>
    <s v="Member"/>
    <s v="Active"/>
    <s v="ECT2 - Everyone at ECT2"/>
    <s v="Enabled"/>
    <x v="4"/>
    <x v="4"/>
  </r>
  <r>
    <s v="Gita"/>
    <s v="Mobini"/>
    <s v="gmobini@ect2.com"/>
    <s v="Member"/>
    <s v="Active"/>
    <s v="ECT2 - Everyone at ECT2"/>
    <s v="Not enabled"/>
    <x v="4"/>
    <x v="4"/>
  </r>
  <r>
    <s v="Gracie"/>
    <s v="Howard"/>
    <s v="graciehoward@ect2.com"/>
    <s v="Member"/>
    <s v="Active"/>
    <s v="ECT2 - Everyone at ECT2"/>
    <s v="Enabled"/>
    <x v="4"/>
    <x v="4"/>
  </r>
  <r>
    <s v="Hannah"/>
    <s v="Besmer"/>
    <s v="hannahbesmer@ect2.com"/>
    <s v="Member"/>
    <s v="Active"/>
    <s v="ECT2 - Everyone at ECT2"/>
    <s v="Not enabled"/>
    <x v="4"/>
    <x v="4"/>
  </r>
  <r>
    <s v="Hayley"/>
    <s v="Hewett"/>
    <s v="hahewett@montrose-env.com"/>
    <s v="Member"/>
    <s v="Active"/>
    <m/>
    <s v="Enabled"/>
    <x v="42"/>
    <x v="42"/>
  </r>
  <r>
    <s v="Heather"/>
    <s v="Patti"/>
    <s v="hdpatti@montrose-env.com"/>
    <s v="Member"/>
    <s v="Active"/>
    <m/>
    <s v="Not enabled"/>
    <x v="43"/>
    <x v="43"/>
  </r>
  <r>
    <s v="Hector"/>
    <s v="Rivera"/>
    <s v="hrivera@montrose-env.com"/>
    <s v="Member"/>
    <s v="Active"/>
    <m/>
    <s v="Enabled"/>
    <x v="44"/>
    <x v="44"/>
  </r>
  <r>
    <s v="Holly"/>
    <s v="Linton"/>
    <s v="hollylinton@ect2.com"/>
    <s v="Member"/>
    <s v="Active"/>
    <s v="ECT2 - Everyone at ECT2"/>
    <s v="Enabled"/>
    <x v="45"/>
    <x v="45"/>
  </r>
  <r>
    <s v="Isabelle"/>
    <s v="Brewer"/>
    <s v="isabellebrewer@montrose-env.com"/>
    <s v="Member"/>
    <s v="Active"/>
    <m/>
    <s v="Enabled"/>
    <x v="46"/>
    <x v="46"/>
  </r>
  <r>
    <s v="Jack"/>
    <s v="Besse"/>
    <s v="jackbesse@ect2.com"/>
    <s v="Member"/>
    <s v="Active"/>
    <s v="ECT2 - Everyone at ECT2"/>
    <s v="Enabled"/>
    <x v="4"/>
    <x v="4"/>
  </r>
  <r>
    <s v="Jacob"/>
    <s v="Ewers"/>
    <s v="jaewers@montrose-env.com"/>
    <s v="Member"/>
    <s v="Active"/>
    <m/>
    <s v="Enabled"/>
    <x v="4"/>
    <x v="4"/>
  </r>
  <r>
    <s v="Jamal"/>
    <s v="Sims"/>
    <s v="jamalsims@montrose-env.com"/>
    <s v="Member"/>
    <s v="Active"/>
    <m/>
    <s v="Enabled"/>
    <x v="47"/>
    <x v="47"/>
  </r>
  <r>
    <s v="James"/>
    <s v="Garrett"/>
    <s v="jagarrett@montrose-env.com"/>
    <s v="Member"/>
    <s v="Active"/>
    <m/>
    <s v="Enabled"/>
    <x v="48"/>
    <x v="48"/>
  </r>
  <r>
    <s v="James"/>
    <s v="Knights"/>
    <s v="jaknights@ect2.com"/>
    <s v="Member"/>
    <s v="Active"/>
    <s v="ECT2 - Everyone at ECT2"/>
    <s v="Not enabled"/>
    <x v="4"/>
    <x v="4"/>
  </r>
  <r>
    <s v="Jarett"/>
    <s v="Zelinsky"/>
    <s v="jarettzelinsky@montrose-env.com"/>
    <s v="Member"/>
    <s v="Active"/>
    <m/>
    <s v="Enabled"/>
    <x v="7"/>
    <x v="7"/>
  </r>
  <r>
    <s v="Jennie"/>
    <s v="Cooper"/>
    <s v="jenniecooper@montrose-env.com"/>
    <s v="Member"/>
    <s v="Active"/>
    <m/>
    <s v="Enabled"/>
    <x v="32"/>
    <x v="32"/>
  </r>
  <r>
    <s v="Jennifer"/>
    <s v="Medara"/>
    <s v="jemedara@montrose-env.com"/>
    <s v="Member"/>
    <s v="Active"/>
    <m/>
    <s v="Enabled"/>
    <x v="49"/>
    <x v="49"/>
  </r>
  <r>
    <s v="Jessica"/>
    <s v="Gonzalez"/>
    <s v="jegonzalez@montrose-env.com"/>
    <s v="Member"/>
    <s v="Active"/>
    <m/>
    <s v="Not enabled"/>
    <x v="24"/>
    <x v="24"/>
  </r>
  <r>
    <s v="Jessica"/>
    <s v="Haxen"/>
    <s v="jehaxen@ect2.com"/>
    <s v="Member"/>
    <s v="Active"/>
    <s v="ECT2 - Everyone at ECT2"/>
    <s v="Enabled"/>
    <x v="6"/>
    <x v="6"/>
  </r>
  <r>
    <s v="Jessica"/>
    <s v="Perrini"/>
    <s v="jperrini@montrose-env.com"/>
    <s v="Member"/>
    <s v="Active"/>
    <m/>
    <s v="Enabled"/>
    <x v="7"/>
    <x v="7"/>
  </r>
  <r>
    <s v="Jim"/>
    <s v="Ritchey"/>
    <s v="jritchey@montrose-env.com"/>
    <s v="Member"/>
    <s v="Active"/>
    <m/>
    <s v="Not enabled"/>
    <x v="50"/>
    <x v="50"/>
  </r>
  <r>
    <s v="Jina"/>
    <s v="Chung"/>
    <s v="jinachung@montrose-env.com"/>
    <s v="Member"/>
    <s v="Active"/>
    <m/>
    <s v="Enabled"/>
    <x v="51"/>
    <x v="51"/>
  </r>
  <r>
    <s v="Joe"/>
    <s v="Andrews"/>
    <s v="josephandrews@montrose-env.com"/>
    <s v="Member"/>
    <s v="Active"/>
    <s v="ECT2 - Everyone at ECT2"/>
    <s v="Not enabled"/>
    <x v="22"/>
    <x v="22"/>
  </r>
  <r>
    <s v="joe"/>
    <s v="Gwarjanski"/>
    <s v="jgwarjanski@ect2.com"/>
    <s v="Member"/>
    <s v="Active"/>
    <s v="ECT2 - Everyone at ECT2"/>
    <s v="Not enabled"/>
    <x v="4"/>
    <x v="4"/>
  </r>
  <r>
    <s v="Joe"/>
    <s v="Kontur"/>
    <s v="jokontur@ect2.com"/>
    <s v="Member"/>
    <s v="Active"/>
    <s v="ECT2 - Everyone at ECT2"/>
    <s v="Not enabled"/>
    <x v="4"/>
    <x v="4"/>
  </r>
  <r>
    <s v="Joel"/>
    <s v="Szekel"/>
    <s v="joszekel@montrose-env.com"/>
    <s v="Member"/>
    <s v="Active"/>
    <m/>
    <s v="Enabled"/>
    <x v="52"/>
    <x v="52"/>
  </r>
  <r>
    <s v="Joey"/>
    <s v="Pousson"/>
    <s v="joeypousson@ect2.com"/>
    <s v="Member"/>
    <s v="Active"/>
    <m/>
    <s v="Enabled"/>
    <x v="4"/>
    <x v="4"/>
  </r>
  <r>
    <s v="John"/>
    <s v="Berry"/>
    <s v="jberry@ect2.com"/>
    <s v="Member"/>
    <s v="Active"/>
    <s v="ECT2 - Everyone at ECT2"/>
    <s v="Enabled"/>
    <x v="4"/>
    <x v="4"/>
  </r>
  <r>
    <s v="John"/>
    <s v="Gartland"/>
    <s v="jogartland@ect2.com"/>
    <s v="Member"/>
    <s v="Active"/>
    <m/>
    <s v="Not enabled"/>
    <x v="4"/>
    <x v="4"/>
  </r>
  <r>
    <s v="John"/>
    <s v="Pinkowski"/>
    <s v="jopinkowski@montrose-env.com"/>
    <s v="Member"/>
    <s v="Active"/>
    <s v="ECT2 - Everyone at ECT2"/>
    <s v="Not enabled"/>
    <x v="4"/>
    <x v="4"/>
  </r>
  <r>
    <s v="Jon"/>
    <s v="Gagne"/>
    <s v="jdgagne@ect2.com"/>
    <s v="Member"/>
    <s v="Active"/>
    <s v="ECT2 - Everyone at ECT2"/>
    <s v="Not enabled"/>
    <x v="4"/>
    <x v="4"/>
  </r>
  <r>
    <s v="Jose"/>
    <s v="Revuelta"/>
    <s v="jrevuelta@montrose-env.com"/>
    <s v="Member"/>
    <s v="Active"/>
    <m/>
    <s v="Enabled"/>
    <x v="53"/>
    <x v="53"/>
  </r>
  <r>
    <s v="Josh"/>
    <s v="Allen"/>
    <s v="joshuaallen@montrose-env.com"/>
    <s v="Member"/>
    <s v="Active"/>
    <m/>
    <s v="Enabled"/>
    <x v="7"/>
    <x v="7"/>
  </r>
  <r>
    <s v="Josh"/>
    <s v="Hill"/>
    <s v="johill@ect2.com"/>
    <s v="Member"/>
    <s v="Active"/>
    <s v="ECT2 - Everyone at ECT2"/>
    <s v="Not enabled"/>
    <x v="4"/>
    <x v="4"/>
  </r>
  <r>
    <s v="Julian"/>
    <s v="Fernandez-Obregon"/>
    <s v="jfernandez@montrose-env.com"/>
    <s v="Member"/>
    <s v="Active"/>
    <m/>
    <s v="Enabled"/>
    <x v="7"/>
    <x v="7"/>
  </r>
  <r>
    <s v="Justin"/>
    <s v="Murray"/>
    <s v="jmurray@ect2.com"/>
    <s v="Member"/>
    <s v="Active"/>
    <s v="ECT2 - Everyone at ECT2"/>
    <s v="Not enabled"/>
    <x v="4"/>
    <x v="4"/>
  </r>
  <r>
    <s v="Justo"/>
    <s v="Garcia"/>
    <s v="jugarcia@montrose-env.com"/>
    <s v="Member"/>
    <s v="Active"/>
    <m/>
    <s v="Not enabled"/>
    <x v="52"/>
    <x v="52"/>
  </r>
  <r>
    <s v="Karl"/>
    <s v="Lany"/>
    <s v="klany@montrose-env.com"/>
    <s v="Member"/>
    <s v="Active"/>
    <m/>
    <s v="Not enabled"/>
    <x v="54"/>
    <x v="54"/>
  </r>
  <r>
    <s v="Kate"/>
    <s v="Nguyen"/>
    <s v="katenguyen@montrose-env.com"/>
    <s v="Member"/>
    <s v="Active"/>
    <m/>
    <s v="Enabled"/>
    <x v="41"/>
    <x v="41"/>
  </r>
  <r>
    <s v="Kathleen"/>
    <s v="Lagnese"/>
    <s v="kalagnese@ect2.com"/>
    <s v="Member"/>
    <s v="Active"/>
    <m/>
    <s v="Enabled"/>
    <x v="4"/>
    <x v="4"/>
  </r>
  <r>
    <s v="Kathy"/>
    <s v="Zipp"/>
    <s v="kathy.zipp@enthalpy.com"/>
    <s v="Member"/>
    <s v="Active"/>
    <m/>
    <s v="Enabled"/>
    <x v="16"/>
    <x v="16"/>
  </r>
  <r>
    <s v="Katie"/>
    <s v="Mascetta"/>
    <s v="kamascetta@ect2.com"/>
    <s v="Member"/>
    <s v="Active"/>
    <s v="ECT2 - Everyone at ECT2"/>
    <s v="Enabled"/>
    <x v="11"/>
    <x v="11"/>
  </r>
  <r>
    <s v="Katrina"/>
    <s v="Bagwell"/>
    <s v="kbagwell@montrose-env.com"/>
    <s v="Member"/>
    <s v="Active"/>
    <m/>
    <s v="Enabled"/>
    <x v="55"/>
    <x v="55"/>
  </r>
  <r>
    <s v="Kelsey"/>
    <s v="Morton"/>
    <s v="kemorton@montrose-env.com"/>
    <s v="Member"/>
    <s v="Active"/>
    <m/>
    <s v="Not enabled"/>
    <x v="12"/>
    <x v="12"/>
  </r>
  <r>
    <s v="Ken"/>
    <s v="Kwong"/>
    <s v="kenkwong@montrose-env.com"/>
    <s v="Member"/>
    <s v="Active"/>
    <m/>
    <s v="Enabled"/>
    <x v="56"/>
    <x v="56"/>
  </r>
  <r>
    <s v="Kennedy"/>
    <s v="Lawson"/>
    <s v="kennedylawson@montrose-env.com"/>
    <s v="Member"/>
    <s v="Active"/>
    <m/>
    <s v="Enabled"/>
    <x v="12"/>
    <x v="12"/>
  </r>
  <r>
    <s v="Kerry"/>
    <s v="Hill"/>
    <s v="kehill@ect2.com"/>
    <s v="Member"/>
    <s v="Active"/>
    <m/>
    <s v="Not enabled"/>
    <x v="4"/>
    <x v="4"/>
  </r>
  <r>
    <s v="kevin"/>
    <s v="sparkas"/>
    <s v="kesparkas@ect2.com"/>
    <s v="Member"/>
    <s v="Active"/>
    <s v="ECT2 - Everyone at ECT2"/>
    <s v="Not enabled"/>
    <x v="4"/>
    <x v="4"/>
  </r>
  <r>
    <s v="Kirk"/>
    <s v="Kessler"/>
    <s v="kkessler@montrose-env.com"/>
    <s v="Member"/>
    <s v="Active"/>
    <m/>
    <s v="Enabled"/>
    <x v="9"/>
    <x v="9"/>
  </r>
  <r>
    <s v="Kosta"/>
    <s v="Voukidis"/>
    <s v="kovoukidis@montrose-env.com"/>
    <s v="Member"/>
    <s v="Active"/>
    <m/>
    <s v="Not enabled"/>
    <x v="4"/>
    <x v="4"/>
  </r>
  <r>
    <s v="Kyle"/>
    <s v="Cummings"/>
    <s v="kylecummings@montrose-env.com"/>
    <s v="Member"/>
    <s v="Active"/>
    <m/>
    <s v="Enabled"/>
    <x v="12"/>
    <x v="12"/>
  </r>
  <r>
    <s v="lalee"/>
    <m/>
    <s v="lalee@montrose-env.com"/>
    <s v="Member"/>
    <s v="Active"/>
    <m/>
    <s v="Not enabled"/>
    <x v="57"/>
    <x v="57"/>
  </r>
  <r>
    <s v="Lauren"/>
    <s v="Harrison"/>
    <s v="laharrison@ect2.com"/>
    <s v="Member"/>
    <s v="Active"/>
    <s v="ECT2 - Everyone at ECT2"/>
    <s v="Not enabled"/>
    <x v="4"/>
    <x v="4"/>
  </r>
  <r>
    <s v="leah"/>
    <s v="mistick"/>
    <s v="lmistick@montrose-env.com"/>
    <s v="Member"/>
    <s v="Active"/>
    <m/>
    <s v="Not enabled"/>
    <x v="12"/>
    <x v="12"/>
  </r>
  <r>
    <s v="Leandrew"/>
    <s v="Escobedo"/>
    <s v="leescobedo@montrose-env.com"/>
    <s v="Member"/>
    <s v="Active"/>
    <m/>
    <s v="Enabled"/>
    <x v="46"/>
    <x v="46"/>
  </r>
  <r>
    <s v="Leon"/>
    <s v="Aillaud"/>
    <s v="leonaillaud@montrose-env.com"/>
    <s v="Member"/>
    <s v="Active"/>
    <s v="ECT2 - Everyone at ECT2"/>
    <s v="Not enabled"/>
    <x v="4"/>
    <x v="4"/>
  </r>
  <r>
    <s v="Lindsey"/>
    <s v="Elvington"/>
    <s v="ext-lindseyelvington@montrose-env.com"/>
    <s v="Member"/>
    <s v="Active"/>
    <m/>
    <s v="Enabled"/>
    <x v="32"/>
    <x v="32"/>
  </r>
  <r>
    <s v="Loren"/>
    <s v="Marin"/>
    <s v="lorenmarin@montrose-env.com"/>
    <s v="Member"/>
    <s v="Active"/>
    <m/>
    <s v="Not enabled"/>
    <x v="58"/>
    <x v="58"/>
  </r>
  <r>
    <s v="lorinchamberlain"/>
    <m/>
    <s v="lorinchamberlain@montrose-env.com"/>
    <s v="Member"/>
    <s v="Active"/>
    <m/>
    <s v="Not enabled"/>
    <x v="26"/>
    <x v="26"/>
  </r>
  <r>
    <s v="Lottie"/>
    <s v="Franck"/>
    <s v="chfranck@ect2.com"/>
    <s v="Member"/>
    <s v="Active"/>
    <s v="ECT2 - Everyone at ECT2"/>
    <s v="Not enabled"/>
    <x v="4"/>
    <x v="4"/>
  </r>
  <r>
    <s v="Lowell"/>
    <s v="Gerber"/>
    <s v="lgerber@montrose-env.com"/>
    <s v="Member"/>
    <s v="Active"/>
    <m/>
    <s v="Enabled"/>
    <x v="59"/>
    <x v="59"/>
  </r>
  <r>
    <s v="Luis"/>
    <s v="Gonzalez"/>
    <s v="luisgonzalez@montrose-env.com"/>
    <s v="Member"/>
    <s v="Active"/>
    <s v="ECT2 - Everyone at ECT2"/>
    <s v="Enabled"/>
    <x v="4"/>
    <x v="4"/>
  </r>
  <r>
    <s v="Lydia"/>
    <s v="Work"/>
    <s v="lwork@montrose-env.com"/>
    <s v="Member"/>
    <s v="Active"/>
    <m/>
    <s v="Enabled"/>
    <x v="12"/>
    <x v="12"/>
  </r>
  <r>
    <s v="Madan"/>
    <s v="Tandukar"/>
    <s v="matandukar@ect2.com"/>
    <s v="Member"/>
    <s v="Active"/>
    <s v="ECT2 - Everyone at ECT2"/>
    <s v="Enabled"/>
    <x v="4"/>
    <x v="4"/>
  </r>
  <r>
    <s v="Madison"/>
    <s v="Alsbach"/>
    <s v="madisonalsbach@montrose-env.com"/>
    <s v="Member"/>
    <s v="Active"/>
    <m/>
    <s v="Enabled"/>
    <x v="10"/>
    <x v="10"/>
  </r>
  <r>
    <s v="Mallory"/>
    <s v="Ridgely"/>
    <s v="maridgely@montrose-env.com"/>
    <s v="Member"/>
    <s v="Active"/>
    <m/>
    <s v="Enabled"/>
    <x v="60"/>
    <x v="60"/>
  </r>
  <r>
    <s v="Marcus"/>
    <s v="Kirklen"/>
    <s v="chriskirklen@ect2.com"/>
    <s v="Member"/>
    <s v="Active"/>
    <m/>
    <s v="Enabled"/>
    <x v="4"/>
    <x v="4"/>
  </r>
  <r>
    <s v="Margaret"/>
    <s v="Thompson"/>
    <s v="mathompson@ect2.com"/>
    <s v="Member"/>
    <s v="Active"/>
    <s v="ECT2 - Everyone at ECT2"/>
    <s v="Enabled"/>
    <x v="15"/>
    <x v="15"/>
  </r>
  <r>
    <s v="Marilyn"/>
    <s v="Sinnett"/>
    <s v="marilynsinnett@ect2.com"/>
    <s v="Member"/>
    <s v="Active"/>
    <s v="ECT2 - Everyone at ECT2"/>
    <s v="Enabled"/>
    <x v="4"/>
    <x v="4"/>
  </r>
  <r>
    <s v="Marissa"/>
    <s v="Jerden"/>
    <s v="marissajerden@ect2.com"/>
    <s v="Member"/>
    <s v="Active"/>
    <m/>
    <s v="Not enabled"/>
    <x v="15"/>
    <x v="15"/>
  </r>
  <r>
    <s v="Mark"/>
    <s v="Davin"/>
    <s v="mjdavin@ect2.com"/>
    <s v="Member"/>
    <s v="Active"/>
    <m/>
    <s v="Not enabled"/>
    <x v="4"/>
    <x v="4"/>
  </r>
  <r>
    <s v="Mark"/>
    <s v="Kuffer"/>
    <s v="mark.kuffer@ect2.com"/>
    <s v="Member"/>
    <s v="Active"/>
    <s v="ECT2 - Everyone at ECT2"/>
    <s v="Not enabled"/>
    <x v="6"/>
    <x v="6"/>
  </r>
  <r>
    <s v="Mark"/>
    <s v="Loyd"/>
    <s v="mloyd@ect2.com"/>
    <s v="Member"/>
    <s v="Active"/>
    <m/>
    <s v="Not enabled"/>
    <x v="4"/>
    <x v="4"/>
  </r>
  <r>
    <s v="Mark"/>
    <s v="Rein"/>
    <s v="mark.rein@enthalpy.com"/>
    <s v="Member"/>
    <s v="Active"/>
    <m/>
    <s v="Enabled"/>
    <x v="16"/>
    <x v="16"/>
  </r>
  <r>
    <s v="Mathew"/>
    <s v="Coates"/>
    <s v="macoates@ect2.com"/>
    <s v="Member"/>
    <s v="Active"/>
    <m/>
    <s v="Not enabled"/>
    <x v="6"/>
    <x v="6"/>
  </r>
  <r>
    <s v="McKenzie"/>
    <s v="Tyler"/>
    <s v="mctyler@ect2.com"/>
    <s v="Member"/>
    <s v="Active"/>
    <s v="ECT2 - Everyone at ECT2"/>
    <s v="Not enabled"/>
    <x v="4"/>
    <x v="4"/>
  </r>
  <r>
    <s v="miaweaver"/>
    <m/>
    <s v="miaweaver@ect2.com"/>
    <s v="Member"/>
    <s v="Active"/>
    <s v="ECT2 - Everyone at ECT2"/>
    <s v="Not enabled"/>
    <x v="4"/>
    <x v="4"/>
  </r>
  <r>
    <s v="Michael"/>
    <s v="Rockel"/>
    <s v="mkrockel@montrose-env.com"/>
    <s v="Member"/>
    <s v="Active"/>
    <m/>
    <s v="Enabled"/>
    <x v="61"/>
    <x v="61"/>
  </r>
  <r>
    <s v="Michael"/>
    <s v="Sims"/>
    <s v="msims@ect2.com"/>
    <s v="Member"/>
    <s v="Active"/>
    <s v="ECT2 - Everyone at ECT2"/>
    <s v="Not enabled"/>
    <x v="4"/>
    <x v="4"/>
  </r>
  <r>
    <s v="Michael"/>
    <s v="Stevenson"/>
    <s v="mistevenson@montrose-env.com"/>
    <s v="Member"/>
    <s v="Active"/>
    <m/>
    <s v="Enabled"/>
    <x v="41"/>
    <x v="41"/>
  </r>
  <r>
    <s v="michaeltaylor"/>
    <m/>
    <s v="michaeltaylor@ect2.com"/>
    <s v="Member"/>
    <s v="Active"/>
    <m/>
    <s v="Not enabled"/>
    <x v="4"/>
    <x v="4"/>
  </r>
  <r>
    <s v="Michal"/>
    <s v="Vacho"/>
    <s v="mivacho@ect2.com"/>
    <s v="Member"/>
    <s v="Active"/>
    <s v="ECT2 - Everyone at ECT2"/>
    <s v="Not enabled"/>
    <x v="6"/>
    <x v="6"/>
  </r>
  <r>
    <s v="Mieko"/>
    <s v="Takeshita"/>
    <s v="miekotakeshita@montrose-env.com"/>
    <s v="Member"/>
    <s v="Active"/>
    <m/>
    <s v="Enabled"/>
    <x v="32"/>
    <x v="32"/>
  </r>
  <r>
    <s v="Mike"/>
    <s v="Nickelsen"/>
    <s v="mnickelsen@ect2.com"/>
    <s v="Member"/>
    <s v="Active"/>
    <s v="ECT2 - Everyone at ECT2"/>
    <s v="Not enabled"/>
    <x v="15"/>
    <x v="15"/>
  </r>
  <r>
    <s v="MItchell"/>
    <s v="Esparza"/>
    <s v="mitchellesparza@ect2.com"/>
    <s v="Member"/>
    <s v="Active"/>
    <m/>
    <s v="Enabled"/>
    <x v="4"/>
    <x v="4"/>
  </r>
  <r>
    <s v="Monica"/>
    <s v="Moreno"/>
    <s v="monicamoreno@montrose-env.com"/>
    <s v="Member"/>
    <s v="Active"/>
    <m/>
    <s v="Enabled"/>
    <x v="20"/>
    <x v="20"/>
  </r>
  <r>
    <s v="mynormasaya"/>
    <m/>
    <s v="mynormasaya@ect2.com"/>
    <s v="Member"/>
    <s v="Active"/>
    <s v="ECT2 - Everyone at ECT2"/>
    <s v="Not enabled"/>
    <x v="4"/>
    <x v="4"/>
  </r>
  <r>
    <s v="Nancy"/>
    <s v="White"/>
    <s v="nawhite@ect2.com"/>
    <s v="Member"/>
    <s v="Active"/>
    <s v="ECT2 - Everyone at ECT2"/>
    <s v="Enabled"/>
    <x v="28"/>
    <x v="28"/>
  </r>
  <r>
    <s v="Narayan"/>
    <s v="Upreti"/>
    <s v="narayanupreti@montrose-env.com"/>
    <s v="Member"/>
    <s v="Active"/>
    <m/>
    <s v="Enabled"/>
    <x v="17"/>
    <x v="17"/>
  </r>
  <r>
    <s v="Nasym"/>
    <s v="Afsari"/>
    <s v="nafsari@montrose-env.com"/>
    <s v="Member"/>
    <s v="Active"/>
    <s v="Legal"/>
    <s v="Enabled"/>
    <x v="53"/>
    <x v="53"/>
  </r>
  <r>
    <s v="Nathan"/>
    <s v="Brandwein"/>
    <s v="nathanbrandwein@montrose-env.com"/>
    <s v="Member"/>
    <s v="Active"/>
    <m/>
    <s v="Enabled"/>
    <x v="17"/>
    <x v="17"/>
  </r>
  <r>
    <s v="Nathan"/>
    <s v="Dunford"/>
    <s v="nathandunford@ect2.com"/>
    <s v="Member"/>
    <s v="Active"/>
    <m/>
    <s v="Enabled"/>
    <x v="4"/>
    <x v="4"/>
  </r>
  <r>
    <s v="Nathan"/>
    <s v="Krohne"/>
    <s v="nakrohne@montrose-env.com"/>
    <s v="Member"/>
    <s v="Active"/>
    <m/>
    <s v="Enabled"/>
    <x v="62"/>
    <x v="62"/>
  </r>
  <r>
    <s v="Nestor"/>
    <s v="Gonzalez"/>
    <s v="ngonzalez@montrose-env.com"/>
    <s v="Member"/>
    <s v="Active"/>
    <m/>
    <s v="Enabled"/>
    <x v="50"/>
    <x v="50"/>
  </r>
  <r>
    <s v="Nicholas"/>
    <s v="Basil"/>
    <s v="nibasil@montrose-env.com"/>
    <s v="Member"/>
    <s v="Active"/>
    <m/>
    <s v="Enabled"/>
    <x v="63"/>
    <x v="63"/>
  </r>
  <r>
    <s v="Nicholas"/>
    <s v="Loyd"/>
    <s v="nmloyd@ect2.com"/>
    <s v="Member"/>
    <s v="Active"/>
    <s v="ECT2 - Everyone at ECT2"/>
    <s v="Not enabled"/>
    <x v="4"/>
    <x v="4"/>
  </r>
  <r>
    <s v="Nicholas"/>
    <s v="Welch"/>
    <s v="niwelch@montrose-env.com"/>
    <s v="Member"/>
    <s v="Active"/>
    <m/>
    <s v="Not enabled"/>
    <x v="22"/>
    <x v="22"/>
  </r>
  <r>
    <s v="Nick"/>
    <s v="Backman"/>
    <s v="nicholasbackman@ect2.com"/>
    <s v="Member"/>
    <s v="Active"/>
    <s v="ECT2 - Everyone at ECT2"/>
    <s v="Not enabled"/>
    <x v="2"/>
    <x v="2"/>
  </r>
  <r>
    <s v="Nick"/>
    <s v="Crosthwaite"/>
    <s v="nickcrosthwaite@montrose-env.com"/>
    <s v="Member"/>
    <s v="Active"/>
    <m/>
    <s v="Enabled"/>
    <x v="10"/>
    <x v="10"/>
  </r>
  <r>
    <s v="Olivia"/>
    <s v="Almada"/>
    <s v="oalmada@montrose-env.com"/>
    <s v="Member"/>
    <s v="Active"/>
    <m/>
    <s v="Enabled"/>
    <x v="18"/>
    <x v="18"/>
  </r>
  <r>
    <s v="Olivia"/>
    <s v="Woker"/>
    <s v="oliviawoker@montrose-env.com"/>
    <s v="Member"/>
    <s v="Active"/>
    <m/>
    <s v="Not enabled"/>
    <x v="10"/>
    <x v="10"/>
  </r>
  <r>
    <s v="Owen"/>
    <s v="Gillick"/>
    <s v="owengillick@montrose-env.com"/>
    <s v="Member"/>
    <s v="Active"/>
    <m/>
    <s v="Enabled"/>
    <x v="41"/>
    <x v="41"/>
  </r>
  <r>
    <s v="Pablo"/>
    <s v="Naufal"/>
    <s v="panaufal@ect2.com"/>
    <s v="Member"/>
    <s v="Active"/>
    <m/>
    <s v="Not enabled"/>
    <x v="4"/>
    <x v="4"/>
  </r>
  <r>
    <s v="Paige"/>
    <s v="Anaya"/>
    <s v="paanaya@ect2.com"/>
    <s v="Member"/>
    <s v="Active"/>
    <s v="ECT2 - Everyone at ECT2"/>
    <s v="Not enabled"/>
    <x v="64"/>
    <x v="64"/>
  </r>
  <r>
    <s v="Pamela"/>
    <s v="Derk"/>
    <s v="pameladerk@montrose-env.com"/>
    <s v="Member"/>
    <s v="Active"/>
    <m/>
    <s v="Not enabled"/>
    <x v="22"/>
    <x v="22"/>
  </r>
  <r>
    <s v="Patrick"/>
    <s v="McKeown"/>
    <s v="pmckeown@ect2.com"/>
    <s v="Member"/>
    <s v="Active"/>
    <s v="ECT2 - Everyone at ECT2"/>
    <s v="Enabled"/>
    <x v="2"/>
    <x v="2"/>
  </r>
  <r>
    <s v="paul"/>
    <s v="ardler"/>
    <s v="paulardler@ect2.com"/>
    <s v="Member"/>
    <s v="Active"/>
    <s v="ECT2 - Everyone at ECT2"/>
    <s v="Enabled"/>
    <x v="6"/>
    <x v="6"/>
  </r>
  <r>
    <s v="Paul"/>
    <s v="Esquivel"/>
    <s v="pesquivel@montrose-env.com"/>
    <s v="Member"/>
    <s v="Active"/>
    <m/>
    <s v="Enabled"/>
    <x v="56"/>
    <x v="56"/>
  </r>
  <r>
    <s v="Paul"/>
    <s v="Newman"/>
    <s v="panewman@ect2.com"/>
    <s v="Member"/>
    <s v="Active"/>
    <s v="ECT2 - Everyone at ECT2"/>
    <s v="Not enabled"/>
    <x v="2"/>
    <x v="2"/>
  </r>
  <r>
    <s v="Paul"/>
    <s v="Rodriguez"/>
    <s v="parodriguez@ect2.com"/>
    <s v="Member"/>
    <s v="Active"/>
    <m/>
    <s v="Not enabled"/>
    <x v="15"/>
    <x v="15"/>
  </r>
  <r>
    <s v="Paul"/>
    <s v="Zimmermnn"/>
    <s v="pzimmermann@ect2.com"/>
    <s v="Member"/>
    <s v="Active"/>
    <s v="ECT2 - Everyone at ECT2"/>
    <s v="Not enabled"/>
    <x v="4"/>
    <x v="4"/>
  </r>
  <r>
    <s v="Paula"/>
    <s v="Dunn"/>
    <s v="padunn@ect2.com"/>
    <s v="Member"/>
    <s v="Active"/>
    <s v="ECT2 - Everyone at ECT2"/>
    <s v="Not enabled"/>
    <x v="65"/>
    <x v="65"/>
  </r>
  <r>
    <s v="Paula"/>
    <s v="Mandarino"/>
    <s v="ext-paulamandarino@montrose-env.com"/>
    <s v="Member"/>
    <s v="Active"/>
    <m/>
    <s v="Enabled"/>
    <x v="32"/>
    <x v="32"/>
  </r>
  <r>
    <s v="Peter"/>
    <s v="Small"/>
    <s v="petersmall@ect2.com"/>
    <s v="Member"/>
    <s v="Active"/>
    <s v="ECT2 - Everyone at ECT2"/>
    <s v="Not enabled"/>
    <x v="4"/>
    <x v="4"/>
  </r>
  <r>
    <s v="Philip"/>
    <s v="Alia"/>
    <s v="philipalia@montrose-env.com"/>
    <s v="Member"/>
    <s v="Active"/>
    <s v="ECT2 - Everyone at ECT2"/>
    <s v="Enabled"/>
    <x v="66"/>
    <x v="66"/>
  </r>
  <r>
    <s v="philip"/>
    <b v="1"/>
    <s v="phtrue@ect2.com"/>
    <s v="Member"/>
    <s v="Active"/>
    <m/>
    <s v="Not enabled"/>
    <x v="4"/>
    <x v="4"/>
  </r>
  <r>
    <s v="Randal"/>
    <s v="Marks"/>
    <s v="ramarks@ect2.com"/>
    <s v="Member"/>
    <s v="Active"/>
    <s v="ECT2 - Everyone at ECT2"/>
    <s v="Not enabled"/>
    <x v="4"/>
    <x v="4"/>
  </r>
  <r>
    <s v="Renee"/>
    <s v="Fang"/>
    <s v="reneefang@enthalpy.com"/>
    <s v="Member"/>
    <s v="Active"/>
    <m/>
    <s v="Enabled"/>
    <x v="44"/>
    <x v="44"/>
  </r>
  <r>
    <s v="Richard"/>
    <s v="Esteves"/>
    <s v="riesteves@ect2.com"/>
    <s v="Member"/>
    <s v="Active"/>
    <s v="ECT2 - Everyone at ECT2"/>
    <s v="Not enabled"/>
    <x v="15"/>
    <x v="15"/>
  </r>
  <r>
    <s v="Richard"/>
    <s v="Hankinson"/>
    <s v="richardhankinson@montrose-env.com"/>
    <s v="Member"/>
    <s v="Active"/>
    <m/>
    <s v="Enabled"/>
    <x v="18"/>
    <x v="18"/>
  </r>
  <r>
    <s v="Richard"/>
    <s v="Kepp"/>
    <s v="rkepp@montrose-env.com"/>
    <s v="Member"/>
    <s v="Active"/>
    <m/>
    <s v="Enabled"/>
    <x v="18"/>
    <x v="18"/>
  </r>
  <r>
    <s v="Richard"/>
    <s v="Villafania"/>
    <s v="richard.villafania@enthalpy.com"/>
    <s v="Member"/>
    <s v="Active"/>
    <m/>
    <s v="Enabled"/>
    <x v="67"/>
    <x v="67"/>
  </r>
  <r>
    <s v="richardvercammen"/>
    <m/>
    <s v="richardvercammen@ect2.com"/>
    <s v="Member"/>
    <s v="Active"/>
    <s v="ECT2 - Everyone at ECT2"/>
    <s v="Not enabled"/>
    <x v="4"/>
    <x v="4"/>
  </r>
  <r>
    <s v="Robert"/>
    <s v="Angius"/>
    <s v="robertangius@ect2.com"/>
    <s v="Member"/>
    <s v="Active"/>
    <s v="ECT2 - Everyone at ECT2"/>
    <s v="Enabled"/>
    <x v="2"/>
    <x v="2"/>
  </r>
  <r>
    <s v="Robert"/>
    <s v="Espinoza"/>
    <s v="robertespinoza@ect2.com"/>
    <s v="Member"/>
    <s v="Active"/>
    <m/>
    <s v="Enabled"/>
    <x v="4"/>
    <x v="4"/>
  </r>
  <r>
    <s v="Roberto"/>
    <s v="Gama"/>
    <s v="rgama@ect2.com"/>
    <s v="Member"/>
    <s v="Active"/>
    <s v="ECT2 - Everyone at ECT2"/>
    <s v="Not enabled"/>
    <x v="4"/>
    <x v="4"/>
  </r>
  <r>
    <s v="Roman"/>
    <s v="Schlichting"/>
    <s v="romanschlichting@montrose-env.com"/>
    <s v="Member"/>
    <s v="Active"/>
    <s v="ECT2 - Everyone at ECT2"/>
    <s v="Not enabled"/>
    <x v="4"/>
    <x v="4"/>
  </r>
  <r>
    <s v="Ross"/>
    <s v="Hipple"/>
    <s v="rosshipple@montrose-env.com"/>
    <s v="Member"/>
    <s v="Active"/>
    <m/>
    <s v="Enabled"/>
    <x v="68"/>
    <x v="68"/>
  </r>
  <r>
    <s v="Rowan"/>
    <s v="Griffiths"/>
    <s v="rowangriffiths@montrose-env.com"/>
    <s v="Member"/>
    <s v="Active"/>
    <s v="ECT2 - Everyone at ECT2"/>
    <s v="Not enabled"/>
    <x v="4"/>
    <x v="4"/>
  </r>
  <r>
    <s v="Ryan"/>
    <s v="Conley"/>
    <s v="ryanconley@montrose-env.com"/>
    <s v="Member"/>
    <s v="Active"/>
    <m/>
    <s v="Enabled"/>
    <x v="69"/>
    <x v="69"/>
  </r>
  <r>
    <s v="Rylee"/>
    <s v="Pinsonneault"/>
    <s v="rypinsonneault@ect2.com"/>
    <s v="Member"/>
    <s v="Active"/>
    <s v="ECT2 - Everyone at ECT2"/>
    <s v="Enabled"/>
    <x v="4"/>
    <x v="4"/>
  </r>
  <r>
    <s v="Sabrina"/>
    <s v="Liding"/>
    <s v="sabrinaliding@montrose-env.com"/>
    <s v="Member"/>
    <s v="Active"/>
    <m/>
    <s v="Enabled"/>
    <x v="17"/>
    <x v="17"/>
  </r>
  <r>
    <s v="Samantha"/>
    <s v="Robinson"/>
    <s v="scrobinson@montrose-env.com"/>
    <s v="Member"/>
    <s v="Active"/>
    <s v="ECT2 - Everyone at ECT2"/>
    <s v="Not enabled"/>
    <x v="28"/>
    <x v="28"/>
  </r>
  <r>
    <s v="Sandra"/>
    <s v="Wynkoop"/>
    <s v="swynkoop@ect2.com"/>
    <s v="Member"/>
    <s v="Active"/>
    <s v="ECT2 - Everyone at ECT2"/>
    <s v="Enabled"/>
    <x v="4"/>
    <x v="4"/>
  </r>
  <r>
    <s v="Scott"/>
    <s v="Brown"/>
    <s v="scbrown@montrose-env.com"/>
    <s v="Member"/>
    <s v="Active"/>
    <m/>
    <s v="Enabled"/>
    <x v="70"/>
    <x v="70"/>
  </r>
  <r>
    <s v="Scott"/>
    <s v="Churbock"/>
    <s v="schurbock@montrose-env.com"/>
    <s v="Member"/>
    <s v="Active"/>
    <m/>
    <s v="Enabled"/>
    <x v="53"/>
    <x v="53"/>
  </r>
  <r>
    <s v="Scott"/>
    <s v="Hanna"/>
    <s v="scotthanna@ect2.com"/>
    <s v="Member"/>
    <s v="Active"/>
    <s v="ECT2 - Everyone at ECT2"/>
    <s v="Enabled"/>
    <x v="4"/>
    <x v="4"/>
  </r>
  <r>
    <s v="Sean"/>
    <s v="Donovan"/>
    <s v="sdonovan@montrose-env.com"/>
    <s v="Member"/>
    <s v="Active"/>
    <m/>
    <s v="Not enabled"/>
    <x v="46"/>
    <x v="46"/>
  </r>
  <r>
    <s v="Sebastian"/>
    <s v="Pelky"/>
    <s v="sepelky@ect2.com"/>
    <s v="Member"/>
    <s v="Active"/>
    <s v="ECT2 - Everyone at ECT2"/>
    <s v="Not enabled"/>
    <x v="4"/>
    <x v="4"/>
  </r>
  <r>
    <s v="Shad"/>
    <s v="Manning"/>
    <s v="shadmanning@montrose-env.com"/>
    <s v="Member"/>
    <s v="Active"/>
    <m/>
    <s v="Enabled"/>
    <x v="17"/>
    <x v="17"/>
  </r>
  <r>
    <s v="Shane"/>
    <s v="Mascitelli"/>
    <s v="smascitelli@montrose-env.com"/>
    <s v="Member"/>
    <s v="Active"/>
    <m/>
    <s v="Enabled"/>
    <x v="26"/>
    <x v="26"/>
  </r>
  <r>
    <s v="Shaun"/>
    <s v="Gilday"/>
    <s v="shgilday@montrose-env.com"/>
    <s v="Member"/>
    <s v="Active"/>
    <m/>
    <s v="Enabled"/>
    <x v="60"/>
    <x v="60"/>
  </r>
  <r>
    <s v="Shelley"/>
    <s v="Whalan-Daniels"/>
    <s v="shwhalandaniels@ect2.com"/>
    <s v="Member"/>
    <s v="Active"/>
    <s v="ECT2 - Everyone at ECT2"/>
    <s v="Not enabled"/>
    <x v="65"/>
    <x v="65"/>
  </r>
  <r>
    <s v="Solomon"/>
    <s v="Rios"/>
    <s v="sorios@montrose-env.com"/>
    <s v="Member"/>
    <s v="Active"/>
    <m/>
    <s v="Not enabled"/>
    <x v="17"/>
    <x v="17"/>
  </r>
  <r>
    <s v="Sonja"/>
    <s v="Pastora Rodriguez"/>
    <s v="ofeliarodriguez@montrose-env.com"/>
    <s v="Member"/>
    <s v="Active"/>
    <m/>
    <s v="Enabled"/>
    <x v="20"/>
    <x v="20"/>
  </r>
  <r>
    <s v="Sophia"/>
    <s v="Carson"/>
    <s v="sophiacarson@ect2.com"/>
    <s v="Member"/>
    <s v="Active"/>
    <m/>
    <s v="Not enabled"/>
    <x v="15"/>
    <x v="15"/>
  </r>
  <r>
    <s v="Stephen"/>
    <s v="Cross"/>
    <s v="stephencross@ect2.com"/>
    <s v="Member"/>
    <s v="Active"/>
    <s v="ECT2 - Everyone at ECT2"/>
    <s v="Not enabled"/>
    <x v="4"/>
    <x v="4"/>
  </r>
  <r>
    <s v="Steve"/>
    <s v="Woodard"/>
    <s v="swoodard@ect2.com"/>
    <s v="Member"/>
    <s v="Active"/>
    <s v="ECT2 - Everyone at ECT2"/>
    <s v="Enabled"/>
    <x v="37"/>
    <x v="37"/>
  </r>
  <r>
    <s v="Steve"/>
    <s v="Yuchs"/>
    <s v="syuchs@montrose-env.com"/>
    <s v="Member"/>
    <s v="Active"/>
    <m/>
    <s v="Not enabled"/>
    <x v="71"/>
    <x v="71"/>
  </r>
  <r>
    <s v="Steven"/>
    <s v="Behnken"/>
    <s v="stevenbehnken@ect2.com"/>
    <s v="Member"/>
    <s v="Active"/>
    <s v="ECT2 - Everyone at ECT2"/>
    <s v="Enabled"/>
    <x v="4"/>
    <x v="4"/>
  </r>
  <r>
    <s v="Susan"/>
    <s v="Pearce"/>
    <s v="smpearce@montrose-env.com"/>
    <s v="Member"/>
    <s v="Active"/>
    <m/>
    <s v="Not enabled"/>
    <x v="24"/>
    <x v="24"/>
  </r>
  <r>
    <s v="Susannah"/>
    <s v="Kiteck"/>
    <s v="susannahkiteck@montrose-env.com"/>
    <s v="Member"/>
    <s v="Active"/>
    <m/>
    <s v="Enabled"/>
    <x v="24"/>
    <x v="24"/>
  </r>
  <r>
    <s v="Tammy"/>
    <s v="Hovey"/>
    <s v="tammyhovey@montrose-env.com"/>
    <s v="Member"/>
    <s v="Active"/>
    <m/>
    <s v="Enabled"/>
    <x v="32"/>
    <x v="32"/>
  </r>
  <r>
    <s v="Tammy"/>
    <s v="Noel"/>
    <s v="tanoel@montrose-env.com"/>
    <s v="Member"/>
    <s v="Active"/>
    <m/>
    <s v="Enabled"/>
    <x v="72"/>
    <x v="72"/>
  </r>
  <r>
    <s v="Taylor"/>
    <s v="Sands"/>
    <s v="tasands@ect2.com"/>
    <s v="Member"/>
    <s v="Active"/>
    <s v="ECT2 - Everyone at ECT2"/>
    <s v="Not enabled"/>
    <x v="4"/>
    <x v="4"/>
  </r>
  <r>
    <s v="Thomas"/>
    <s v="Guidry"/>
    <s v="tfguidry@montrose-env.com"/>
    <s v="Member"/>
    <s v="Active"/>
    <m/>
    <s v="Not enabled"/>
    <x v="43"/>
    <x v="43"/>
  </r>
  <r>
    <s v="Thomas"/>
    <s v="Helmich"/>
    <s v="thhelmich@montrose-env.com"/>
    <s v="Member"/>
    <s v="Active"/>
    <m/>
    <s v="Enabled"/>
    <x v="7"/>
    <x v="7"/>
  </r>
  <r>
    <s v="Thomas"/>
    <s v="Tilk"/>
    <s v="thtilk@ect2.com"/>
    <s v="Member"/>
    <s v="Active"/>
    <s v="ECT2 - Everyone at ECT2"/>
    <s v="Not enabled"/>
    <x v="4"/>
    <x v="4"/>
  </r>
  <r>
    <s v="Tom"/>
    <s v="Engels"/>
    <s v="tmengels@montrose-env.com"/>
    <s v="Member"/>
    <s v="Active"/>
    <m/>
    <s v="Enabled"/>
    <x v="24"/>
    <x v="24"/>
  </r>
  <r>
    <s v="Toni"/>
    <s v="Sebenick"/>
    <s v="tosebenick@ect2.com"/>
    <s v="Member"/>
    <s v="Active"/>
    <s v="ECT2 - Everyone at ECT2"/>
    <s v="Not enabled"/>
    <x v="28"/>
    <x v="28"/>
  </r>
  <r>
    <s v="Tyler"/>
    <s v="Hubble"/>
    <s v="tylerhubble@enthalpy.com"/>
    <s v="Member"/>
    <s v="Active"/>
    <m/>
    <s v="Enabled"/>
    <x v="73"/>
    <x v="73"/>
  </r>
  <r>
    <s v="Umut"/>
    <s v="Saltik"/>
    <s v="umutsaltik@montrose-env.com"/>
    <s v="Member"/>
    <s v="Active"/>
    <m/>
    <s v="Enabled"/>
    <x v="41"/>
    <x v="41"/>
  </r>
  <r>
    <s v="Vahik"/>
    <s v="Aboolian"/>
    <s v="vahikaboolian@montrose-env.com"/>
    <s v="Member"/>
    <s v="Active"/>
    <s v="ECT2 - Everyone at ECT2"/>
    <s v="Not enabled"/>
    <x v="4"/>
    <x v="4"/>
  </r>
  <r>
    <s v="Wendy"/>
    <s v="Huang"/>
    <s v="whuang@montrose-env.com"/>
    <s v="Member"/>
    <s v="Active"/>
    <s v="Legal"/>
    <s v="Enabled"/>
    <x v="21"/>
    <x v="21"/>
  </r>
  <r>
    <s v="Will"/>
    <s v="Breeden"/>
    <s v="wibreeden@montrose-env.com"/>
    <s v="Member"/>
    <s v="Active"/>
    <m/>
    <s v="Enabled"/>
    <x v="22"/>
    <x v="22"/>
  </r>
  <r>
    <s v="Will"/>
    <s v="Rice"/>
    <s v="will.rice@enthalpy.com"/>
    <s v="Member"/>
    <s v="Active"/>
    <m/>
    <s v="Not enabled"/>
    <x v="74"/>
    <x v="74"/>
  </r>
  <r>
    <s v="William"/>
    <s v="Ulrich"/>
    <s v="wiulrich@ect2.com"/>
    <s v="Member"/>
    <s v="Active"/>
    <s v="ECT2 - Everyone at ECT2"/>
    <s v="Not enabled"/>
    <x v="4"/>
    <x v="4"/>
  </r>
  <r>
    <s v="Yasmine"/>
    <s v="Florent"/>
    <s v="yasmineflorent@montrose-env.com"/>
    <s v="Member"/>
    <s v="Active"/>
    <m/>
    <s v="Enabled"/>
    <x v="12"/>
    <x v="12"/>
  </r>
  <r>
    <s v="Yerbol"/>
    <s v="Myrzagulov"/>
    <s v="yerbolmyrzagulov@ect2.com"/>
    <s v="Member"/>
    <s v="Active"/>
    <m/>
    <s v="Enabled"/>
    <x v="4"/>
    <x v="4"/>
  </r>
  <r>
    <s v="Zachary"/>
    <s v="Barker"/>
    <s v="zach.barker@enthalpy.com"/>
    <s v="Member"/>
    <s v="Active"/>
    <m/>
    <s v="Enabled"/>
    <x v="74"/>
    <x v="74"/>
  </r>
  <r>
    <s v="Zachary"/>
    <s v="Cornejo"/>
    <s v="zacharycornejo@montrose-env.com"/>
    <s v="Member"/>
    <s v="Active"/>
    <m/>
    <s v="Enabled"/>
    <x v="24"/>
    <x v="24"/>
  </r>
  <r>
    <s v="Zara"/>
    <s v="Nyhus"/>
    <s v="zanyhus@montrose-env.com"/>
    <s v="Member"/>
    <s v="Active"/>
    <m/>
    <s v="Not enabled"/>
    <x v="22"/>
    <x v="22"/>
  </r>
  <r>
    <s v="Zella"/>
    <s v="Neal"/>
    <s v="zellaneal@ect2.com"/>
    <s v="Member"/>
    <s v="Active"/>
    <s v="ECT2 - Everyone at ECT2"/>
    <s v="Enabled"/>
    <x v="28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09E7B-0086-45B6-B2F9-B94DA1C032EA}" name="PivotTable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9" firstHeaderRow="1" firstDataRow="1" firstDataCol="2"/>
  <pivotFields count="9"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5">
        <item x="46"/>
        <item x="68"/>
        <item x="50"/>
        <item x="19"/>
        <item x="39"/>
        <item x="70"/>
        <item x="38"/>
        <item x="26"/>
        <item x="58"/>
        <item x="56"/>
        <item x="59"/>
        <item x="67"/>
        <item x="40"/>
        <item x="44"/>
        <item x="30"/>
        <item x="27"/>
        <item x="62"/>
        <item x="17"/>
        <item x="55"/>
        <item x="4"/>
        <item x="65"/>
        <item x="45"/>
        <item x="6"/>
        <item x="3"/>
        <item x="54"/>
        <item x="47"/>
        <item x="53"/>
        <item x="41"/>
        <item x="21"/>
        <item x="1"/>
        <item x="18"/>
        <item x="52"/>
        <item x="32"/>
        <item x="31"/>
        <item x="8"/>
        <item x="42"/>
        <item x="28"/>
        <item x="11"/>
        <item x="34"/>
        <item x="66"/>
        <item x="23"/>
        <item x="57"/>
        <item x="37"/>
        <item x="43"/>
        <item x="72"/>
        <item x="16"/>
        <item x="22"/>
        <item x="20"/>
        <item x="7"/>
        <item x="9"/>
        <item x="51"/>
        <item x="24"/>
        <item x="49"/>
        <item x="48"/>
        <item x="71"/>
        <item x="13"/>
        <item x="12"/>
        <item x="5"/>
        <item x="35"/>
        <item x="25"/>
        <item x="69"/>
        <item x="74"/>
        <item x="36"/>
        <item x="2"/>
        <item x="15"/>
        <item x="60"/>
        <item x="29"/>
        <item x="33"/>
        <item x="10"/>
        <item x="73"/>
        <item x="61"/>
        <item x="63"/>
        <item x="0"/>
        <item x="14"/>
        <item x="64"/>
      </items>
    </pivotField>
    <pivotField axis="axisRow" compact="0" outline="0" showAll="0" defaultSubtotal="0">
      <items count="75">
        <item x="65"/>
        <item x="23"/>
        <item x="45"/>
        <item x="36"/>
        <item x="6"/>
        <item x="29"/>
        <item x="33"/>
        <item x="26"/>
        <item x="42"/>
        <item x="8"/>
        <item x="25"/>
        <item x="69"/>
        <item x="60"/>
        <item x="55"/>
        <item x="72"/>
        <item x="20"/>
        <item x="24"/>
        <item x="63"/>
        <item x="57"/>
        <item x="51"/>
        <item x="14"/>
        <item x="47"/>
        <item x="9"/>
        <item x="64"/>
        <item x="17"/>
        <item x="54"/>
        <item x="3"/>
        <item x="27"/>
        <item x="62"/>
        <item x="10"/>
        <item x="12"/>
        <item x="5"/>
        <item x="43"/>
        <item x="0"/>
        <item x="53"/>
        <item x="41"/>
        <item x="35"/>
        <item x="1"/>
        <item x="21"/>
        <item x="52"/>
        <item x="32"/>
        <item x="37"/>
        <item x="18"/>
        <item x="22"/>
        <item x="28"/>
        <item x="11"/>
        <item x="66"/>
        <item x="15"/>
        <item x="34"/>
        <item x="2"/>
        <item x="4"/>
        <item x="73"/>
        <item x="40"/>
        <item x="16"/>
        <item x="67"/>
        <item x="44"/>
        <item x="30"/>
        <item x="74"/>
        <item x="56"/>
        <item x="58"/>
        <item x="59"/>
        <item x="61"/>
        <item x="7"/>
        <item x="71"/>
        <item x="49"/>
        <item x="48"/>
        <item x="13"/>
        <item x="68"/>
        <item x="70"/>
        <item x="19"/>
        <item x="38"/>
        <item x="31"/>
        <item x="50"/>
        <item x="46"/>
        <item x="39"/>
      </items>
    </pivotField>
  </pivotFields>
  <rowFields count="2">
    <field x="7"/>
    <field x="8"/>
  </rowFields>
  <rowItems count="76">
    <i>
      <x/>
      <x v="73"/>
    </i>
    <i>
      <x v="1"/>
      <x v="67"/>
    </i>
    <i>
      <x v="2"/>
      <x v="72"/>
    </i>
    <i>
      <x v="3"/>
      <x v="69"/>
    </i>
    <i>
      <x v="4"/>
      <x v="74"/>
    </i>
    <i>
      <x v="5"/>
      <x v="68"/>
    </i>
    <i>
      <x v="6"/>
      <x v="70"/>
    </i>
    <i>
      <x v="7"/>
      <x v="7"/>
    </i>
    <i>
      <x v="8"/>
      <x v="59"/>
    </i>
    <i>
      <x v="9"/>
      <x v="58"/>
    </i>
    <i>
      <x v="10"/>
      <x v="60"/>
    </i>
    <i>
      <x v="11"/>
      <x v="54"/>
    </i>
    <i>
      <x v="12"/>
      <x v="52"/>
    </i>
    <i>
      <x v="13"/>
      <x v="55"/>
    </i>
    <i>
      <x v="14"/>
      <x v="56"/>
    </i>
    <i>
      <x v="15"/>
      <x v="27"/>
    </i>
    <i>
      <x v="16"/>
      <x v="28"/>
    </i>
    <i>
      <x v="17"/>
      <x v="24"/>
    </i>
    <i>
      <x v="18"/>
      <x v="13"/>
    </i>
    <i>
      <x v="19"/>
      <x v="50"/>
    </i>
    <i>
      <x v="20"/>
      <x/>
    </i>
    <i>
      <x v="21"/>
      <x v="2"/>
    </i>
    <i>
      <x v="22"/>
      <x v="4"/>
    </i>
    <i>
      <x v="23"/>
      <x v="26"/>
    </i>
    <i>
      <x v="24"/>
      <x v="25"/>
    </i>
    <i>
      <x v="25"/>
      <x v="21"/>
    </i>
    <i>
      <x v="26"/>
      <x v="34"/>
    </i>
    <i>
      <x v="27"/>
      <x v="35"/>
    </i>
    <i>
      <x v="28"/>
      <x v="38"/>
    </i>
    <i>
      <x v="29"/>
      <x v="37"/>
    </i>
    <i>
      <x v="30"/>
      <x v="42"/>
    </i>
    <i>
      <x v="31"/>
      <x v="39"/>
    </i>
    <i>
      <x v="32"/>
      <x v="40"/>
    </i>
    <i>
      <x v="33"/>
      <x v="71"/>
    </i>
    <i>
      <x v="34"/>
      <x v="9"/>
    </i>
    <i>
      <x v="35"/>
      <x v="8"/>
    </i>
    <i>
      <x v="36"/>
      <x v="44"/>
    </i>
    <i>
      <x v="37"/>
      <x v="45"/>
    </i>
    <i>
      <x v="38"/>
      <x v="48"/>
    </i>
    <i>
      <x v="39"/>
      <x v="46"/>
    </i>
    <i>
      <x v="40"/>
      <x v="1"/>
    </i>
    <i>
      <x v="41"/>
      <x v="18"/>
    </i>
    <i>
      <x v="42"/>
      <x v="41"/>
    </i>
    <i>
      <x v="43"/>
      <x v="32"/>
    </i>
    <i>
      <x v="44"/>
      <x v="14"/>
    </i>
    <i>
      <x v="45"/>
      <x v="53"/>
    </i>
    <i>
      <x v="46"/>
      <x v="43"/>
    </i>
    <i>
      <x v="47"/>
      <x v="15"/>
    </i>
    <i>
      <x v="48"/>
      <x v="62"/>
    </i>
    <i>
      <x v="49"/>
      <x v="22"/>
    </i>
    <i>
      <x v="50"/>
      <x v="19"/>
    </i>
    <i>
      <x v="51"/>
      <x v="16"/>
    </i>
    <i>
      <x v="52"/>
      <x v="64"/>
    </i>
    <i>
      <x v="53"/>
      <x v="65"/>
    </i>
    <i>
      <x v="54"/>
      <x v="63"/>
    </i>
    <i>
      <x v="55"/>
      <x v="66"/>
    </i>
    <i>
      <x v="56"/>
      <x v="30"/>
    </i>
    <i>
      <x v="57"/>
      <x v="31"/>
    </i>
    <i>
      <x v="58"/>
      <x v="36"/>
    </i>
    <i>
      <x v="59"/>
      <x v="10"/>
    </i>
    <i>
      <x v="60"/>
      <x v="11"/>
    </i>
    <i>
      <x v="61"/>
      <x v="57"/>
    </i>
    <i>
      <x v="62"/>
      <x v="3"/>
    </i>
    <i>
      <x v="63"/>
      <x v="49"/>
    </i>
    <i>
      <x v="64"/>
      <x v="47"/>
    </i>
    <i>
      <x v="65"/>
      <x v="12"/>
    </i>
    <i>
      <x v="66"/>
      <x v="5"/>
    </i>
    <i>
      <x v="67"/>
      <x v="6"/>
    </i>
    <i>
      <x v="68"/>
      <x v="29"/>
    </i>
    <i>
      <x v="69"/>
      <x v="51"/>
    </i>
    <i>
      <x v="70"/>
      <x v="61"/>
    </i>
    <i>
      <x v="71"/>
      <x v="17"/>
    </i>
    <i>
      <x v="72"/>
      <x v="33"/>
    </i>
    <i>
      <x v="73"/>
      <x v="20"/>
    </i>
    <i>
      <x v="74"/>
      <x v="23"/>
    </i>
    <i t="grand">
      <x/>
    </i>
  </rowItems>
  <colItems count="1">
    <i/>
  </colItems>
  <dataFields count="1">
    <dataField name="Count of Emai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AC86-D54C-4214-905C-76B3F833E3B6}">
  <dimension ref="A3:E79"/>
  <sheetViews>
    <sheetView tabSelected="1" zoomScale="80" zoomScaleNormal="80" workbookViewId="0">
      <pane ySplit="3" topLeftCell="A37" activePane="bottomLeft" state="frozen"/>
      <selection pane="bottomLeft" activeCell="E79" sqref="E79"/>
    </sheetView>
  </sheetViews>
  <sheetFormatPr defaultRowHeight="15" x14ac:dyDescent="0.25"/>
  <cols>
    <col min="1" max="1" width="36.28515625" customWidth="1"/>
    <col min="2" max="2" width="67" bestFit="1" customWidth="1"/>
    <col min="3" max="3" width="14.42578125" bestFit="1" customWidth="1"/>
    <col min="4" max="4" width="10.85546875" bestFit="1" customWidth="1"/>
  </cols>
  <sheetData>
    <row r="3" spans="1:4" x14ac:dyDescent="0.25">
      <c r="A3" s="8" t="s">
        <v>1117</v>
      </c>
      <c r="B3" s="8" t="s">
        <v>1118</v>
      </c>
      <c r="C3" t="s">
        <v>1270</v>
      </c>
      <c r="D3" s="4" t="s">
        <v>1271</v>
      </c>
    </row>
    <row r="4" spans="1:4" x14ac:dyDescent="0.25">
      <c r="A4" t="s">
        <v>1207</v>
      </c>
      <c r="B4" t="s">
        <v>1208</v>
      </c>
      <c r="C4" s="9">
        <v>3</v>
      </c>
      <c r="D4" s="10">
        <f>ROUND(+C4/$C$79,4)</f>
        <v>1.12E-2</v>
      </c>
    </row>
    <row r="5" spans="1:4" x14ac:dyDescent="0.25">
      <c r="A5" t="s">
        <v>1251</v>
      </c>
      <c r="B5" t="s">
        <v>1252</v>
      </c>
      <c r="C5" s="9">
        <v>1</v>
      </c>
      <c r="D5" s="10">
        <f t="shared" ref="D5:D68" si="0">ROUND(+C5/$C$79,4)</f>
        <v>3.7000000000000002E-3</v>
      </c>
    </row>
    <row r="6" spans="1:4" x14ac:dyDescent="0.25">
      <c r="A6" t="s">
        <v>1215</v>
      </c>
      <c r="B6" t="s">
        <v>1216</v>
      </c>
      <c r="C6" s="9">
        <v>2</v>
      </c>
      <c r="D6" s="10">
        <f t="shared" si="0"/>
        <v>7.4000000000000003E-3</v>
      </c>
    </row>
    <row r="7" spans="1:4" x14ac:dyDescent="0.25">
      <c r="A7" t="s">
        <v>1155</v>
      </c>
      <c r="B7" t="s">
        <v>1156</v>
      </c>
      <c r="C7" s="9">
        <v>1</v>
      </c>
      <c r="D7" s="10">
        <f t="shared" si="0"/>
        <v>3.7000000000000002E-3</v>
      </c>
    </row>
    <row r="8" spans="1:4" x14ac:dyDescent="0.25">
      <c r="A8" t="s">
        <v>1193</v>
      </c>
      <c r="B8" t="s">
        <v>1194</v>
      </c>
      <c r="C8" s="9">
        <v>1</v>
      </c>
      <c r="D8" s="10">
        <f t="shared" si="0"/>
        <v>3.7000000000000002E-3</v>
      </c>
    </row>
    <row r="9" spans="1:4" x14ac:dyDescent="0.25">
      <c r="A9" t="s">
        <v>1255</v>
      </c>
      <c r="B9" t="s">
        <v>1256</v>
      </c>
      <c r="C9" s="9">
        <v>1</v>
      </c>
      <c r="D9" s="10">
        <f t="shared" si="0"/>
        <v>3.7000000000000002E-3</v>
      </c>
    </row>
    <row r="10" spans="1:4" x14ac:dyDescent="0.25">
      <c r="A10" t="s">
        <v>1267</v>
      </c>
      <c r="B10" t="s">
        <v>1268</v>
      </c>
      <c r="C10" s="9">
        <v>1</v>
      </c>
      <c r="D10" s="10">
        <f t="shared" si="0"/>
        <v>3.7000000000000002E-3</v>
      </c>
    </row>
    <row r="11" spans="1:4" x14ac:dyDescent="0.25">
      <c r="A11" t="s">
        <v>1169</v>
      </c>
      <c r="B11" t="s">
        <v>1170</v>
      </c>
      <c r="C11" s="9">
        <v>3</v>
      </c>
      <c r="D11" s="10">
        <f t="shared" si="0"/>
        <v>1.12E-2</v>
      </c>
    </row>
    <row r="12" spans="1:4" x14ac:dyDescent="0.25">
      <c r="A12" t="s">
        <v>1231</v>
      </c>
      <c r="B12" t="s">
        <v>1232</v>
      </c>
      <c r="C12" s="9">
        <v>1</v>
      </c>
      <c r="D12" s="10">
        <f t="shared" si="0"/>
        <v>3.7000000000000002E-3</v>
      </c>
    </row>
    <row r="13" spans="1:4" x14ac:dyDescent="0.25">
      <c r="A13" t="s">
        <v>1227</v>
      </c>
      <c r="B13" t="s">
        <v>1228</v>
      </c>
      <c r="C13" s="9">
        <v>2</v>
      </c>
      <c r="D13" s="10">
        <f t="shared" si="0"/>
        <v>7.4000000000000003E-3</v>
      </c>
    </row>
    <row r="14" spans="1:4" x14ac:dyDescent="0.25">
      <c r="A14" t="s">
        <v>1233</v>
      </c>
      <c r="B14" t="s">
        <v>1234</v>
      </c>
      <c r="C14" s="9">
        <v>1</v>
      </c>
      <c r="D14" s="10">
        <f t="shared" si="0"/>
        <v>3.7000000000000002E-3</v>
      </c>
    </row>
    <row r="15" spans="1:4" x14ac:dyDescent="0.25">
      <c r="A15" t="s">
        <v>1249</v>
      </c>
      <c r="B15" t="s">
        <v>1250</v>
      </c>
      <c r="C15" s="9">
        <v>1</v>
      </c>
      <c r="D15" s="10">
        <f t="shared" si="0"/>
        <v>3.7000000000000002E-3</v>
      </c>
    </row>
    <row r="16" spans="1:4" x14ac:dyDescent="0.25">
      <c r="A16" t="s">
        <v>1195</v>
      </c>
      <c r="B16" t="s">
        <v>1196</v>
      </c>
      <c r="C16" s="9">
        <v>1</v>
      </c>
      <c r="D16" s="10">
        <f t="shared" si="0"/>
        <v>3.7000000000000002E-3</v>
      </c>
    </row>
    <row r="17" spans="1:4" x14ac:dyDescent="0.25">
      <c r="A17" t="s">
        <v>1203</v>
      </c>
      <c r="B17" t="s">
        <v>1204</v>
      </c>
      <c r="C17" s="9">
        <v>2</v>
      </c>
      <c r="D17" s="10">
        <f t="shared" si="0"/>
        <v>7.4000000000000003E-3</v>
      </c>
    </row>
    <row r="18" spans="1:4" x14ac:dyDescent="0.25">
      <c r="A18" t="s">
        <v>1177</v>
      </c>
      <c r="B18" t="s">
        <v>1178</v>
      </c>
      <c r="C18" s="9">
        <v>1</v>
      </c>
      <c r="D18" s="10">
        <f t="shared" si="0"/>
        <v>3.7000000000000002E-3</v>
      </c>
    </row>
    <row r="19" spans="1:4" x14ac:dyDescent="0.25">
      <c r="A19" t="s">
        <v>1171</v>
      </c>
      <c r="B19" t="s">
        <v>1172</v>
      </c>
      <c r="C19" s="9">
        <v>3</v>
      </c>
      <c r="D19" s="10">
        <f t="shared" si="0"/>
        <v>1.12E-2</v>
      </c>
    </row>
    <row r="20" spans="1:4" x14ac:dyDescent="0.25">
      <c r="A20" t="s">
        <v>1239</v>
      </c>
      <c r="B20" t="s">
        <v>1240</v>
      </c>
      <c r="C20" s="9">
        <v>1</v>
      </c>
      <c r="D20" s="10">
        <f t="shared" si="0"/>
        <v>3.7000000000000002E-3</v>
      </c>
    </row>
    <row r="21" spans="1:4" x14ac:dyDescent="0.25">
      <c r="A21" t="s">
        <v>1151</v>
      </c>
      <c r="B21" t="s">
        <v>1152</v>
      </c>
      <c r="C21" s="9">
        <v>8</v>
      </c>
      <c r="D21" s="10">
        <f t="shared" si="0"/>
        <v>2.9700000000000001E-2</v>
      </c>
    </row>
    <row r="22" spans="1:4" x14ac:dyDescent="0.25">
      <c r="A22" t="s">
        <v>1225</v>
      </c>
      <c r="B22" t="s">
        <v>1226</v>
      </c>
      <c r="C22" s="9">
        <v>1</v>
      </c>
      <c r="D22" s="10">
        <f t="shared" si="0"/>
        <v>3.7000000000000002E-3</v>
      </c>
    </row>
    <row r="23" spans="1:4" x14ac:dyDescent="0.25">
      <c r="A23" t="s">
        <v>1125</v>
      </c>
      <c r="B23" t="s">
        <v>1126</v>
      </c>
      <c r="C23" s="9">
        <v>81</v>
      </c>
      <c r="D23" s="10">
        <f>ROUND(+C23/$C$79,4)+0.0008</f>
        <v>0.3019</v>
      </c>
    </row>
    <row r="24" spans="1:4" x14ac:dyDescent="0.25">
      <c r="A24" t="s">
        <v>1245</v>
      </c>
      <c r="B24" t="s">
        <v>1246</v>
      </c>
      <c r="C24" s="9">
        <v>2</v>
      </c>
      <c r="D24" s="10">
        <f t="shared" si="0"/>
        <v>7.4000000000000003E-3</v>
      </c>
    </row>
    <row r="25" spans="1:4" x14ac:dyDescent="0.25">
      <c r="A25" t="s">
        <v>1205</v>
      </c>
      <c r="B25" t="s">
        <v>1206</v>
      </c>
      <c r="C25" s="9">
        <v>1</v>
      </c>
      <c r="D25" s="10">
        <f t="shared" si="0"/>
        <v>3.7000000000000002E-3</v>
      </c>
    </row>
    <row r="26" spans="1:4" x14ac:dyDescent="0.25">
      <c r="A26" t="s">
        <v>1129</v>
      </c>
      <c r="B26" t="s">
        <v>1130</v>
      </c>
      <c r="C26" s="9">
        <v>13</v>
      </c>
      <c r="D26" s="10">
        <f t="shared" si="0"/>
        <v>4.8300000000000003E-2</v>
      </c>
    </row>
    <row r="27" spans="1:4" x14ac:dyDescent="0.25">
      <c r="A27" t="s">
        <v>1123</v>
      </c>
      <c r="B27" t="s">
        <v>1124</v>
      </c>
      <c r="C27" s="9">
        <v>2</v>
      </c>
      <c r="D27" s="10">
        <f t="shared" si="0"/>
        <v>7.4000000000000003E-3</v>
      </c>
    </row>
    <row r="28" spans="1:4" x14ac:dyDescent="0.25">
      <c r="A28" t="s">
        <v>1223</v>
      </c>
      <c r="B28" t="s">
        <v>1224</v>
      </c>
      <c r="C28" s="9">
        <v>1</v>
      </c>
      <c r="D28" s="10">
        <f t="shared" si="0"/>
        <v>3.7000000000000002E-3</v>
      </c>
    </row>
    <row r="29" spans="1:4" x14ac:dyDescent="0.25">
      <c r="A29" t="s">
        <v>1209</v>
      </c>
      <c r="B29" t="s">
        <v>1210</v>
      </c>
      <c r="C29" s="9">
        <v>1</v>
      </c>
      <c r="D29" s="10">
        <f t="shared" si="0"/>
        <v>3.7000000000000002E-3</v>
      </c>
    </row>
    <row r="30" spans="1:4" x14ac:dyDescent="0.25">
      <c r="A30" t="s">
        <v>1221</v>
      </c>
      <c r="B30" t="s">
        <v>1222</v>
      </c>
      <c r="C30" s="9">
        <v>3</v>
      </c>
      <c r="D30" s="10">
        <f t="shared" si="0"/>
        <v>1.12E-2</v>
      </c>
    </row>
    <row r="31" spans="1:4" x14ac:dyDescent="0.25">
      <c r="A31" t="s">
        <v>1197</v>
      </c>
      <c r="B31" t="s">
        <v>1198</v>
      </c>
      <c r="C31" s="9">
        <v>7</v>
      </c>
      <c r="D31" s="10">
        <f t="shared" si="0"/>
        <v>2.5999999999999999E-2</v>
      </c>
    </row>
    <row r="32" spans="1:4" x14ac:dyDescent="0.25">
      <c r="A32" t="s">
        <v>1159</v>
      </c>
      <c r="B32" t="s">
        <v>1160</v>
      </c>
      <c r="C32" s="9">
        <v>3</v>
      </c>
      <c r="D32" s="10">
        <f t="shared" si="0"/>
        <v>1.12E-2</v>
      </c>
    </row>
    <row r="33" spans="1:4" x14ac:dyDescent="0.25">
      <c r="A33" t="s">
        <v>1119</v>
      </c>
      <c r="B33" t="s">
        <v>1120</v>
      </c>
      <c r="C33" s="9">
        <v>6</v>
      </c>
      <c r="D33" s="10">
        <f t="shared" si="0"/>
        <v>2.23E-2</v>
      </c>
    </row>
    <row r="34" spans="1:4" x14ac:dyDescent="0.25">
      <c r="A34" t="s">
        <v>1153</v>
      </c>
      <c r="B34" t="s">
        <v>1154</v>
      </c>
      <c r="C34" s="9">
        <v>4</v>
      </c>
      <c r="D34" s="10">
        <f t="shared" si="0"/>
        <v>1.49E-2</v>
      </c>
    </row>
    <row r="35" spans="1:4" x14ac:dyDescent="0.25">
      <c r="A35" t="s">
        <v>1219</v>
      </c>
      <c r="B35" t="s">
        <v>1220</v>
      </c>
      <c r="C35" s="9">
        <v>2</v>
      </c>
      <c r="D35" s="10">
        <f t="shared" si="0"/>
        <v>7.4000000000000003E-3</v>
      </c>
    </row>
    <row r="36" spans="1:4" x14ac:dyDescent="0.25">
      <c r="A36" t="s">
        <v>1181</v>
      </c>
      <c r="B36" t="s">
        <v>1182</v>
      </c>
      <c r="C36" s="9">
        <v>6</v>
      </c>
      <c r="D36" s="10">
        <f t="shared" si="0"/>
        <v>2.23E-2</v>
      </c>
    </row>
    <row r="37" spans="1:4" x14ac:dyDescent="0.25">
      <c r="A37" t="s">
        <v>1179</v>
      </c>
      <c r="B37" t="s">
        <v>1180</v>
      </c>
      <c r="C37" s="9">
        <v>2</v>
      </c>
      <c r="D37" s="10">
        <f t="shared" si="0"/>
        <v>7.4000000000000003E-3</v>
      </c>
    </row>
    <row r="38" spans="1:4" x14ac:dyDescent="0.25">
      <c r="A38" t="s">
        <v>1133</v>
      </c>
      <c r="B38" t="s">
        <v>1134</v>
      </c>
      <c r="C38" s="9">
        <v>1</v>
      </c>
      <c r="D38" s="10">
        <f t="shared" si="0"/>
        <v>3.7000000000000002E-3</v>
      </c>
    </row>
    <row r="39" spans="1:4" x14ac:dyDescent="0.25">
      <c r="A39" t="s">
        <v>1199</v>
      </c>
      <c r="B39" t="s">
        <v>1200</v>
      </c>
      <c r="C39" s="9">
        <v>1</v>
      </c>
      <c r="D39" s="10">
        <f t="shared" si="0"/>
        <v>3.7000000000000002E-3</v>
      </c>
    </row>
    <row r="40" spans="1:4" x14ac:dyDescent="0.25">
      <c r="A40" t="s">
        <v>1173</v>
      </c>
      <c r="B40" t="s">
        <v>1174</v>
      </c>
      <c r="C40" s="9">
        <v>5</v>
      </c>
      <c r="D40" s="10">
        <f t="shared" si="0"/>
        <v>1.8599999999999998E-2</v>
      </c>
    </row>
    <row r="41" spans="1:4" x14ac:dyDescent="0.25">
      <c r="A41" t="s">
        <v>1139</v>
      </c>
      <c r="B41" t="s">
        <v>1140</v>
      </c>
      <c r="C41" s="9">
        <v>3</v>
      </c>
      <c r="D41" s="10">
        <f t="shared" si="0"/>
        <v>1.12E-2</v>
      </c>
    </row>
    <row r="42" spans="1:4" x14ac:dyDescent="0.25">
      <c r="A42" t="s">
        <v>1185</v>
      </c>
      <c r="B42" t="s">
        <v>1186</v>
      </c>
      <c r="C42" s="9">
        <v>1</v>
      </c>
      <c r="D42" s="10">
        <f t="shared" si="0"/>
        <v>3.7000000000000002E-3</v>
      </c>
    </row>
    <row r="43" spans="1:4" x14ac:dyDescent="0.25">
      <c r="A43" t="s">
        <v>1247</v>
      </c>
      <c r="B43" t="s">
        <v>1248</v>
      </c>
      <c r="C43" s="9">
        <v>1</v>
      </c>
      <c r="D43" s="10">
        <f t="shared" si="0"/>
        <v>3.7000000000000002E-3</v>
      </c>
    </row>
    <row r="44" spans="1:4" x14ac:dyDescent="0.25">
      <c r="A44" t="s">
        <v>1163</v>
      </c>
      <c r="B44" t="s">
        <v>1164</v>
      </c>
      <c r="C44" s="9">
        <v>1</v>
      </c>
      <c r="D44" s="10">
        <f t="shared" si="0"/>
        <v>3.7000000000000002E-3</v>
      </c>
    </row>
    <row r="45" spans="1:4" x14ac:dyDescent="0.25">
      <c r="A45" t="s">
        <v>1229</v>
      </c>
      <c r="B45" t="s">
        <v>1230</v>
      </c>
      <c r="C45" s="9">
        <v>1</v>
      </c>
      <c r="D45" s="10">
        <f t="shared" si="0"/>
        <v>3.7000000000000002E-3</v>
      </c>
    </row>
    <row r="46" spans="1:4" x14ac:dyDescent="0.25">
      <c r="A46" t="s">
        <v>1191</v>
      </c>
      <c r="B46" t="s">
        <v>1192</v>
      </c>
      <c r="C46" s="9">
        <v>3</v>
      </c>
      <c r="D46" s="10">
        <f t="shared" si="0"/>
        <v>1.12E-2</v>
      </c>
    </row>
    <row r="47" spans="1:4" x14ac:dyDescent="0.25">
      <c r="A47" t="s">
        <v>1201</v>
      </c>
      <c r="B47" t="s">
        <v>1202</v>
      </c>
      <c r="C47" s="9">
        <v>2</v>
      </c>
      <c r="D47" s="10">
        <f t="shared" si="0"/>
        <v>7.4000000000000003E-3</v>
      </c>
    </row>
    <row r="48" spans="1:4" x14ac:dyDescent="0.25">
      <c r="A48" t="s">
        <v>1259</v>
      </c>
      <c r="B48" t="s">
        <v>1260</v>
      </c>
      <c r="C48" s="9">
        <v>1</v>
      </c>
      <c r="D48" s="10">
        <f t="shared" si="0"/>
        <v>3.7000000000000002E-3</v>
      </c>
    </row>
    <row r="49" spans="1:4" x14ac:dyDescent="0.25">
      <c r="A49" t="s">
        <v>1149</v>
      </c>
      <c r="B49" t="s">
        <v>1150</v>
      </c>
      <c r="C49" s="9">
        <v>3</v>
      </c>
      <c r="D49" s="10">
        <f t="shared" si="0"/>
        <v>1.12E-2</v>
      </c>
    </row>
    <row r="50" spans="1:4" x14ac:dyDescent="0.25">
      <c r="A50" t="s">
        <v>1161</v>
      </c>
      <c r="B50" t="s">
        <v>1162</v>
      </c>
      <c r="C50" s="9">
        <v>7</v>
      </c>
      <c r="D50" s="10">
        <f t="shared" si="0"/>
        <v>2.5999999999999999E-2</v>
      </c>
    </row>
    <row r="51" spans="1:4" x14ac:dyDescent="0.25">
      <c r="A51" t="s">
        <v>1157</v>
      </c>
      <c r="B51" t="s">
        <v>1158</v>
      </c>
      <c r="C51" s="9">
        <v>3</v>
      </c>
      <c r="D51" s="10">
        <f t="shared" si="0"/>
        <v>1.12E-2</v>
      </c>
    </row>
    <row r="52" spans="1:4" x14ac:dyDescent="0.25">
      <c r="A52" t="s">
        <v>1131</v>
      </c>
      <c r="B52" t="s">
        <v>1132</v>
      </c>
      <c r="C52" s="9">
        <v>6</v>
      </c>
      <c r="D52" s="10">
        <f t="shared" si="0"/>
        <v>2.23E-2</v>
      </c>
    </row>
    <row r="53" spans="1:4" x14ac:dyDescent="0.25">
      <c r="A53" t="s">
        <v>1135</v>
      </c>
      <c r="B53" t="s">
        <v>1136</v>
      </c>
      <c r="C53" s="9">
        <v>4</v>
      </c>
      <c r="D53" s="10">
        <f t="shared" si="0"/>
        <v>1.49E-2</v>
      </c>
    </row>
    <row r="54" spans="1:4" x14ac:dyDescent="0.25">
      <c r="A54" t="s">
        <v>1217</v>
      </c>
      <c r="B54" t="s">
        <v>1218</v>
      </c>
      <c r="C54" s="9">
        <v>1</v>
      </c>
      <c r="D54" s="10">
        <f t="shared" si="0"/>
        <v>3.7000000000000002E-3</v>
      </c>
    </row>
    <row r="55" spans="1:4" x14ac:dyDescent="0.25">
      <c r="A55" t="s">
        <v>1165</v>
      </c>
      <c r="B55" t="s">
        <v>1166</v>
      </c>
      <c r="C55" s="9">
        <v>7</v>
      </c>
      <c r="D55" s="10">
        <f t="shared" si="0"/>
        <v>2.5999999999999999E-2</v>
      </c>
    </row>
    <row r="56" spans="1:4" x14ac:dyDescent="0.25">
      <c r="A56" t="s">
        <v>1213</v>
      </c>
      <c r="B56" t="s">
        <v>1214</v>
      </c>
      <c r="C56" s="9">
        <v>1</v>
      </c>
      <c r="D56" s="10">
        <f t="shared" si="0"/>
        <v>3.7000000000000002E-3</v>
      </c>
    </row>
    <row r="57" spans="1:4" x14ac:dyDescent="0.25">
      <c r="A57" t="s">
        <v>1211</v>
      </c>
      <c r="B57" t="s">
        <v>1212</v>
      </c>
      <c r="C57" s="9">
        <v>1</v>
      </c>
      <c r="D57" s="10">
        <f t="shared" si="0"/>
        <v>3.7000000000000002E-3</v>
      </c>
    </row>
    <row r="58" spans="1:4" x14ac:dyDescent="0.25">
      <c r="A58" t="s">
        <v>1257</v>
      </c>
      <c r="B58" t="s">
        <v>1258</v>
      </c>
      <c r="C58" s="9">
        <v>1</v>
      </c>
      <c r="D58" s="10">
        <f t="shared" si="0"/>
        <v>3.7000000000000002E-3</v>
      </c>
    </row>
    <row r="59" spans="1:4" x14ac:dyDescent="0.25">
      <c r="A59" t="s">
        <v>1143</v>
      </c>
      <c r="B59" t="s">
        <v>1144</v>
      </c>
      <c r="C59" s="9">
        <v>1</v>
      </c>
      <c r="D59" s="10">
        <f t="shared" si="0"/>
        <v>3.7000000000000002E-3</v>
      </c>
    </row>
    <row r="60" spans="1:4" x14ac:dyDescent="0.25">
      <c r="A60" t="s">
        <v>1141</v>
      </c>
      <c r="B60" t="s">
        <v>1142</v>
      </c>
      <c r="C60" s="9">
        <v>7</v>
      </c>
      <c r="D60" s="10">
        <f t="shared" si="0"/>
        <v>2.5999999999999999E-2</v>
      </c>
    </row>
    <row r="61" spans="1:4" x14ac:dyDescent="0.25">
      <c r="A61" t="s">
        <v>1127</v>
      </c>
      <c r="B61" t="s">
        <v>1128</v>
      </c>
      <c r="C61" s="9">
        <v>1</v>
      </c>
      <c r="D61" s="10">
        <f t="shared" si="0"/>
        <v>3.7000000000000002E-3</v>
      </c>
    </row>
    <row r="62" spans="1:4" x14ac:dyDescent="0.25">
      <c r="A62" t="s">
        <v>1187</v>
      </c>
      <c r="B62" t="s">
        <v>1188</v>
      </c>
      <c r="C62" s="9">
        <v>1</v>
      </c>
      <c r="D62" s="10">
        <f t="shared" si="0"/>
        <v>3.7000000000000002E-3</v>
      </c>
    </row>
    <row r="63" spans="1:4" x14ac:dyDescent="0.25">
      <c r="A63" t="s">
        <v>1167</v>
      </c>
      <c r="B63" t="s">
        <v>1168</v>
      </c>
      <c r="C63" s="9">
        <v>1</v>
      </c>
      <c r="D63" s="10">
        <f t="shared" si="0"/>
        <v>3.7000000000000002E-3</v>
      </c>
    </row>
    <row r="64" spans="1:4" x14ac:dyDescent="0.25">
      <c r="A64" t="s">
        <v>1253</v>
      </c>
      <c r="B64" t="s">
        <v>1254</v>
      </c>
      <c r="C64" s="9">
        <v>1</v>
      </c>
      <c r="D64" s="10">
        <f t="shared" si="0"/>
        <v>3.7000000000000002E-3</v>
      </c>
    </row>
    <row r="65" spans="1:5" x14ac:dyDescent="0.25">
      <c r="A65" t="s">
        <v>1263</v>
      </c>
      <c r="B65" t="s">
        <v>1264</v>
      </c>
      <c r="C65" s="9">
        <v>2</v>
      </c>
      <c r="D65" s="10">
        <f t="shared" si="0"/>
        <v>7.4000000000000003E-3</v>
      </c>
    </row>
    <row r="66" spans="1:5" x14ac:dyDescent="0.25">
      <c r="A66" t="s">
        <v>1189</v>
      </c>
      <c r="B66" t="s">
        <v>1190</v>
      </c>
      <c r="C66" s="9">
        <v>1</v>
      </c>
      <c r="D66" s="10">
        <f t="shared" si="0"/>
        <v>3.7000000000000002E-3</v>
      </c>
    </row>
    <row r="67" spans="1:5" x14ac:dyDescent="0.25">
      <c r="A67" t="s">
        <v>1121</v>
      </c>
      <c r="B67" t="s">
        <v>1122</v>
      </c>
      <c r="C67" s="9">
        <v>7</v>
      </c>
      <c r="D67" s="10">
        <f t="shared" si="0"/>
        <v>2.5999999999999999E-2</v>
      </c>
    </row>
    <row r="68" spans="1:5" x14ac:dyDescent="0.25">
      <c r="A68" t="s">
        <v>1147</v>
      </c>
      <c r="B68" t="s">
        <v>1148</v>
      </c>
      <c r="C68" s="9">
        <v>7</v>
      </c>
      <c r="D68" s="10">
        <f t="shared" si="0"/>
        <v>2.5999999999999999E-2</v>
      </c>
    </row>
    <row r="69" spans="1:5" x14ac:dyDescent="0.25">
      <c r="A69" t="s">
        <v>1235</v>
      </c>
      <c r="B69" t="s">
        <v>1236</v>
      </c>
      <c r="C69" s="9">
        <v>2</v>
      </c>
      <c r="D69" s="10">
        <f t="shared" ref="D69:D79" si="1">ROUND(+C69/$C$79,4)</f>
        <v>7.4000000000000003E-3</v>
      </c>
    </row>
    <row r="70" spans="1:5" x14ac:dyDescent="0.25">
      <c r="A70" t="s">
        <v>1175</v>
      </c>
      <c r="B70" t="s">
        <v>1176</v>
      </c>
      <c r="C70" s="9">
        <v>2</v>
      </c>
      <c r="D70" s="10">
        <f t="shared" si="1"/>
        <v>7.4000000000000003E-3</v>
      </c>
    </row>
    <row r="71" spans="1:5" x14ac:dyDescent="0.25">
      <c r="A71" t="s">
        <v>1183</v>
      </c>
      <c r="B71" t="s">
        <v>1184</v>
      </c>
      <c r="C71" s="9">
        <v>1</v>
      </c>
      <c r="D71" s="10">
        <f t="shared" si="1"/>
        <v>3.7000000000000002E-3</v>
      </c>
    </row>
    <row r="72" spans="1:5" x14ac:dyDescent="0.25">
      <c r="A72" t="s">
        <v>1137</v>
      </c>
      <c r="B72" t="s">
        <v>1138</v>
      </c>
      <c r="C72" s="9">
        <v>5</v>
      </c>
      <c r="D72" s="10">
        <f t="shared" si="1"/>
        <v>1.8599999999999998E-2</v>
      </c>
    </row>
    <row r="73" spans="1:5" x14ac:dyDescent="0.25">
      <c r="A73" t="s">
        <v>1261</v>
      </c>
      <c r="B73" t="s">
        <v>1262</v>
      </c>
      <c r="C73" s="9">
        <v>1</v>
      </c>
      <c r="D73" s="10">
        <f t="shared" si="1"/>
        <v>3.7000000000000002E-3</v>
      </c>
    </row>
    <row r="74" spans="1:5" x14ac:dyDescent="0.25">
      <c r="A74" t="s">
        <v>1237</v>
      </c>
      <c r="B74" t="s">
        <v>1238</v>
      </c>
      <c r="C74" s="9">
        <v>1</v>
      </c>
      <c r="D74" s="10">
        <f t="shared" si="1"/>
        <v>3.7000000000000002E-3</v>
      </c>
    </row>
    <row r="75" spans="1:5" x14ac:dyDescent="0.25">
      <c r="A75" t="s">
        <v>1241</v>
      </c>
      <c r="B75" t="s">
        <v>1242</v>
      </c>
      <c r="C75" s="9">
        <v>1</v>
      </c>
      <c r="D75" s="10">
        <f t="shared" si="1"/>
        <v>3.7000000000000002E-3</v>
      </c>
    </row>
    <row r="76" spans="1:5" x14ac:dyDescent="0.25">
      <c r="A76" t="s">
        <v>1266</v>
      </c>
      <c r="B76" t="s">
        <v>1265</v>
      </c>
      <c r="C76" s="9">
        <v>2</v>
      </c>
      <c r="D76" s="10">
        <f t="shared" si="1"/>
        <v>7.4000000000000003E-3</v>
      </c>
    </row>
    <row r="77" spans="1:5" x14ac:dyDescent="0.25">
      <c r="A77" t="s">
        <v>1145</v>
      </c>
      <c r="B77" t="s">
        <v>1146</v>
      </c>
      <c r="C77" s="9">
        <v>1</v>
      </c>
      <c r="D77" s="10">
        <f t="shared" si="1"/>
        <v>3.7000000000000002E-3</v>
      </c>
    </row>
    <row r="78" spans="1:5" x14ac:dyDescent="0.25">
      <c r="A78" t="s">
        <v>1243</v>
      </c>
      <c r="B78" t="s">
        <v>1244</v>
      </c>
      <c r="C78" s="9">
        <v>1</v>
      </c>
      <c r="D78" s="10">
        <f t="shared" si="1"/>
        <v>3.7000000000000002E-3</v>
      </c>
    </row>
    <row r="79" spans="1:5" x14ac:dyDescent="0.25">
      <c r="A79" t="s">
        <v>1269</v>
      </c>
      <c r="C79" s="9">
        <v>269</v>
      </c>
      <c r="D79" s="10">
        <f t="shared" si="1"/>
        <v>1</v>
      </c>
      <c r="E79" s="6" t="s">
        <v>1272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A57C-D981-4A80-A687-CF02815C7965}">
  <dimension ref="A1:I296"/>
  <sheetViews>
    <sheetView zoomScale="80" zoomScaleNormal="80" workbookViewId="0">
      <pane ySplit="1" topLeftCell="A226" activePane="bottomLeft" state="frozen"/>
      <selection pane="bottomLeft" activeCell="C2" sqref="C2:C270"/>
    </sheetView>
  </sheetViews>
  <sheetFormatPr defaultRowHeight="15" x14ac:dyDescent="0.25"/>
  <cols>
    <col min="1" max="1" width="18" bestFit="1" customWidth="1"/>
    <col min="2" max="2" width="18.7109375" bestFit="1" customWidth="1"/>
    <col min="3" max="3" width="41.42578125" bestFit="1" customWidth="1"/>
    <col min="4" max="4" width="12" bestFit="1" customWidth="1"/>
    <col min="5" max="5" width="9.85546875" bestFit="1" customWidth="1"/>
    <col min="6" max="6" width="38.42578125" bestFit="1" customWidth="1"/>
    <col min="7" max="7" width="27.28515625" bestFit="1" customWidth="1"/>
    <col min="8" max="8" width="13.42578125" customWidth="1"/>
    <col min="9" max="9" width="67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</v>
      </c>
      <c r="G1" s="4" t="s">
        <v>11</v>
      </c>
      <c r="H1" s="5" t="s">
        <v>1117</v>
      </c>
      <c r="I1" s="5" t="s">
        <v>1118</v>
      </c>
    </row>
    <row r="2" spans="1: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G2" t="s">
        <v>24</v>
      </c>
      <c r="H2" s="7" t="s">
        <v>1266</v>
      </c>
      <c r="I2" s="7" t="s">
        <v>1265</v>
      </c>
    </row>
    <row r="3" spans="1:9" x14ac:dyDescent="0.25">
      <c r="A3" t="s">
        <v>25</v>
      </c>
      <c r="B3" t="s">
        <v>26</v>
      </c>
      <c r="C3" t="s">
        <v>27</v>
      </c>
      <c r="D3" t="s">
        <v>20</v>
      </c>
      <c r="E3" t="s">
        <v>21</v>
      </c>
      <c r="G3" t="s">
        <v>28</v>
      </c>
      <c r="H3" s="7" t="s">
        <v>1119</v>
      </c>
      <c r="I3" s="7" t="s">
        <v>1120</v>
      </c>
    </row>
    <row r="4" spans="1:9" x14ac:dyDescent="0.25">
      <c r="A4" t="s">
        <v>29</v>
      </c>
      <c r="B4" t="s">
        <v>30</v>
      </c>
      <c r="C4" t="s">
        <v>31</v>
      </c>
      <c r="D4" t="s">
        <v>20</v>
      </c>
      <c r="E4" t="s">
        <v>21</v>
      </c>
      <c r="G4" t="s">
        <v>28</v>
      </c>
      <c r="H4" s="7" t="s">
        <v>1119</v>
      </c>
      <c r="I4" s="7" t="s">
        <v>1120</v>
      </c>
    </row>
    <row r="5" spans="1:9" x14ac:dyDescent="0.25">
      <c r="A5" t="s">
        <v>34</v>
      </c>
      <c r="B5" t="s">
        <v>35</v>
      </c>
      <c r="C5" t="s">
        <v>36</v>
      </c>
      <c r="D5" t="s">
        <v>20</v>
      </c>
      <c r="E5" t="s">
        <v>21</v>
      </c>
      <c r="G5" t="s">
        <v>28</v>
      </c>
      <c r="H5" s="7" t="s">
        <v>1119</v>
      </c>
      <c r="I5" s="7" t="s">
        <v>1120</v>
      </c>
    </row>
    <row r="6" spans="1:9" x14ac:dyDescent="0.25">
      <c r="A6" t="s">
        <v>38</v>
      </c>
      <c r="B6" t="s">
        <v>39</v>
      </c>
      <c r="C6" t="s">
        <v>40</v>
      </c>
      <c r="D6" t="s">
        <v>20</v>
      </c>
      <c r="E6" t="s">
        <v>21</v>
      </c>
      <c r="F6" t="s">
        <v>43</v>
      </c>
      <c r="G6" t="s">
        <v>28</v>
      </c>
      <c r="H6" s="7" t="s">
        <v>1119</v>
      </c>
      <c r="I6" s="7" t="s">
        <v>1120</v>
      </c>
    </row>
    <row r="7" spans="1:9" x14ac:dyDescent="0.25">
      <c r="A7" t="s">
        <v>44</v>
      </c>
      <c r="B7" t="s">
        <v>45</v>
      </c>
      <c r="C7" t="s">
        <v>46</v>
      </c>
      <c r="D7" t="s">
        <v>20</v>
      </c>
      <c r="E7" t="s">
        <v>21</v>
      </c>
      <c r="G7" t="s">
        <v>28</v>
      </c>
      <c r="H7" s="7" t="s">
        <v>1119</v>
      </c>
      <c r="I7" s="7" t="s">
        <v>1120</v>
      </c>
    </row>
    <row r="8" spans="1:9" x14ac:dyDescent="0.25">
      <c r="A8" t="s">
        <v>48</v>
      </c>
      <c r="B8" t="s">
        <v>49</v>
      </c>
      <c r="C8" t="s">
        <v>50</v>
      </c>
      <c r="D8" t="s">
        <v>20</v>
      </c>
      <c r="E8" t="s">
        <v>21</v>
      </c>
      <c r="F8" t="s">
        <v>53</v>
      </c>
      <c r="G8" t="s">
        <v>28</v>
      </c>
      <c r="H8" s="7" t="s">
        <v>1266</v>
      </c>
      <c r="I8" s="7" t="s">
        <v>1265</v>
      </c>
    </row>
    <row r="9" spans="1:9" x14ac:dyDescent="0.25">
      <c r="A9" t="s">
        <v>54</v>
      </c>
      <c r="B9" t="s">
        <v>55</v>
      </c>
      <c r="C9" t="s">
        <v>56</v>
      </c>
      <c r="D9" t="s">
        <v>57</v>
      </c>
      <c r="E9" t="s">
        <v>21</v>
      </c>
      <c r="G9" t="s">
        <v>28</v>
      </c>
      <c r="H9" s="7" t="s">
        <v>1121</v>
      </c>
      <c r="I9" s="7" t="s">
        <v>1122</v>
      </c>
    </row>
    <row r="10" spans="1:9" x14ac:dyDescent="0.25">
      <c r="A10" t="s">
        <v>69</v>
      </c>
      <c r="B10" t="s">
        <v>70</v>
      </c>
      <c r="C10" t="s">
        <v>71</v>
      </c>
      <c r="D10" t="s">
        <v>57</v>
      </c>
      <c r="E10" t="s">
        <v>21</v>
      </c>
      <c r="G10" t="s">
        <v>28</v>
      </c>
      <c r="H10" s="7" t="s">
        <v>1123</v>
      </c>
      <c r="I10" s="7" t="s">
        <v>1124</v>
      </c>
    </row>
    <row r="11" spans="1:9" x14ac:dyDescent="0.25">
      <c r="A11" t="s">
        <v>72</v>
      </c>
      <c r="B11" t="s">
        <v>73</v>
      </c>
      <c r="C11" t="s">
        <v>74</v>
      </c>
      <c r="D11" t="s">
        <v>57</v>
      </c>
      <c r="E11" t="s">
        <v>21</v>
      </c>
      <c r="F11" t="s">
        <v>53</v>
      </c>
      <c r="G11" t="s">
        <v>24</v>
      </c>
      <c r="H11" s="7" t="s">
        <v>1125</v>
      </c>
      <c r="I11" s="7" t="s">
        <v>1126</v>
      </c>
    </row>
    <row r="12" spans="1:9" x14ac:dyDescent="0.25">
      <c r="A12" t="s">
        <v>72</v>
      </c>
      <c r="B12" t="s">
        <v>77</v>
      </c>
      <c r="C12" t="s">
        <v>78</v>
      </c>
      <c r="D12" t="s">
        <v>57</v>
      </c>
      <c r="E12" t="s">
        <v>21</v>
      </c>
      <c r="G12" t="s">
        <v>28</v>
      </c>
      <c r="H12" s="7" t="s">
        <v>1127</v>
      </c>
      <c r="I12" s="7" t="s">
        <v>1128</v>
      </c>
    </row>
    <row r="13" spans="1:9" x14ac:dyDescent="0.25">
      <c r="A13" t="s">
        <v>79</v>
      </c>
      <c r="B13" t="s">
        <v>80</v>
      </c>
      <c r="C13" t="s">
        <v>81</v>
      </c>
      <c r="D13" t="s">
        <v>57</v>
      </c>
      <c r="E13" t="s">
        <v>21</v>
      </c>
      <c r="F13" t="s">
        <v>53</v>
      </c>
      <c r="G13" t="s">
        <v>28</v>
      </c>
      <c r="H13" s="7" t="s">
        <v>1125</v>
      </c>
      <c r="I13" s="7" t="s">
        <v>1126</v>
      </c>
    </row>
    <row r="14" spans="1:9" x14ac:dyDescent="0.25">
      <c r="A14" t="s">
        <v>79</v>
      </c>
      <c r="B14" t="s">
        <v>83</v>
      </c>
      <c r="C14" t="s">
        <v>84</v>
      </c>
      <c r="D14" t="s">
        <v>57</v>
      </c>
      <c r="E14" t="s">
        <v>21</v>
      </c>
      <c r="F14" t="s">
        <v>53</v>
      </c>
      <c r="G14" t="s">
        <v>24</v>
      </c>
      <c r="H14" s="7" t="s">
        <v>1129</v>
      </c>
      <c r="I14" s="7" t="s">
        <v>1130</v>
      </c>
    </row>
    <row r="15" spans="1:9" x14ac:dyDescent="0.25">
      <c r="A15" t="s">
        <v>86</v>
      </c>
      <c r="B15" t="s">
        <v>87</v>
      </c>
      <c r="C15" t="s">
        <v>88</v>
      </c>
      <c r="D15" t="s">
        <v>57</v>
      </c>
      <c r="E15" t="s">
        <v>21</v>
      </c>
      <c r="F15" t="s">
        <v>53</v>
      </c>
      <c r="G15" t="s">
        <v>28</v>
      </c>
      <c r="H15" s="7" t="s">
        <v>1125</v>
      </c>
      <c r="I15" s="7" t="s">
        <v>1126</v>
      </c>
    </row>
    <row r="16" spans="1:9" x14ac:dyDescent="0.25">
      <c r="A16" t="s">
        <v>96</v>
      </c>
      <c r="B16" t="s">
        <v>97</v>
      </c>
      <c r="C16" t="s">
        <v>98</v>
      </c>
      <c r="D16" t="s">
        <v>57</v>
      </c>
      <c r="E16" t="s">
        <v>21</v>
      </c>
      <c r="G16" t="s">
        <v>24</v>
      </c>
      <c r="H16" s="7" t="s">
        <v>1131</v>
      </c>
      <c r="I16" s="7" t="s">
        <v>1132</v>
      </c>
    </row>
    <row r="17" spans="1:9" x14ac:dyDescent="0.25">
      <c r="A17" t="s">
        <v>100</v>
      </c>
      <c r="B17" t="s">
        <v>101</v>
      </c>
      <c r="C17" t="s">
        <v>102</v>
      </c>
      <c r="D17" t="s">
        <v>57</v>
      </c>
      <c r="E17" t="s">
        <v>21</v>
      </c>
      <c r="F17" t="s">
        <v>53</v>
      </c>
      <c r="G17" t="s">
        <v>24</v>
      </c>
      <c r="H17" s="7" t="s">
        <v>1125</v>
      </c>
      <c r="I17" s="7" t="s">
        <v>1126</v>
      </c>
    </row>
    <row r="18" spans="1:9" x14ac:dyDescent="0.25">
      <c r="A18" t="s">
        <v>105</v>
      </c>
      <c r="B18" t="s">
        <v>106</v>
      </c>
      <c r="C18" t="s">
        <v>107</v>
      </c>
      <c r="D18" t="s">
        <v>57</v>
      </c>
      <c r="E18" t="s">
        <v>21</v>
      </c>
      <c r="G18" t="s">
        <v>28</v>
      </c>
      <c r="H18" s="7" t="s">
        <v>1133</v>
      </c>
      <c r="I18" s="7" t="s">
        <v>1134</v>
      </c>
    </row>
    <row r="19" spans="1:9" x14ac:dyDescent="0.25">
      <c r="A19" t="s">
        <v>109</v>
      </c>
      <c r="B19" t="s">
        <v>110</v>
      </c>
      <c r="C19" t="s">
        <v>111</v>
      </c>
      <c r="D19" t="s">
        <v>57</v>
      </c>
      <c r="E19" t="s">
        <v>21</v>
      </c>
      <c r="G19" t="s">
        <v>28</v>
      </c>
      <c r="H19" s="7" t="s">
        <v>1129</v>
      </c>
      <c r="I19" s="7" t="s">
        <v>1130</v>
      </c>
    </row>
    <row r="20" spans="1:9" x14ac:dyDescent="0.25">
      <c r="A20" t="s">
        <v>114</v>
      </c>
      <c r="B20" t="s">
        <v>115</v>
      </c>
      <c r="C20" t="s">
        <v>116</v>
      </c>
      <c r="D20" t="s">
        <v>57</v>
      </c>
      <c r="E20" t="s">
        <v>21</v>
      </c>
      <c r="G20" t="s">
        <v>28</v>
      </c>
      <c r="H20" s="7" t="s">
        <v>1135</v>
      </c>
      <c r="I20" s="7" t="s">
        <v>1136</v>
      </c>
    </row>
    <row r="21" spans="1:9" x14ac:dyDescent="0.25">
      <c r="A21" t="s">
        <v>114</v>
      </c>
      <c r="B21" t="s">
        <v>117</v>
      </c>
      <c r="C21" t="s">
        <v>118</v>
      </c>
      <c r="D21" t="s">
        <v>57</v>
      </c>
      <c r="E21" t="s">
        <v>21</v>
      </c>
      <c r="F21" t="s">
        <v>53</v>
      </c>
      <c r="G21" t="s">
        <v>28</v>
      </c>
      <c r="H21" s="7" t="s">
        <v>1125</v>
      </c>
      <c r="I21" s="7" t="s">
        <v>1126</v>
      </c>
    </row>
    <row r="22" spans="1:9" x14ac:dyDescent="0.25">
      <c r="A22" t="s">
        <v>114</v>
      </c>
      <c r="B22" t="s">
        <v>120</v>
      </c>
      <c r="C22" t="s">
        <v>121</v>
      </c>
      <c r="D22" t="s">
        <v>57</v>
      </c>
      <c r="E22" t="s">
        <v>21</v>
      </c>
      <c r="G22" t="s">
        <v>24</v>
      </c>
      <c r="H22" s="7" t="s">
        <v>1125</v>
      </c>
      <c r="I22" s="7" t="s">
        <v>1126</v>
      </c>
    </row>
    <row r="23" spans="1:9" x14ac:dyDescent="0.25">
      <c r="A23" t="s">
        <v>127</v>
      </c>
      <c r="B23" t="s">
        <v>128</v>
      </c>
      <c r="C23" t="s">
        <v>129</v>
      </c>
      <c r="D23" t="s">
        <v>57</v>
      </c>
      <c r="E23" t="s">
        <v>21</v>
      </c>
      <c r="F23" t="s">
        <v>53</v>
      </c>
      <c r="G23" t="s">
        <v>28</v>
      </c>
      <c r="H23" s="7" t="s">
        <v>1129</v>
      </c>
      <c r="I23" s="7" t="s">
        <v>1130</v>
      </c>
    </row>
    <row r="24" spans="1:9" x14ac:dyDescent="0.25">
      <c r="A24" t="s">
        <v>131</v>
      </c>
      <c r="B24" t="s">
        <v>132</v>
      </c>
      <c r="C24" t="s">
        <v>133</v>
      </c>
      <c r="D24" t="s">
        <v>57</v>
      </c>
      <c r="E24" t="s">
        <v>21</v>
      </c>
      <c r="G24" t="s">
        <v>28</v>
      </c>
      <c r="H24" s="7" t="s">
        <v>1137</v>
      </c>
      <c r="I24" s="7" t="s">
        <v>1138</v>
      </c>
    </row>
    <row r="25" spans="1:9" x14ac:dyDescent="0.25">
      <c r="A25" t="s">
        <v>135</v>
      </c>
      <c r="B25" t="s">
        <v>136</v>
      </c>
      <c r="C25" t="s">
        <v>137</v>
      </c>
      <c r="D25" t="s">
        <v>57</v>
      </c>
      <c r="E25" t="s">
        <v>21</v>
      </c>
      <c r="F25" t="s">
        <v>53</v>
      </c>
      <c r="G25" t="s">
        <v>28</v>
      </c>
      <c r="H25" s="7" t="s">
        <v>1139</v>
      </c>
      <c r="I25" s="7" t="s">
        <v>1140</v>
      </c>
    </row>
    <row r="26" spans="1:9" x14ac:dyDescent="0.25">
      <c r="A26" t="s">
        <v>139</v>
      </c>
      <c r="B26" t="s">
        <v>140</v>
      </c>
      <c r="C26" t="s">
        <v>141</v>
      </c>
      <c r="D26" t="s">
        <v>57</v>
      </c>
      <c r="E26" t="s">
        <v>21</v>
      </c>
      <c r="G26" t="s">
        <v>28</v>
      </c>
      <c r="H26" s="7" t="s">
        <v>1141</v>
      </c>
      <c r="I26" s="7" t="s">
        <v>1142</v>
      </c>
    </row>
    <row r="27" spans="1:9" x14ac:dyDescent="0.25">
      <c r="A27" t="s">
        <v>142</v>
      </c>
      <c r="B27" t="s">
        <v>143</v>
      </c>
      <c r="C27" t="s">
        <v>144</v>
      </c>
      <c r="D27" t="s">
        <v>57</v>
      </c>
      <c r="E27" t="s">
        <v>21</v>
      </c>
      <c r="G27" t="s">
        <v>24</v>
      </c>
      <c r="H27" s="7" t="s">
        <v>1143</v>
      </c>
      <c r="I27" s="7" t="s">
        <v>1144</v>
      </c>
    </row>
    <row r="28" spans="1:9" x14ac:dyDescent="0.25">
      <c r="A28" t="s">
        <v>146</v>
      </c>
      <c r="B28" t="s">
        <v>147</v>
      </c>
      <c r="C28" t="s">
        <v>148</v>
      </c>
      <c r="D28" t="s">
        <v>57</v>
      </c>
      <c r="E28" t="s">
        <v>21</v>
      </c>
      <c r="G28" t="s">
        <v>24</v>
      </c>
      <c r="H28" s="7" t="s">
        <v>1145</v>
      </c>
      <c r="I28" s="7" t="s">
        <v>1146</v>
      </c>
    </row>
    <row r="29" spans="1:9" x14ac:dyDescent="0.25">
      <c r="A29" t="s">
        <v>154</v>
      </c>
      <c r="B29" t="s">
        <v>155</v>
      </c>
      <c r="C29" t="s">
        <v>156</v>
      </c>
      <c r="D29" t="s">
        <v>57</v>
      </c>
      <c r="E29" t="s">
        <v>21</v>
      </c>
      <c r="G29" t="s">
        <v>24</v>
      </c>
      <c r="H29" s="7" t="s">
        <v>1125</v>
      </c>
      <c r="I29" s="7" t="s">
        <v>1126</v>
      </c>
    </row>
    <row r="30" spans="1:9" x14ac:dyDescent="0.25">
      <c r="A30" t="s">
        <v>157</v>
      </c>
      <c r="B30" t="s">
        <v>158</v>
      </c>
      <c r="C30" t="s">
        <v>159</v>
      </c>
      <c r="D30" t="s">
        <v>57</v>
      </c>
      <c r="E30" t="s">
        <v>21</v>
      </c>
      <c r="G30" t="s">
        <v>24</v>
      </c>
      <c r="H30" s="7" t="s">
        <v>1147</v>
      </c>
      <c r="I30" s="7" t="s">
        <v>1148</v>
      </c>
    </row>
    <row r="31" spans="1:9" x14ac:dyDescent="0.25">
      <c r="A31" t="s">
        <v>162</v>
      </c>
      <c r="B31" t="s">
        <v>163</v>
      </c>
      <c r="C31" t="s">
        <v>164</v>
      </c>
      <c r="D31" t="s">
        <v>57</v>
      </c>
      <c r="E31" t="s">
        <v>21</v>
      </c>
      <c r="G31" t="s">
        <v>28</v>
      </c>
      <c r="H31" s="7" t="s">
        <v>1149</v>
      </c>
      <c r="I31" s="7" t="s">
        <v>1150</v>
      </c>
    </row>
    <row r="32" spans="1:9" x14ac:dyDescent="0.25">
      <c r="A32" t="s">
        <v>166</v>
      </c>
      <c r="B32" t="s">
        <v>167</v>
      </c>
      <c r="C32" t="s">
        <v>168</v>
      </c>
      <c r="D32" t="s">
        <v>57</v>
      </c>
      <c r="E32" t="s">
        <v>21</v>
      </c>
      <c r="G32" t="s">
        <v>28</v>
      </c>
      <c r="H32" s="7" t="s">
        <v>1123</v>
      </c>
      <c r="I32" s="7" t="s">
        <v>1124</v>
      </c>
    </row>
    <row r="33" spans="1:9" x14ac:dyDescent="0.25">
      <c r="A33" t="s">
        <v>172</v>
      </c>
      <c r="B33" t="s">
        <v>173</v>
      </c>
      <c r="C33" t="s">
        <v>174</v>
      </c>
      <c r="D33" t="s">
        <v>57</v>
      </c>
      <c r="E33" t="s">
        <v>21</v>
      </c>
      <c r="F33" t="s">
        <v>53</v>
      </c>
      <c r="G33" t="s">
        <v>28</v>
      </c>
      <c r="H33" s="7" t="s">
        <v>1125</v>
      </c>
      <c r="I33" s="7" t="s">
        <v>1126</v>
      </c>
    </row>
    <row r="34" spans="1:9" x14ac:dyDescent="0.25">
      <c r="A34" t="s">
        <v>176</v>
      </c>
      <c r="B34" t="s">
        <v>177</v>
      </c>
      <c r="C34" t="s">
        <v>178</v>
      </c>
      <c r="D34" t="s">
        <v>57</v>
      </c>
      <c r="E34" t="s">
        <v>21</v>
      </c>
      <c r="G34" t="s">
        <v>28</v>
      </c>
      <c r="H34" s="7" t="s">
        <v>1151</v>
      </c>
      <c r="I34" s="7" t="s">
        <v>1152</v>
      </c>
    </row>
    <row r="35" spans="1:9" x14ac:dyDescent="0.25">
      <c r="A35" t="s">
        <v>176</v>
      </c>
      <c r="B35" t="s">
        <v>180</v>
      </c>
      <c r="C35" t="s">
        <v>181</v>
      </c>
      <c r="D35" t="s">
        <v>57</v>
      </c>
      <c r="E35" t="s">
        <v>21</v>
      </c>
      <c r="F35" t="s">
        <v>53</v>
      </c>
      <c r="G35" t="s">
        <v>24</v>
      </c>
      <c r="H35" s="7" t="s">
        <v>1121</v>
      </c>
      <c r="I35" s="7" t="s">
        <v>1122</v>
      </c>
    </row>
    <row r="36" spans="1:9" x14ac:dyDescent="0.25">
      <c r="A36" t="s">
        <v>176</v>
      </c>
      <c r="B36" t="s">
        <v>183</v>
      </c>
      <c r="C36" t="s">
        <v>184</v>
      </c>
      <c r="D36" t="s">
        <v>57</v>
      </c>
      <c r="E36" t="s">
        <v>21</v>
      </c>
      <c r="F36" t="s">
        <v>53</v>
      </c>
      <c r="G36" t="s">
        <v>28</v>
      </c>
      <c r="H36" s="7" t="s">
        <v>1125</v>
      </c>
      <c r="I36" s="7" t="s">
        <v>1126</v>
      </c>
    </row>
    <row r="37" spans="1:9" x14ac:dyDescent="0.25">
      <c r="A37" t="s">
        <v>176</v>
      </c>
      <c r="B37" t="s">
        <v>185</v>
      </c>
      <c r="C37" t="s">
        <v>186</v>
      </c>
      <c r="D37" t="s">
        <v>57</v>
      </c>
      <c r="E37" t="s">
        <v>21</v>
      </c>
      <c r="G37" t="s">
        <v>24</v>
      </c>
      <c r="H37" s="7" t="s">
        <v>1153</v>
      </c>
      <c r="I37" s="7" t="s">
        <v>1154</v>
      </c>
    </row>
    <row r="38" spans="1:9" x14ac:dyDescent="0.25">
      <c r="A38" t="s">
        <v>192</v>
      </c>
      <c r="B38" t="s">
        <v>193</v>
      </c>
      <c r="C38" t="s">
        <v>194</v>
      </c>
      <c r="D38" t="s">
        <v>57</v>
      </c>
      <c r="E38" t="s">
        <v>21</v>
      </c>
      <c r="G38" t="s">
        <v>24</v>
      </c>
      <c r="H38" s="7" t="s">
        <v>1155</v>
      </c>
      <c r="I38" s="7" t="s">
        <v>1156</v>
      </c>
    </row>
    <row r="39" spans="1:9" x14ac:dyDescent="0.25">
      <c r="A39" t="s">
        <v>196</v>
      </c>
      <c r="B39" t="s">
        <v>197</v>
      </c>
      <c r="C39" t="s">
        <v>198</v>
      </c>
      <c r="D39" t="s">
        <v>57</v>
      </c>
      <c r="E39" t="s">
        <v>21</v>
      </c>
      <c r="G39" t="s">
        <v>28</v>
      </c>
      <c r="H39" s="7" t="s">
        <v>1157</v>
      </c>
      <c r="I39" s="7" t="s">
        <v>1158</v>
      </c>
    </row>
    <row r="40" spans="1:9" x14ac:dyDescent="0.25">
      <c r="A40" t="s">
        <v>200</v>
      </c>
      <c r="B40" t="s">
        <v>201</v>
      </c>
      <c r="C40" t="s">
        <v>202</v>
      </c>
      <c r="D40" t="s">
        <v>57</v>
      </c>
      <c r="E40" t="s">
        <v>21</v>
      </c>
      <c r="G40" t="s">
        <v>28</v>
      </c>
      <c r="H40" s="7" t="s">
        <v>1159</v>
      </c>
      <c r="I40" s="7" t="s">
        <v>1160</v>
      </c>
    </row>
    <row r="41" spans="1:9" x14ac:dyDescent="0.25">
      <c r="A41" t="s">
        <v>205</v>
      </c>
      <c r="B41" t="s">
        <v>206</v>
      </c>
      <c r="C41" t="s">
        <v>207</v>
      </c>
      <c r="D41" t="s">
        <v>57</v>
      </c>
      <c r="E41" t="s">
        <v>21</v>
      </c>
      <c r="G41" t="s">
        <v>24</v>
      </c>
      <c r="H41" s="7" t="s">
        <v>1161</v>
      </c>
      <c r="I41" s="7" t="s">
        <v>1162</v>
      </c>
    </row>
    <row r="42" spans="1:9" x14ac:dyDescent="0.25">
      <c r="A42" t="s">
        <v>209</v>
      </c>
      <c r="B42" t="s">
        <v>210</v>
      </c>
      <c r="C42" t="s">
        <v>211</v>
      </c>
      <c r="D42" t="s">
        <v>57</v>
      </c>
      <c r="E42" t="s">
        <v>21</v>
      </c>
      <c r="G42" t="s">
        <v>28</v>
      </c>
      <c r="H42" s="7" t="s">
        <v>1159</v>
      </c>
      <c r="I42" s="7" t="s">
        <v>1160</v>
      </c>
    </row>
    <row r="43" spans="1:9" x14ac:dyDescent="0.25">
      <c r="A43" t="s">
        <v>209</v>
      </c>
      <c r="B43" t="s">
        <v>212</v>
      </c>
      <c r="C43" t="s">
        <v>213</v>
      </c>
      <c r="D43" t="s">
        <v>57</v>
      </c>
      <c r="E43" t="s">
        <v>21</v>
      </c>
      <c r="F43" t="s">
        <v>53</v>
      </c>
      <c r="G43" t="s">
        <v>24</v>
      </c>
      <c r="H43" s="7" t="s">
        <v>1129</v>
      </c>
      <c r="I43" s="7" t="s">
        <v>1130</v>
      </c>
    </row>
    <row r="44" spans="1:9" x14ac:dyDescent="0.25">
      <c r="A44" t="s">
        <v>215</v>
      </c>
      <c r="B44" t="s">
        <v>216</v>
      </c>
      <c r="C44" t="s">
        <v>217</v>
      </c>
      <c r="D44" t="s">
        <v>57</v>
      </c>
      <c r="E44" t="s">
        <v>21</v>
      </c>
      <c r="G44" t="s">
        <v>28</v>
      </c>
      <c r="H44" s="7" t="s">
        <v>1125</v>
      </c>
      <c r="I44" s="7" t="s">
        <v>1126</v>
      </c>
    </row>
    <row r="45" spans="1:9" x14ac:dyDescent="0.25">
      <c r="A45" t="s">
        <v>220</v>
      </c>
      <c r="B45" t="s">
        <v>221</v>
      </c>
      <c r="C45" t="s">
        <v>222</v>
      </c>
      <c r="D45" t="s">
        <v>57</v>
      </c>
      <c r="E45" t="s">
        <v>21</v>
      </c>
      <c r="F45" t="s">
        <v>53</v>
      </c>
      <c r="G45" t="s">
        <v>28</v>
      </c>
      <c r="H45" s="7" t="s">
        <v>1163</v>
      </c>
      <c r="I45" s="7" t="s">
        <v>1164</v>
      </c>
    </row>
    <row r="46" spans="1:9" x14ac:dyDescent="0.25">
      <c r="A46" t="s">
        <v>224</v>
      </c>
      <c r="B46" t="s">
        <v>225</v>
      </c>
      <c r="C46" t="s">
        <v>226</v>
      </c>
      <c r="D46" t="s">
        <v>57</v>
      </c>
      <c r="E46" t="s">
        <v>21</v>
      </c>
      <c r="G46" t="s">
        <v>28</v>
      </c>
      <c r="H46" s="7" t="s">
        <v>1165</v>
      </c>
      <c r="I46" s="7" t="s">
        <v>1166</v>
      </c>
    </row>
    <row r="47" spans="1:9" x14ac:dyDescent="0.25">
      <c r="A47" t="s">
        <v>227</v>
      </c>
      <c r="C47" t="s">
        <v>228</v>
      </c>
      <c r="D47" t="s">
        <v>57</v>
      </c>
      <c r="E47" t="s">
        <v>21</v>
      </c>
      <c r="F47" t="s">
        <v>53</v>
      </c>
      <c r="G47" t="s">
        <v>24</v>
      </c>
      <c r="H47" s="7" t="s">
        <v>1125</v>
      </c>
      <c r="I47" s="7" t="s">
        <v>1126</v>
      </c>
    </row>
    <row r="48" spans="1:9" x14ac:dyDescent="0.25">
      <c r="A48" t="s">
        <v>231</v>
      </c>
      <c r="B48" t="s">
        <v>232</v>
      </c>
      <c r="C48" t="s">
        <v>233</v>
      </c>
      <c r="D48" t="s">
        <v>57</v>
      </c>
      <c r="E48" t="s">
        <v>21</v>
      </c>
      <c r="G48" t="s">
        <v>28</v>
      </c>
      <c r="H48" s="7" t="s">
        <v>1167</v>
      </c>
      <c r="I48" s="7" t="s">
        <v>1168</v>
      </c>
    </row>
    <row r="49" spans="1:9" x14ac:dyDescent="0.25">
      <c r="A49" t="s">
        <v>235</v>
      </c>
      <c r="B49" t="s">
        <v>236</v>
      </c>
      <c r="C49" t="s">
        <v>237</v>
      </c>
      <c r="D49" t="s">
        <v>57</v>
      </c>
      <c r="E49" t="s">
        <v>21</v>
      </c>
      <c r="G49" t="s">
        <v>28</v>
      </c>
      <c r="H49" s="7" t="s">
        <v>1169</v>
      </c>
      <c r="I49" s="7" t="s">
        <v>1170</v>
      </c>
    </row>
    <row r="50" spans="1:9" x14ac:dyDescent="0.25">
      <c r="A50" t="s">
        <v>235</v>
      </c>
      <c r="B50" t="s">
        <v>238</v>
      </c>
      <c r="C50" t="s">
        <v>239</v>
      </c>
      <c r="D50" t="s">
        <v>57</v>
      </c>
      <c r="E50" t="s">
        <v>21</v>
      </c>
      <c r="G50" t="s">
        <v>24</v>
      </c>
      <c r="H50" s="7" t="s">
        <v>1119</v>
      </c>
      <c r="I50" s="7" t="s">
        <v>1120</v>
      </c>
    </row>
    <row r="51" spans="1:9" x14ac:dyDescent="0.25">
      <c r="A51" t="s">
        <v>241</v>
      </c>
      <c r="B51" t="s">
        <v>242</v>
      </c>
      <c r="C51" t="s">
        <v>243</v>
      </c>
      <c r="D51" t="s">
        <v>57</v>
      </c>
      <c r="E51" t="s">
        <v>21</v>
      </c>
      <c r="F51" t="s">
        <v>53</v>
      </c>
      <c r="G51" t="s">
        <v>24</v>
      </c>
      <c r="H51" s="7" t="s">
        <v>1129</v>
      </c>
      <c r="I51" s="7" t="s">
        <v>1130</v>
      </c>
    </row>
    <row r="52" spans="1:9" x14ac:dyDescent="0.25">
      <c r="A52" t="s">
        <v>245</v>
      </c>
      <c r="B52" t="s">
        <v>246</v>
      </c>
      <c r="C52" t="s">
        <v>247</v>
      </c>
      <c r="D52" t="s">
        <v>57</v>
      </c>
      <c r="E52" t="s">
        <v>21</v>
      </c>
      <c r="F52" t="s">
        <v>53</v>
      </c>
      <c r="G52" t="s">
        <v>24</v>
      </c>
      <c r="H52" s="7" t="s">
        <v>1125</v>
      </c>
      <c r="I52" s="7" t="s">
        <v>1126</v>
      </c>
    </row>
    <row r="53" spans="1:9" x14ac:dyDescent="0.25">
      <c r="A53" t="s">
        <v>250</v>
      </c>
      <c r="B53" t="s">
        <v>251</v>
      </c>
      <c r="C53" t="s">
        <v>252</v>
      </c>
      <c r="D53" t="s">
        <v>57</v>
      </c>
      <c r="E53" t="s">
        <v>21</v>
      </c>
      <c r="G53" t="s">
        <v>24</v>
      </c>
      <c r="H53" s="7" t="s">
        <v>1125</v>
      </c>
      <c r="I53" s="7" t="s">
        <v>1126</v>
      </c>
    </row>
    <row r="54" spans="1:9" x14ac:dyDescent="0.25">
      <c r="A54" t="s">
        <v>254</v>
      </c>
      <c r="B54" t="s">
        <v>255</v>
      </c>
      <c r="C54" t="s">
        <v>256</v>
      </c>
      <c r="D54" t="s">
        <v>57</v>
      </c>
      <c r="E54" t="s">
        <v>21</v>
      </c>
      <c r="F54" t="s">
        <v>258</v>
      </c>
      <c r="G54" t="s">
        <v>28</v>
      </c>
      <c r="H54" s="7" t="s">
        <v>1171</v>
      </c>
      <c r="I54" s="7" t="s">
        <v>1172</v>
      </c>
    </row>
    <row r="55" spans="1:9" x14ac:dyDescent="0.25">
      <c r="A55" t="s">
        <v>254</v>
      </c>
      <c r="B55" t="s">
        <v>259</v>
      </c>
      <c r="C55" t="s">
        <v>260</v>
      </c>
      <c r="D55" t="s">
        <v>57</v>
      </c>
      <c r="E55" t="s">
        <v>21</v>
      </c>
      <c r="F55" t="s">
        <v>263</v>
      </c>
      <c r="G55" t="s">
        <v>28</v>
      </c>
      <c r="H55" s="7" t="s">
        <v>1125</v>
      </c>
      <c r="I55" s="7" t="s">
        <v>1126</v>
      </c>
    </row>
    <row r="56" spans="1:9" x14ac:dyDescent="0.25">
      <c r="A56" t="s">
        <v>254</v>
      </c>
      <c r="B56" t="s">
        <v>264</v>
      </c>
      <c r="C56" t="s">
        <v>265</v>
      </c>
      <c r="D56" t="s">
        <v>57</v>
      </c>
      <c r="E56" t="s">
        <v>21</v>
      </c>
      <c r="F56" t="s">
        <v>53</v>
      </c>
      <c r="G56" t="s">
        <v>24</v>
      </c>
      <c r="H56" s="7" t="s">
        <v>1125</v>
      </c>
      <c r="I56" s="7" t="s">
        <v>1126</v>
      </c>
    </row>
    <row r="57" spans="1:9" x14ac:dyDescent="0.25">
      <c r="A57" t="s">
        <v>267</v>
      </c>
      <c r="B57" t="s">
        <v>268</v>
      </c>
      <c r="C57" t="s">
        <v>269</v>
      </c>
      <c r="D57" t="s">
        <v>57</v>
      </c>
      <c r="E57" t="s">
        <v>21</v>
      </c>
      <c r="F57" t="s">
        <v>53</v>
      </c>
      <c r="G57" t="s">
        <v>28</v>
      </c>
      <c r="H57" s="7" t="s">
        <v>1173</v>
      </c>
      <c r="I57" s="7" t="s">
        <v>1174</v>
      </c>
    </row>
    <row r="58" spans="1:9" x14ac:dyDescent="0.25">
      <c r="A58" t="s">
        <v>271</v>
      </c>
      <c r="B58" t="s">
        <v>272</v>
      </c>
      <c r="C58" t="s">
        <v>273</v>
      </c>
      <c r="D58" t="s">
        <v>57</v>
      </c>
      <c r="E58" t="s">
        <v>21</v>
      </c>
      <c r="G58" t="s">
        <v>24</v>
      </c>
      <c r="H58" s="7" t="s">
        <v>1175</v>
      </c>
      <c r="I58" s="7" t="str">
        <f>VLOOKUP(H58,[1]Sheet1!$A:$B,2,FALSE)</f>
        <v>CAN - Consulting - OH - Finance</v>
      </c>
    </row>
    <row r="59" spans="1:9" x14ac:dyDescent="0.25">
      <c r="A59" t="s">
        <v>271</v>
      </c>
      <c r="B59" t="s">
        <v>272</v>
      </c>
      <c r="C59" t="s">
        <v>275</v>
      </c>
      <c r="D59" t="s">
        <v>57</v>
      </c>
      <c r="E59" t="s">
        <v>21</v>
      </c>
      <c r="G59" t="s">
        <v>28</v>
      </c>
      <c r="H59" s="7" t="s">
        <v>1175</v>
      </c>
      <c r="I59" s="7" t="s">
        <v>1176</v>
      </c>
    </row>
    <row r="60" spans="1:9" x14ac:dyDescent="0.25">
      <c r="A60" t="s">
        <v>277</v>
      </c>
      <c r="B60" t="s">
        <v>278</v>
      </c>
      <c r="C60" t="s">
        <v>279</v>
      </c>
      <c r="D60" t="s">
        <v>57</v>
      </c>
      <c r="E60" t="s">
        <v>21</v>
      </c>
      <c r="G60" t="s">
        <v>24</v>
      </c>
      <c r="H60" s="7" t="s">
        <v>1177</v>
      </c>
      <c r="I60" s="7" t="s">
        <v>1178</v>
      </c>
    </row>
    <row r="61" spans="1:9" x14ac:dyDescent="0.25">
      <c r="A61" t="s">
        <v>277</v>
      </c>
      <c r="B61" t="s">
        <v>281</v>
      </c>
      <c r="C61" t="s">
        <v>282</v>
      </c>
      <c r="D61" t="s">
        <v>57</v>
      </c>
      <c r="E61" t="s">
        <v>21</v>
      </c>
      <c r="F61" t="s">
        <v>53</v>
      </c>
      <c r="G61" t="s">
        <v>24</v>
      </c>
      <c r="H61" s="7" t="s">
        <v>1125</v>
      </c>
      <c r="I61" s="7" t="s">
        <v>1126</v>
      </c>
    </row>
    <row r="62" spans="1:9" x14ac:dyDescent="0.25">
      <c r="A62" t="s">
        <v>277</v>
      </c>
      <c r="B62" t="s">
        <v>284</v>
      </c>
      <c r="C62" t="s">
        <v>285</v>
      </c>
      <c r="D62" t="s">
        <v>57</v>
      </c>
      <c r="E62" t="s">
        <v>21</v>
      </c>
      <c r="F62" t="s">
        <v>53</v>
      </c>
      <c r="G62" t="s">
        <v>24</v>
      </c>
      <c r="H62" s="7" t="s">
        <v>1125</v>
      </c>
      <c r="I62" s="7" t="s">
        <v>1126</v>
      </c>
    </row>
    <row r="63" spans="1:9" x14ac:dyDescent="0.25">
      <c r="A63" t="s">
        <v>288</v>
      </c>
      <c r="B63" t="s">
        <v>289</v>
      </c>
      <c r="C63" t="s">
        <v>290</v>
      </c>
      <c r="D63" t="s">
        <v>57</v>
      </c>
      <c r="E63" t="s">
        <v>21</v>
      </c>
      <c r="G63" t="s">
        <v>28</v>
      </c>
      <c r="H63" s="7" t="s">
        <v>1179</v>
      </c>
      <c r="I63" s="7" t="s">
        <v>1180</v>
      </c>
    </row>
    <row r="64" spans="1:9" x14ac:dyDescent="0.25">
      <c r="A64" t="s">
        <v>292</v>
      </c>
      <c r="B64" t="s">
        <v>293</v>
      </c>
      <c r="C64" t="s">
        <v>294</v>
      </c>
      <c r="D64" t="s">
        <v>57</v>
      </c>
      <c r="E64" t="s">
        <v>21</v>
      </c>
      <c r="F64" t="s">
        <v>53</v>
      </c>
      <c r="G64" t="s">
        <v>24</v>
      </c>
      <c r="H64" s="7" t="s">
        <v>1125</v>
      </c>
      <c r="I64" s="7" t="s">
        <v>1126</v>
      </c>
    </row>
    <row r="65" spans="1:9" x14ac:dyDescent="0.25">
      <c r="A65" t="s">
        <v>297</v>
      </c>
      <c r="B65" t="s">
        <v>298</v>
      </c>
      <c r="C65" t="s">
        <v>299</v>
      </c>
      <c r="D65" t="s">
        <v>57</v>
      </c>
      <c r="E65" t="s">
        <v>21</v>
      </c>
      <c r="G65" t="s">
        <v>28</v>
      </c>
      <c r="H65" s="7" t="s">
        <v>1181</v>
      </c>
      <c r="I65" s="7" t="s">
        <v>1182</v>
      </c>
    </row>
    <row r="66" spans="1:9" x14ac:dyDescent="0.25">
      <c r="A66" t="s">
        <v>300</v>
      </c>
      <c r="B66" t="s">
        <v>301</v>
      </c>
      <c r="C66" t="s">
        <v>302</v>
      </c>
      <c r="D66" t="s">
        <v>57</v>
      </c>
      <c r="E66" t="s">
        <v>21</v>
      </c>
      <c r="G66" t="s">
        <v>24</v>
      </c>
      <c r="H66" s="7" t="s">
        <v>1151</v>
      </c>
      <c r="I66" s="7" t="str">
        <f>VLOOKUP(H66,[1]Sheet1!$A:$B,2,FALSE)</f>
        <v>USA - Consulting - Robbinsville - Operations</v>
      </c>
    </row>
    <row r="67" spans="1:9" x14ac:dyDescent="0.25">
      <c r="A67" t="s">
        <v>304</v>
      </c>
      <c r="B67" t="s">
        <v>305</v>
      </c>
      <c r="C67" t="s">
        <v>306</v>
      </c>
      <c r="D67" t="s">
        <v>57</v>
      </c>
      <c r="E67" t="s">
        <v>21</v>
      </c>
      <c r="G67" t="s">
        <v>28</v>
      </c>
      <c r="H67" s="7" t="s">
        <v>1183</v>
      </c>
      <c r="I67" s="7" t="s">
        <v>1184</v>
      </c>
    </row>
    <row r="68" spans="1:9" x14ac:dyDescent="0.25">
      <c r="A68" t="s">
        <v>307</v>
      </c>
      <c r="B68" t="s">
        <v>308</v>
      </c>
      <c r="C68" t="s">
        <v>309</v>
      </c>
      <c r="D68" t="s">
        <v>57</v>
      </c>
      <c r="E68" t="s">
        <v>21</v>
      </c>
      <c r="F68" t="s">
        <v>53</v>
      </c>
      <c r="G68" t="s">
        <v>24</v>
      </c>
      <c r="H68" s="7" t="s">
        <v>1185</v>
      </c>
      <c r="I68" s="7" t="s">
        <v>1186</v>
      </c>
    </row>
    <row r="69" spans="1:9" x14ac:dyDescent="0.25">
      <c r="A69" t="s">
        <v>312</v>
      </c>
      <c r="B69" t="s">
        <v>313</v>
      </c>
      <c r="C69" t="s">
        <v>314</v>
      </c>
      <c r="D69" t="s">
        <v>57</v>
      </c>
      <c r="E69" t="s">
        <v>21</v>
      </c>
      <c r="G69" t="s">
        <v>24</v>
      </c>
      <c r="H69" s="7" t="s">
        <v>1129</v>
      </c>
      <c r="I69" s="7" t="s">
        <v>1130</v>
      </c>
    </row>
    <row r="70" spans="1:9" x14ac:dyDescent="0.25">
      <c r="A70" t="s">
        <v>312</v>
      </c>
      <c r="B70" t="s">
        <v>317</v>
      </c>
      <c r="C70" t="s">
        <v>318</v>
      </c>
      <c r="D70" t="s">
        <v>57</v>
      </c>
      <c r="E70" t="s">
        <v>21</v>
      </c>
      <c r="F70" t="s">
        <v>53</v>
      </c>
      <c r="G70" t="s">
        <v>28</v>
      </c>
      <c r="H70" s="7" t="s">
        <v>1121</v>
      </c>
      <c r="I70" s="7" t="s">
        <v>1122</v>
      </c>
    </row>
    <row r="71" spans="1:9" x14ac:dyDescent="0.25">
      <c r="A71" t="s">
        <v>17</v>
      </c>
      <c r="B71" t="s">
        <v>320</v>
      </c>
      <c r="C71" t="s">
        <v>321</v>
      </c>
      <c r="D71" t="s">
        <v>57</v>
      </c>
      <c r="E71" t="s">
        <v>21</v>
      </c>
      <c r="F71" t="s">
        <v>53</v>
      </c>
      <c r="G71" t="s">
        <v>28</v>
      </c>
      <c r="H71" s="7" t="s">
        <v>1125</v>
      </c>
      <c r="I71" s="7" t="s">
        <v>1126</v>
      </c>
    </row>
    <row r="72" spans="1:9" x14ac:dyDescent="0.25">
      <c r="A72" t="s">
        <v>17</v>
      </c>
      <c r="B72" t="s">
        <v>323</v>
      </c>
      <c r="C72" t="s">
        <v>324</v>
      </c>
      <c r="D72" t="s">
        <v>57</v>
      </c>
      <c r="E72" t="s">
        <v>21</v>
      </c>
      <c r="G72" t="s">
        <v>28</v>
      </c>
      <c r="H72" s="7" t="s">
        <v>1179</v>
      </c>
      <c r="I72" s="7" t="s">
        <v>1180</v>
      </c>
    </row>
    <row r="73" spans="1:9" x14ac:dyDescent="0.25">
      <c r="A73" t="s">
        <v>325</v>
      </c>
      <c r="B73" t="s">
        <v>326</v>
      </c>
      <c r="C73" t="s">
        <v>327</v>
      </c>
      <c r="D73" t="s">
        <v>57</v>
      </c>
      <c r="E73" t="s">
        <v>21</v>
      </c>
      <c r="F73" t="s">
        <v>53</v>
      </c>
      <c r="G73" t="s">
        <v>24</v>
      </c>
      <c r="H73" s="7" t="s">
        <v>1125</v>
      </c>
      <c r="I73" s="7" t="s">
        <v>1126</v>
      </c>
    </row>
    <row r="74" spans="1:9" x14ac:dyDescent="0.25">
      <c r="A74" t="s">
        <v>325</v>
      </c>
      <c r="B74" t="s">
        <v>330</v>
      </c>
      <c r="C74" t="s">
        <v>331</v>
      </c>
      <c r="D74" t="s">
        <v>57</v>
      </c>
      <c r="E74" t="s">
        <v>21</v>
      </c>
      <c r="G74" t="s">
        <v>24</v>
      </c>
      <c r="H74" s="7" t="s">
        <v>1187</v>
      </c>
      <c r="I74" s="7" t="s">
        <v>1188</v>
      </c>
    </row>
    <row r="75" spans="1:9" x14ac:dyDescent="0.25">
      <c r="A75" t="s">
        <v>325</v>
      </c>
      <c r="B75" t="s">
        <v>332</v>
      </c>
      <c r="C75" t="s">
        <v>333</v>
      </c>
      <c r="D75" t="s">
        <v>57</v>
      </c>
      <c r="E75" t="s">
        <v>21</v>
      </c>
      <c r="F75" t="s">
        <v>53</v>
      </c>
      <c r="G75" t="s">
        <v>28</v>
      </c>
      <c r="H75" s="7" t="s">
        <v>1129</v>
      </c>
      <c r="I75" s="7" t="s">
        <v>1130</v>
      </c>
    </row>
    <row r="76" spans="1:9" x14ac:dyDescent="0.25">
      <c r="A76" t="s">
        <v>339</v>
      </c>
      <c r="B76" t="s">
        <v>340</v>
      </c>
      <c r="C76" t="s">
        <v>341</v>
      </c>
      <c r="D76" t="s">
        <v>57</v>
      </c>
      <c r="E76" t="s">
        <v>21</v>
      </c>
      <c r="G76" t="s">
        <v>28</v>
      </c>
      <c r="H76" s="7" t="s">
        <v>1129</v>
      </c>
      <c r="I76" s="7" t="s">
        <v>1130</v>
      </c>
    </row>
    <row r="77" spans="1:9" x14ac:dyDescent="0.25">
      <c r="A77" t="s">
        <v>343</v>
      </c>
      <c r="B77" t="s">
        <v>344</v>
      </c>
      <c r="C77" t="s">
        <v>345</v>
      </c>
      <c r="D77" t="s">
        <v>57</v>
      </c>
      <c r="E77" t="s">
        <v>21</v>
      </c>
      <c r="F77" t="s">
        <v>53</v>
      </c>
      <c r="G77" t="s">
        <v>24</v>
      </c>
      <c r="H77" s="7" t="s">
        <v>1189</v>
      </c>
      <c r="I77" s="7" t="s">
        <v>1190</v>
      </c>
    </row>
    <row r="78" spans="1:9" x14ac:dyDescent="0.25">
      <c r="A78" t="s">
        <v>347</v>
      </c>
      <c r="B78" t="s">
        <v>348</v>
      </c>
      <c r="C78" t="s">
        <v>349</v>
      </c>
      <c r="D78" t="s">
        <v>57</v>
      </c>
      <c r="E78" t="s">
        <v>21</v>
      </c>
      <c r="F78" t="s">
        <v>53</v>
      </c>
      <c r="G78" t="s">
        <v>24</v>
      </c>
      <c r="H78" s="7" t="s">
        <v>1191</v>
      </c>
      <c r="I78" s="7" t="s">
        <v>1192</v>
      </c>
    </row>
    <row r="79" spans="1:9" x14ac:dyDescent="0.25">
      <c r="A79" t="s">
        <v>352</v>
      </c>
      <c r="B79" t="s">
        <v>353</v>
      </c>
      <c r="C79" t="s">
        <v>354</v>
      </c>
      <c r="D79" t="s">
        <v>57</v>
      </c>
      <c r="E79" t="s">
        <v>21</v>
      </c>
      <c r="F79" t="s">
        <v>53</v>
      </c>
      <c r="G79" t="s">
        <v>28</v>
      </c>
      <c r="H79" s="7" t="s">
        <v>1125</v>
      </c>
      <c r="I79" s="7" t="s">
        <v>1126</v>
      </c>
    </row>
    <row r="80" spans="1:9" x14ac:dyDescent="0.25">
      <c r="A80" t="s">
        <v>352</v>
      </c>
      <c r="B80" t="s">
        <v>360</v>
      </c>
      <c r="C80" t="s">
        <v>361</v>
      </c>
      <c r="D80" t="s">
        <v>57</v>
      </c>
      <c r="E80" t="s">
        <v>21</v>
      </c>
      <c r="G80" t="s">
        <v>28</v>
      </c>
      <c r="H80" s="7" t="s">
        <v>1267</v>
      </c>
      <c r="I80" s="7" t="s">
        <v>1268</v>
      </c>
    </row>
    <row r="81" spans="1:9" x14ac:dyDescent="0.25">
      <c r="A81" t="s">
        <v>352</v>
      </c>
      <c r="B81" t="s">
        <v>362</v>
      </c>
      <c r="C81" t="s">
        <v>363</v>
      </c>
      <c r="D81" t="s">
        <v>57</v>
      </c>
      <c r="E81" t="s">
        <v>21</v>
      </c>
      <c r="G81" t="s">
        <v>28</v>
      </c>
      <c r="H81" s="7" t="s">
        <v>1171</v>
      </c>
      <c r="I81" s="7" t="s">
        <v>1172</v>
      </c>
    </row>
    <row r="82" spans="1:9" x14ac:dyDescent="0.25">
      <c r="A82" t="s">
        <v>352</v>
      </c>
      <c r="B82" t="s">
        <v>364</v>
      </c>
      <c r="C82" t="s">
        <v>365</v>
      </c>
      <c r="D82" t="s">
        <v>57</v>
      </c>
      <c r="E82" t="s">
        <v>21</v>
      </c>
      <c r="F82" t="s">
        <v>53</v>
      </c>
      <c r="G82" t="s">
        <v>24</v>
      </c>
      <c r="H82" s="7" t="s">
        <v>1161</v>
      </c>
      <c r="I82" s="7" t="s">
        <v>1162</v>
      </c>
    </row>
    <row r="83" spans="1:9" x14ac:dyDescent="0.25">
      <c r="A83" t="s">
        <v>352</v>
      </c>
      <c r="B83" t="s">
        <v>368</v>
      </c>
      <c r="C83" t="s">
        <v>369</v>
      </c>
      <c r="D83" t="s">
        <v>57</v>
      </c>
      <c r="E83" t="s">
        <v>21</v>
      </c>
      <c r="G83" t="s">
        <v>28</v>
      </c>
      <c r="H83" s="7" t="s">
        <v>1193</v>
      </c>
      <c r="I83" s="7" t="s">
        <v>1194</v>
      </c>
    </row>
    <row r="84" spans="1:9" x14ac:dyDescent="0.25">
      <c r="A84" t="s">
        <v>371</v>
      </c>
      <c r="B84" t="s">
        <v>372</v>
      </c>
      <c r="C84" t="s">
        <v>373</v>
      </c>
      <c r="D84" t="s">
        <v>57</v>
      </c>
      <c r="E84" t="s">
        <v>21</v>
      </c>
      <c r="G84" t="s">
        <v>28</v>
      </c>
      <c r="H84" s="7" t="s">
        <v>1165</v>
      </c>
      <c r="I84" s="7" t="s">
        <v>1166</v>
      </c>
    </row>
    <row r="85" spans="1:9" x14ac:dyDescent="0.25">
      <c r="A85" t="s">
        <v>375</v>
      </c>
      <c r="B85" t="s">
        <v>376</v>
      </c>
      <c r="C85" t="s">
        <v>377</v>
      </c>
      <c r="D85" t="s">
        <v>57</v>
      </c>
      <c r="E85" t="s">
        <v>21</v>
      </c>
      <c r="G85" t="s">
        <v>28</v>
      </c>
      <c r="H85" s="7" t="s">
        <v>1195</v>
      </c>
      <c r="I85" s="7" t="s">
        <v>1196</v>
      </c>
    </row>
    <row r="86" spans="1:9" x14ac:dyDescent="0.25">
      <c r="A86" t="s">
        <v>379</v>
      </c>
      <c r="B86" t="s">
        <v>380</v>
      </c>
      <c r="C86" t="s">
        <v>381</v>
      </c>
      <c r="D86" t="s">
        <v>57</v>
      </c>
      <c r="E86" t="s">
        <v>21</v>
      </c>
      <c r="G86" t="s">
        <v>24</v>
      </c>
      <c r="H86" s="7" t="s">
        <v>1197</v>
      </c>
      <c r="I86" s="7" t="s">
        <v>1198</v>
      </c>
    </row>
    <row r="87" spans="1:9" x14ac:dyDescent="0.25">
      <c r="A87" t="s">
        <v>382</v>
      </c>
      <c r="B87" t="s">
        <v>383</v>
      </c>
      <c r="C87" t="s">
        <v>384</v>
      </c>
      <c r="D87" t="s">
        <v>57</v>
      </c>
      <c r="E87" t="s">
        <v>21</v>
      </c>
      <c r="G87" t="s">
        <v>28</v>
      </c>
      <c r="H87" s="7" t="s">
        <v>1135</v>
      </c>
      <c r="I87" s="7" t="s">
        <v>1136</v>
      </c>
    </row>
    <row r="88" spans="1:9" x14ac:dyDescent="0.25">
      <c r="A88" t="s">
        <v>385</v>
      </c>
      <c r="B88" t="s">
        <v>386</v>
      </c>
      <c r="C88" t="s">
        <v>387</v>
      </c>
      <c r="D88" t="s">
        <v>57</v>
      </c>
      <c r="E88" t="s">
        <v>21</v>
      </c>
      <c r="F88" t="s">
        <v>53</v>
      </c>
      <c r="G88" t="s">
        <v>24</v>
      </c>
      <c r="H88" s="7" t="s">
        <v>1125</v>
      </c>
      <c r="I88" s="7" t="s">
        <v>1126</v>
      </c>
    </row>
    <row r="89" spans="1:9" x14ac:dyDescent="0.25">
      <c r="A89" t="s">
        <v>390</v>
      </c>
      <c r="B89" t="s">
        <v>391</v>
      </c>
      <c r="C89" t="s">
        <v>392</v>
      </c>
      <c r="D89" t="s">
        <v>57</v>
      </c>
      <c r="E89" t="s">
        <v>21</v>
      </c>
      <c r="G89" t="s">
        <v>28</v>
      </c>
      <c r="H89" s="7" t="s">
        <v>1139</v>
      </c>
      <c r="I89" s="7" t="s">
        <v>1140</v>
      </c>
    </row>
    <row r="90" spans="1:9" x14ac:dyDescent="0.25">
      <c r="A90" t="s">
        <v>397</v>
      </c>
      <c r="B90" t="s">
        <v>398</v>
      </c>
      <c r="C90" t="s">
        <v>399</v>
      </c>
      <c r="D90" t="s">
        <v>57</v>
      </c>
      <c r="E90" t="s">
        <v>21</v>
      </c>
      <c r="G90" t="s">
        <v>24</v>
      </c>
      <c r="H90" s="7" t="s">
        <v>1125</v>
      </c>
      <c r="I90" s="7" t="s">
        <v>1126</v>
      </c>
    </row>
    <row r="91" spans="1:9" x14ac:dyDescent="0.25">
      <c r="A91" t="s">
        <v>401</v>
      </c>
      <c r="B91" t="s">
        <v>402</v>
      </c>
      <c r="C91" t="s">
        <v>403</v>
      </c>
      <c r="D91" t="s">
        <v>57</v>
      </c>
      <c r="E91" t="s">
        <v>21</v>
      </c>
      <c r="G91" t="s">
        <v>28</v>
      </c>
      <c r="H91" s="7" t="s">
        <v>1151</v>
      </c>
      <c r="I91" s="7" t="s">
        <v>1152</v>
      </c>
    </row>
    <row r="92" spans="1:9" x14ac:dyDescent="0.25">
      <c r="A92" t="s">
        <v>404</v>
      </c>
      <c r="B92" t="s">
        <v>405</v>
      </c>
      <c r="C92" t="s">
        <v>406</v>
      </c>
      <c r="D92" t="s">
        <v>57</v>
      </c>
      <c r="E92" t="s">
        <v>21</v>
      </c>
      <c r="G92" t="s">
        <v>28</v>
      </c>
      <c r="H92" s="7" t="s">
        <v>1135</v>
      </c>
      <c r="I92" s="7" t="s">
        <v>1136</v>
      </c>
    </row>
    <row r="93" spans="1:9" x14ac:dyDescent="0.25">
      <c r="A93" t="s">
        <v>408</v>
      </c>
      <c r="B93" t="s">
        <v>409</v>
      </c>
      <c r="C93" t="s">
        <v>410</v>
      </c>
      <c r="D93" t="s">
        <v>57</v>
      </c>
      <c r="E93" t="s">
        <v>21</v>
      </c>
      <c r="F93" t="s">
        <v>53</v>
      </c>
      <c r="G93" t="s">
        <v>24</v>
      </c>
      <c r="H93" s="7" t="s">
        <v>1191</v>
      </c>
      <c r="I93" s="7" t="s">
        <v>1192</v>
      </c>
    </row>
    <row r="94" spans="1:9" x14ac:dyDescent="0.25">
      <c r="A94" t="s">
        <v>412</v>
      </c>
      <c r="B94" t="s">
        <v>413</v>
      </c>
      <c r="C94" t="s">
        <v>414</v>
      </c>
      <c r="D94" t="s">
        <v>57</v>
      </c>
      <c r="E94" t="s">
        <v>21</v>
      </c>
      <c r="G94" t="s">
        <v>24</v>
      </c>
      <c r="H94" s="7" t="s">
        <v>1197</v>
      </c>
      <c r="I94" s="7" t="s">
        <v>1198</v>
      </c>
    </row>
    <row r="95" spans="1:9" x14ac:dyDescent="0.25">
      <c r="A95" t="s">
        <v>415</v>
      </c>
      <c r="B95" t="s">
        <v>416</v>
      </c>
      <c r="C95" t="s">
        <v>417</v>
      </c>
      <c r="D95" t="s">
        <v>57</v>
      </c>
      <c r="E95" t="s">
        <v>21</v>
      </c>
      <c r="G95" t="s">
        <v>28</v>
      </c>
      <c r="H95" s="7" t="s">
        <v>1137</v>
      </c>
      <c r="I95" s="7" t="s">
        <v>1138</v>
      </c>
    </row>
    <row r="96" spans="1:9" x14ac:dyDescent="0.25">
      <c r="A96" t="s">
        <v>419</v>
      </c>
      <c r="B96" t="s">
        <v>420</v>
      </c>
      <c r="C96" t="s">
        <v>421</v>
      </c>
      <c r="D96" t="s">
        <v>57</v>
      </c>
      <c r="E96" t="s">
        <v>21</v>
      </c>
      <c r="G96" t="s">
        <v>24</v>
      </c>
      <c r="H96" s="7" t="s">
        <v>1171</v>
      </c>
      <c r="I96" s="7" t="s">
        <v>1172</v>
      </c>
    </row>
    <row r="97" spans="1:9" x14ac:dyDescent="0.25">
      <c r="A97" t="s">
        <v>428</v>
      </c>
      <c r="B97" t="s">
        <v>429</v>
      </c>
      <c r="C97" t="s">
        <v>430</v>
      </c>
      <c r="D97" t="s">
        <v>57</v>
      </c>
      <c r="E97" t="s">
        <v>21</v>
      </c>
      <c r="G97" t="s">
        <v>28</v>
      </c>
      <c r="H97" s="7" t="s">
        <v>1197</v>
      </c>
      <c r="I97" s="7" t="s">
        <v>1198</v>
      </c>
    </row>
    <row r="98" spans="1:9" x14ac:dyDescent="0.25">
      <c r="A98" t="s">
        <v>435</v>
      </c>
      <c r="B98" t="s">
        <v>436</v>
      </c>
      <c r="C98" t="s">
        <v>437</v>
      </c>
      <c r="D98" t="s">
        <v>57</v>
      </c>
      <c r="E98" t="s">
        <v>21</v>
      </c>
      <c r="F98" t="s">
        <v>53</v>
      </c>
      <c r="G98" t="s">
        <v>28</v>
      </c>
      <c r="H98" s="7" t="s">
        <v>1125</v>
      </c>
      <c r="I98" s="7" t="s">
        <v>1126</v>
      </c>
    </row>
    <row r="99" spans="1:9" x14ac:dyDescent="0.25">
      <c r="A99" t="s">
        <v>439</v>
      </c>
      <c r="B99" t="s">
        <v>440</v>
      </c>
      <c r="C99" t="s">
        <v>441</v>
      </c>
      <c r="D99" t="s">
        <v>57</v>
      </c>
      <c r="E99" t="s">
        <v>21</v>
      </c>
      <c r="F99" t="s">
        <v>53</v>
      </c>
      <c r="G99" t="s">
        <v>24</v>
      </c>
      <c r="H99" s="7" t="s">
        <v>1125</v>
      </c>
      <c r="I99" s="7" t="s">
        <v>1126</v>
      </c>
    </row>
    <row r="100" spans="1:9" x14ac:dyDescent="0.25">
      <c r="A100" t="s">
        <v>443</v>
      </c>
      <c r="B100" t="s">
        <v>444</v>
      </c>
      <c r="C100" t="s">
        <v>445</v>
      </c>
      <c r="D100" t="s">
        <v>57</v>
      </c>
      <c r="E100" t="s">
        <v>21</v>
      </c>
      <c r="F100" t="s">
        <v>53</v>
      </c>
      <c r="G100" t="s">
        <v>28</v>
      </c>
      <c r="H100" s="7" t="s">
        <v>1125</v>
      </c>
      <c r="I100" s="7" t="s">
        <v>1126</v>
      </c>
    </row>
    <row r="101" spans="1:9" x14ac:dyDescent="0.25">
      <c r="A101" t="s">
        <v>447</v>
      </c>
      <c r="B101" t="s">
        <v>448</v>
      </c>
      <c r="C101" t="s">
        <v>449</v>
      </c>
      <c r="D101" t="s">
        <v>57</v>
      </c>
      <c r="E101" t="s">
        <v>21</v>
      </c>
      <c r="F101" t="s">
        <v>53</v>
      </c>
      <c r="G101" t="s">
        <v>24</v>
      </c>
      <c r="H101" s="7" t="s">
        <v>1125</v>
      </c>
      <c r="I101" s="7" t="s">
        <v>1126</v>
      </c>
    </row>
    <row r="102" spans="1:9" x14ac:dyDescent="0.25">
      <c r="A102" t="s">
        <v>452</v>
      </c>
      <c r="B102" t="s">
        <v>453</v>
      </c>
      <c r="C102" t="s">
        <v>454</v>
      </c>
      <c r="D102" t="s">
        <v>57</v>
      </c>
      <c r="E102" t="s">
        <v>21</v>
      </c>
      <c r="G102" t="s">
        <v>28</v>
      </c>
      <c r="H102" s="7" t="s">
        <v>1199</v>
      </c>
      <c r="I102" s="7" t="s">
        <v>1200</v>
      </c>
    </row>
    <row r="103" spans="1:9" x14ac:dyDescent="0.25">
      <c r="A103" t="s">
        <v>455</v>
      </c>
      <c r="B103" t="s">
        <v>456</v>
      </c>
      <c r="C103" t="s">
        <v>457</v>
      </c>
      <c r="D103" t="s">
        <v>57</v>
      </c>
      <c r="E103" t="s">
        <v>21</v>
      </c>
      <c r="G103" t="s">
        <v>24</v>
      </c>
      <c r="H103" s="7" t="s">
        <v>1201</v>
      </c>
      <c r="I103" s="7" t="s">
        <v>1202</v>
      </c>
    </row>
    <row r="104" spans="1:9" x14ac:dyDescent="0.25">
      <c r="A104" t="s">
        <v>459</v>
      </c>
      <c r="B104" t="s">
        <v>460</v>
      </c>
      <c r="C104" t="s">
        <v>461</v>
      </c>
      <c r="D104" t="s">
        <v>57</v>
      </c>
      <c r="E104" t="s">
        <v>21</v>
      </c>
      <c r="G104" t="s">
        <v>28</v>
      </c>
      <c r="H104" s="7" t="s">
        <v>1203</v>
      </c>
      <c r="I104" s="7" t="s">
        <v>1204</v>
      </c>
    </row>
    <row r="105" spans="1:9" x14ac:dyDescent="0.25">
      <c r="A105" t="s">
        <v>462</v>
      </c>
      <c r="B105" t="s">
        <v>463</v>
      </c>
      <c r="C105" t="s">
        <v>464</v>
      </c>
      <c r="D105" t="s">
        <v>57</v>
      </c>
      <c r="E105" t="s">
        <v>21</v>
      </c>
      <c r="F105" t="s">
        <v>53</v>
      </c>
      <c r="G105" t="s">
        <v>28</v>
      </c>
      <c r="H105" s="7" t="s">
        <v>1205</v>
      </c>
      <c r="I105" s="7" t="s">
        <v>1206</v>
      </c>
    </row>
    <row r="106" spans="1:9" x14ac:dyDescent="0.25">
      <c r="A106" t="s">
        <v>466</v>
      </c>
      <c r="B106" t="s">
        <v>467</v>
      </c>
      <c r="C106" t="s">
        <v>468</v>
      </c>
      <c r="D106" t="s">
        <v>57</v>
      </c>
      <c r="E106" t="s">
        <v>21</v>
      </c>
      <c r="G106" t="s">
        <v>28</v>
      </c>
      <c r="H106" s="7" t="s">
        <v>1207</v>
      </c>
      <c r="I106" s="7" t="s">
        <v>1208</v>
      </c>
    </row>
    <row r="107" spans="1:9" x14ac:dyDescent="0.25">
      <c r="A107" t="s">
        <v>469</v>
      </c>
      <c r="B107" t="s">
        <v>470</v>
      </c>
      <c r="C107" t="s">
        <v>471</v>
      </c>
      <c r="D107" t="s">
        <v>57</v>
      </c>
      <c r="E107" t="s">
        <v>21</v>
      </c>
      <c r="F107" t="s">
        <v>53</v>
      </c>
      <c r="G107" t="s">
        <v>28</v>
      </c>
      <c r="H107" s="7" t="s">
        <v>1125</v>
      </c>
      <c r="I107" s="7" t="s">
        <v>1126</v>
      </c>
    </row>
    <row r="108" spans="1:9" x14ac:dyDescent="0.25">
      <c r="A108" t="s">
        <v>473</v>
      </c>
      <c r="B108" t="s">
        <v>474</v>
      </c>
      <c r="C108" t="s">
        <v>475</v>
      </c>
      <c r="D108" t="s">
        <v>57</v>
      </c>
      <c r="E108" t="s">
        <v>21</v>
      </c>
      <c r="G108" t="s">
        <v>28</v>
      </c>
      <c r="H108" s="7" t="s">
        <v>1125</v>
      </c>
      <c r="I108" s="7" t="s">
        <v>1126</v>
      </c>
    </row>
    <row r="109" spans="1:9" x14ac:dyDescent="0.25">
      <c r="A109" t="s">
        <v>480</v>
      </c>
      <c r="B109" t="s">
        <v>481</v>
      </c>
      <c r="C109" t="s">
        <v>482</v>
      </c>
      <c r="D109" t="s">
        <v>57</v>
      </c>
      <c r="E109" t="s">
        <v>21</v>
      </c>
      <c r="G109" t="s">
        <v>28</v>
      </c>
      <c r="H109" s="7" t="s">
        <v>1209</v>
      </c>
      <c r="I109" s="7" t="s">
        <v>1210</v>
      </c>
    </row>
    <row r="110" spans="1:9" x14ac:dyDescent="0.25">
      <c r="A110" t="s">
        <v>484</v>
      </c>
      <c r="B110" t="s">
        <v>485</v>
      </c>
      <c r="C110" t="s">
        <v>486</v>
      </c>
      <c r="D110" t="s">
        <v>57</v>
      </c>
      <c r="E110" t="s">
        <v>21</v>
      </c>
      <c r="G110" t="s">
        <v>28</v>
      </c>
      <c r="H110" s="7" t="s">
        <v>1211</v>
      </c>
      <c r="I110" s="7" t="s">
        <v>1212</v>
      </c>
    </row>
    <row r="111" spans="1:9" x14ac:dyDescent="0.25">
      <c r="A111" t="s">
        <v>484</v>
      </c>
      <c r="B111" t="s">
        <v>488</v>
      </c>
      <c r="C111" t="s">
        <v>489</v>
      </c>
      <c r="D111" t="s">
        <v>57</v>
      </c>
      <c r="E111" t="s">
        <v>21</v>
      </c>
      <c r="F111" t="s">
        <v>53</v>
      </c>
      <c r="G111" t="s">
        <v>24</v>
      </c>
      <c r="H111" s="7" t="s">
        <v>1125</v>
      </c>
      <c r="I111" s="7" t="s">
        <v>1126</v>
      </c>
    </row>
    <row r="112" spans="1:9" x14ac:dyDescent="0.25">
      <c r="A112" t="s">
        <v>492</v>
      </c>
      <c r="B112" t="s">
        <v>493</v>
      </c>
      <c r="C112" t="s">
        <v>494</v>
      </c>
      <c r="D112" t="s">
        <v>57</v>
      </c>
      <c r="E112" t="s">
        <v>21</v>
      </c>
      <c r="G112" t="s">
        <v>28</v>
      </c>
      <c r="H112" s="7" t="s">
        <v>1131</v>
      </c>
      <c r="I112" s="7" t="s">
        <v>1132</v>
      </c>
    </row>
    <row r="113" spans="1:9" x14ac:dyDescent="0.25">
      <c r="A113" t="s">
        <v>500</v>
      </c>
      <c r="B113" t="s">
        <v>405</v>
      </c>
      <c r="C113" t="s">
        <v>501</v>
      </c>
      <c r="D113" t="s">
        <v>57</v>
      </c>
      <c r="E113" t="s">
        <v>21</v>
      </c>
      <c r="G113" t="s">
        <v>28</v>
      </c>
      <c r="H113" s="7" t="s">
        <v>1181</v>
      </c>
      <c r="I113" s="7" t="s">
        <v>1182</v>
      </c>
    </row>
    <row r="114" spans="1:9" x14ac:dyDescent="0.25">
      <c r="A114" t="s">
        <v>504</v>
      </c>
      <c r="B114" t="s">
        <v>505</v>
      </c>
      <c r="C114" t="s">
        <v>506</v>
      </c>
      <c r="D114" t="s">
        <v>57</v>
      </c>
      <c r="E114" t="s">
        <v>21</v>
      </c>
      <c r="G114" t="s">
        <v>28</v>
      </c>
      <c r="H114" s="7" t="s">
        <v>1213</v>
      </c>
      <c r="I114" s="7" t="s">
        <v>1214</v>
      </c>
    </row>
    <row r="115" spans="1:9" x14ac:dyDescent="0.25">
      <c r="A115" t="s">
        <v>508</v>
      </c>
      <c r="B115" t="s">
        <v>509</v>
      </c>
      <c r="C115" t="s">
        <v>510</v>
      </c>
      <c r="D115" t="s">
        <v>57</v>
      </c>
      <c r="E115" t="s">
        <v>21</v>
      </c>
      <c r="G115" t="s">
        <v>24</v>
      </c>
      <c r="H115" s="7" t="s">
        <v>1165</v>
      </c>
      <c r="I115" s="7" t="s">
        <v>1166</v>
      </c>
    </row>
    <row r="116" spans="1:9" x14ac:dyDescent="0.25">
      <c r="A116" t="s">
        <v>508</v>
      </c>
      <c r="B116" t="s">
        <v>511</v>
      </c>
      <c r="C116" t="s">
        <v>512</v>
      </c>
      <c r="D116" t="s">
        <v>57</v>
      </c>
      <c r="E116" t="s">
        <v>21</v>
      </c>
      <c r="F116" t="s">
        <v>53</v>
      </c>
      <c r="G116" t="s">
        <v>28</v>
      </c>
      <c r="H116" s="7" t="s">
        <v>1129</v>
      </c>
      <c r="I116" s="7" t="s">
        <v>1130</v>
      </c>
    </row>
    <row r="117" spans="1:9" x14ac:dyDescent="0.25">
      <c r="A117" t="s">
        <v>508</v>
      </c>
      <c r="B117" t="s">
        <v>514</v>
      </c>
      <c r="C117" t="s">
        <v>515</v>
      </c>
      <c r="D117" t="s">
        <v>57</v>
      </c>
      <c r="E117" t="s">
        <v>21</v>
      </c>
      <c r="G117" t="s">
        <v>28</v>
      </c>
      <c r="H117" s="7" t="s">
        <v>1131</v>
      </c>
      <c r="I117" s="7" t="s">
        <v>1132</v>
      </c>
    </row>
    <row r="118" spans="1:9" x14ac:dyDescent="0.25">
      <c r="A118" t="s">
        <v>38</v>
      </c>
      <c r="B118" t="s">
        <v>516</v>
      </c>
      <c r="C118" t="s">
        <v>517</v>
      </c>
      <c r="D118" t="s">
        <v>57</v>
      </c>
      <c r="E118" t="s">
        <v>21</v>
      </c>
      <c r="G118" t="s">
        <v>24</v>
      </c>
      <c r="H118" s="7" t="s">
        <v>1215</v>
      </c>
      <c r="I118" s="7" t="s">
        <v>1216</v>
      </c>
    </row>
    <row r="119" spans="1:9" x14ac:dyDescent="0.25">
      <c r="A119" t="s">
        <v>518</v>
      </c>
      <c r="B119" t="s">
        <v>519</v>
      </c>
      <c r="C119" t="s">
        <v>520</v>
      </c>
      <c r="D119" t="s">
        <v>57</v>
      </c>
      <c r="E119" t="s">
        <v>21</v>
      </c>
      <c r="G119" t="s">
        <v>28</v>
      </c>
      <c r="H119" s="7" t="s">
        <v>1217</v>
      </c>
      <c r="I119" s="7" t="s">
        <v>1218</v>
      </c>
    </row>
    <row r="120" spans="1:9" x14ac:dyDescent="0.25">
      <c r="A120" t="s">
        <v>522</v>
      </c>
      <c r="B120" t="s">
        <v>523</v>
      </c>
      <c r="C120" t="s">
        <v>524</v>
      </c>
      <c r="D120" t="s">
        <v>57</v>
      </c>
      <c r="E120" t="s">
        <v>21</v>
      </c>
      <c r="F120" t="s">
        <v>53</v>
      </c>
      <c r="G120" t="s">
        <v>24</v>
      </c>
      <c r="H120" s="7" t="s">
        <v>1161</v>
      </c>
      <c r="I120" s="7" t="s">
        <v>1162</v>
      </c>
    </row>
    <row r="121" spans="1:9" x14ac:dyDescent="0.25">
      <c r="A121" t="s">
        <v>525</v>
      </c>
      <c r="B121" t="s">
        <v>526</v>
      </c>
      <c r="C121" t="s">
        <v>527</v>
      </c>
      <c r="D121" t="s">
        <v>57</v>
      </c>
      <c r="E121" t="s">
        <v>21</v>
      </c>
      <c r="F121" t="s">
        <v>53</v>
      </c>
      <c r="G121" t="s">
        <v>24</v>
      </c>
      <c r="H121" s="7" t="s">
        <v>1125</v>
      </c>
      <c r="I121" s="7" t="s">
        <v>1126</v>
      </c>
    </row>
    <row r="122" spans="1:9" x14ac:dyDescent="0.25">
      <c r="A122" t="s">
        <v>522</v>
      </c>
      <c r="B122" t="s">
        <v>529</v>
      </c>
      <c r="C122" t="s">
        <v>530</v>
      </c>
      <c r="D122" t="s">
        <v>57</v>
      </c>
      <c r="E122" t="s">
        <v>21</v>
      </c>
      <c r="F122" t="s">
        <v>53</v>
      </c>
      <c r="G122" t="s">
        <v>24</v>
      </c>
      <c r="H122" s="7" t="s">
        <v>1125</v>
      </c>
      <c r="I122" s="7" t="s">
        <v>1126</v>
      </c>
    </row>
    <row r="123" spans="1:9" x14ac:dyDescent="0.25">
      <c r="A123" t="s">
        <v>532</v>
      </c>
      <c r="B123" t="s">
        <v>533</v>
      </c>
      <c r="C123" t="s">
        <v>534</v>
      </c>
      <c r="D123" t="s">
        <v>57</v>
      </c>
      <c r="E123" t="s">
        <v>21</v>
      </c>
      <c r="G123" t="s">
        <v>28</v>
      </c>
      <c r="H123" s="7" t="s">
        <v>1219</v>
      </c>
      <c r="I123" s="7" t="s">
        <v>1220</v>
      </c>
    </row>
    <row r="124" spans="1:9" x14ac:dyDescent="0.25">
      <c r="A124" t="s">
        <v>535</v>
      </c>
      <c r="B124" t="s">
        <v>536</v>
      </c>
      <c r="C124" t="s">
        <v>537</v>
      </c>
      <c r="D124" t="s">
        <v>57</v>
      </c>
      <c r="E124" t="s">
        <v>21</v>
      </c>
      <c r="G124" t="s">
        <v>28</v>
      </c>
      <c r="H124" s="7" t="s">
        <v>1125</v>
      </c>
      <c r="I124" s="7" t="s">
        <v>1126</v>
      </c>
    </row>
    <row r="125" spans="1:9" x14ac:dyDescent="0.25">
      <c r="A125" t="s">
        <v>539</v>
      </c>
      <c r="B125" t="s">
        <v>540</v>
      </c>
      <c r="C125" t="s">
        <v>541</v>
      </c>
      <c r="D125" t="s">
        <v>57</v>
      </c>
      <c r="E125" t="s">
        <v>21</v>
      </c>
      <c r="F125" t="s">
        <v>53</v>
      </c>
      <c r="G125" t="s">
        <v>28</v>
      </c>
      <c r="H125" s="7" t="s">
        <v>1125</v>
      </c>
      <c r="I125" s="7" t="s">
        <v>1126</v>
      </c>
    </row>
    <row r="126" spans="1:9" x14ac:dyDescent="0.25">
      <c r="A126" t="s">
        <v>539</v>
      </c>
      <c r="B126" t="s">
        <v>543</v>
      </c>
      <c r="C126" t="s">
        <v>544</v>
      </c>
      <c r="D126" t="s">
        <v>57</v>
      </c>
      <c r="E126" t="s">
        <v>21</v>
      </c>
      <c r="G126" t="s">
        <v>24</v>
      </c>
      <c r="H126" s="7" t="s">
        <v>1125</v>
      </c>
      <c r="I126" s="7" t="s">
        <v>1126</v>
      </c>
    </row>
    <row r="127" spans="1:9" x14ac:dyDescent="0.25">
      <c r="A127" t="s">
        <v>539</v>
      </c>
      <c r="B127" t="s">
        <v>550</v>
      </c>
      <c r="C127" t="s">
        <v>551</v>
      </c>
      <c r="D127" t="s">
        <v>57</v>
      </c>
      <c r="E127" t="s">
        <v>21</v>
      </c>
      <c r="F127" t="s">
        <v>53</v>
      </c>
      <c r="G127" t="s">
        <v>24</v>
      </c>
      <c r="H127" s="7" t="s">
        <v>1125</v>
      </c>
      <c r="I127" s="7" t="s">
        <v>1126</v>
      </c>
    </row>
    <row r="128" spans="1:9" x14ac:dyDescent="0.25">
      <c r="A128" t="s">
        <v>553</v>
      </c>
      <c r="B128" t="s">
        <v>554</v>
      </c>
      <c r="C128" t="s">
        <v>555</v>
      </c>
      <c r="D128" t="s">
        <v>57</v>
      </c>
      <c r="E128" t="s">
        <v>21</v>
      </c>
      <c r="F128" t="s">
        <v>53</v>
      </c>
      <c r="G128" t="s">
        <v>24</v>
      </c>
      <c r="H128" s="7" t="s">
        <v>1125</v>
      </c>
      <c r="I128" s="7" t="s">
        <v>1126</v>
      </c>
    </row>
    <row r="129" spans="1:9" x14ac:dyDescent="0.25">
      <c r="A129" t="s">
        <v>558</v>
      </c>
      <c r="B129" t="s">
        <v>424</v>
      </c>
      <c r="C129" t="s">
        <v>559</v>
      </c>
      <c r="D129" t="s">
        <v>57</v>
      </c>
      <c r="E129" t="s">
        <v>21</v>
      </c>
      <c r="G129" t="s">
        <v>28</v>
      </c>
      <c r="H129" s="7" t="s">
        <v>1221</v>
      </c>
      <c r="I129" s="7" t="s">
        <v>1222</v>
      </c>
    </row>
    <row r="130" spans="1:9" x14ac:dyDescent="0.25">
      <c r="A130" t="s">
        <v>562</v>
      </c>
      <c r="B130" t="s">
        <v>563</v>
      </c>
      <c r="C130" t="s">
        <v>564</v>
      </c>
      <c r="D130" t="s">
        <v>57</v>
      </c>
      <c r="E130" t="s">
        <v>21</v>
      </c>
      <c r="G130" t="s">
        <v>28</v>
      </c>
      <c r="H130" s="7" t="s">
        <v>1131</v>
      </c>
      <c r="I130" s="7" t="s">
        <v>1132</v>
      </c>
    </row>
    <row r="131" spans="1:9" x14ac:dyDescent="0.25">
      <c r="A131" t="s">
        <v>562</v>
      </c>
      <c r="B131" t="s">
        <v>566</v>
      </c>
      <c r="C131" t="s">
        <v>567</v>
      </c>
      <c r="D131" t="s">
        <v>57</v>
      </c>
      <c r="E131" t="s">
        <v>21</v>
      </c>
      <c r="F131" t="s">
        <v>53</v>
      </c>
      <c r="G131" t="s">
        <v>24</v>
      </c>
      <c r="H131" s="7" t="s">
        <v>1125</v>
      </c>
      <c r="I131" s="7" t="s">
        <v>1126</v>
      </c>
    </row>
    <row r="132" spans="1:9" x14ac:dyDescent="0.25">
      <c r="A132" t="s">
        <v>570</v>
      </c>
      <c r="B132" t="s">
        <v>571</v>
      </c>
      <c r="C132" t="s">
        <v>572</v>
      </c>
      <c r="D132" t="s">
        <v>57</v>
      </c>
      <c r="E132" t="s">
        <v>21</v>
      </c>
      <c r="G132" t="s">
        <v>28</v>
      </c>
      <c r="H132" s="7" t="s">
        <v>1131</v>
      </c>
      <c r="I132" s="7" t="s">
        <v>1132</v>
      </c>
    </row>
    <row r="133" spans="1:9" x14ac:dyDescent="0.25">
      <c r="A133" t="s">
        <v>573</v>
      </c>
      <c r="B133" t="s">
        <v>574</v>
      </c>
      <c r="C133" t="s">
        <v>575</v>
      </c>
      <c r="D133" t="s">
        <v>57</v>
      </c>
      <c r="E133" t="s">
        <v>21</v>
      </c>
      <c r="F133" t="s">
        <v>53</v>
      </c>
      <c r="G133" t="s">
        <v>24</v>
      </c>
      <c r="H133" s="7" t="s">
        <v>1125</v>
      </c>
      <c r="I133" s="7" t="s">
        <v>1126</v>
      </c>
    </row>
    <row r="134" spans="1:9" x14ac:dyDescent="0.25">
      <c r="A134" t="s">
        <v>577</v>
      </c>
      <c r="B134" t="s">
        <v>578</v>
      </c>
      <c r="C134" t="s">
        <v>579</v>
      </c>
      <c r="D134" t="s">
        <v>57</v>
      </c>
      <c r="E134" t="s">
        <v>21</v>
      </c>
      <c r="G134" t="s">
        <v>24</v>
      </c>
      <c r="H134" s="7" t="s">
        <v>1219</v>
      </c>
      <c r="I134" s="7" t="s">
        <v>1220</v>
      </c>
    </row>
    <row r="135" spans="1:9" x14ac:dyDescent="0.25">
      <c r="A135" t="s">
        <v>581</v>
      </c>
      <c r="B135" t="s">
        <v>582</v>
      </c>
      <c r="C135" t="s">
        <v>583</v>
      </c>
      <c r="D135" t="s">
        <v>57</v>
      </c>
      <c r="E135" t="s">
        <v>21</v>
      </c>
      <c r="G135" t="s">
        <v>24</v>
      </c>
      <c r="H135" s="7" t="s">
        <v>1223</v>
      </c>
      <c r="I135" s="7" t="s">
        <v>1224</v>
      </c>
    </row>
    <row r="136" spans="1:9" x14ac:dyDescent="0.25">
      <c r="A136" t="s">
        <v>585</v>
      </c>
      <c r="B136" t="s">
        <v>586</v>
      </c>
      <c r="C136" t="s">
        <v>587</v>
      </c>
      <c r="D136" t="s">
        <v>57</v>
      </c>
      <c r="E136" t="s">
        <v>21</v>
      </c>
      <c r="G136" t="s">
        <v>28</v>
      </c>
      <c r="H136" s="7" t="s">
        <v>1197</v>
      </c>
      <c r="I136" s="7" t="s">
        <v>1198</v>
      </c>
    </row>
    <row r="137" spans="1:9" x14ac:dyDescent="0.25">
      <c r="A137" t="s">
        <v>588</v>
      </c>
      <c r="B137" t="s">
        <v>589</v>
      </c>
      <c r="C137" t="s">
        <v>590</v>
      </c>
      <c r="D137" t="s">
        <v>57</v>
      </c>
      <c r="E137" t="s">
        <v>21</v>
      </c>
      <c r="G137" t="s">
        <v>28</v>
      </c>
      <c r="H137" s="7" t="s">
        <v>1125</v>
      </c>
      <c r="I137" s="7" t="s">
        <v>1126</v>
      </c>
    </row>
    <row r="138" spans="1:9" x14ac:dyDescent="0.25">
      <c r="A138" t="s">
        <v>592</v>
      </c>
      <c r="B138" t="s">
        <v>593</v>
      </c>
      <c r="C138" t="s">
        <v>594</v>
      </c>
      <c r="D138" t="s">
        <v>57</v>
      </c>
      <c r="E138" t="s">
        <v>21</v>
      </c>
      <c r="G138" t="s">
        <v>28</v>
      </c>
      <c r="H138" s="7" t="s">
        <v>1149</v>
      </c>
      <c r="I138" s="7" t="s">
        <v>1150</v>
      </c>
    </row>
    <row r="139" spans="1:9" x14ac:dyDescent="0.25">
      <c r="A139" t="s">
        <v>596</v>
      </c>
      <c r="B139" t="s">
        <v>597</v>
      </c>
      <c r="C139" t="s">
        <v>598</v>
      </c>
      <c r="D139" t="s">
        <v>57</v>
      </c>
      <c r="E139" t="s">
        <v>21</v>
      </c>
      <c r="F139" t="s">
        <v>53</v>
      </c>
      <c r="G139" t="s">
        <v>28</v>
      </c>
      <c r="H139" s="7" t="s">
        <v>1139</v>
      </c>
      <c r="I139" s="7" t="s">
        <v>1140</v>
      </c>
    </row>
    <row r="140" spans="1:9" x14ac:dyDescent="0.25">
      <c r="A140" t="s">
        <v>600</v>
      </c>
      <c r="B140" t="s">
        <v>601</v>
      </c>
      <c r="C140" t="s">
        <v>602</v>
      </c>
      <c r="D140" t="s">
        <v>57</v>
      </c>
      <c r="E140" t="s">
        <v>21</v>
      </c>
      <c r="G140" t="s">
        <v>28</v>
      </c>
      <c r="H140" s="7" t="s">
        <v>1225</v>
      </c>
      <c r="I140" s="7" t="s">
        <v>1226</v>
      </c>
    </row>
    <row r="141" spans="1:9" x14ac:dyDescent="0.25">
      <c r="A141" t="s">
        <v>603</v>
      </c>
      <c r="B141" t="s">
        <v>604</v>
      </c>
      <c r="C141" t="s">
        <v>605</v>
      </c>
      <c r="D141" t="s">
        <v>57</v>
      </c>
      <c r="E141" t="s">
        <v>21</v>
      </c>
      <c r="G141" t="s">
        <v>24</v>
      </c>
      <c r="H141" s="7" t="s">
        <v>1141</v>
      </c>
      <c r="I141" s="7" t="s">
        <v>1142</v>
      </c>
    </row>
    <row r="142" spans="1:9" x14ac:dyDescent="0.25">
      <c r="A142" t="s">
        <v>606</v>
      </c>
      <c r="B142" t="s">
        <v>607</v>
      </c>
      <c r="C142" t="s">
        <v>608</v>
      </c>
      <c r="D142" t="s">
        <v>57</v>
      </c>
      <c r="E142" t="s">
        <v>21</v>
      </c>
      <c r="G142" t="s">
        <v>28</v>
      </c>
      <c r="H142" s="7" t="s">
        <v>1227</v>
      </c>
      <c r="I142" s="7" t="s">
        <v>1228</v>
      </c>
    </row>
    <row r="143" spans="1:9" x14ac:dyDescent="0.25">
      <c r="A143" t="s">
        <v>609</v>
      </c>
      <c r="B143" t="s">
        <v>610</v>
      </c>
      <c r="C143" t="s">
        <v>611</v>
      </c>
      <c r="D143" t="s">
        <v>57</v>
      </c>
      <c r="E143" t="s">
        <v>21</v>
      </c>
      <c r="G143" t="s">
        <v>28</v>
      </c>
      <c r="H143" s="7" t="s">
        <v>1141</v>
      </c>
      <c r="I143" s="7" t="s">
        <v>1142</v>
      </c>
    </row>
    <row r="144" spans="1:9" x14ac:dyDescent="0.25">
      <c r="A144" t="s">
        <v>612</v>
      </c>
      <c r="B144" t="s">
        <v>566</v>
      </c>
      <c r="C144" t="s">
        <v>613</v>
      </c>
      <c r="D144" t="s">
        <v>57</v>
      </c>
      <c r="E144" t="s">
        <v>21</v>
      </c>
      <c r="G144" t="s">
        <v>24</v>
      </c>
      <c r="H144" s="7" t="s">
        <v>1125</v>
      </c>
      <c r="I144" s="7" t="s">
        <v>1126</v>
      </c>
    </row>
    <row r="145" spans="1:9" x14ac:dyDescent="0.25">
      <c r="A145" t="s">
        <v>616</v>
      </c>
      <c r="B145" t="s">
        <v>617</v>
      </c>
      <c r="C145" t="s">
        <v>618</v>
      </c>
      <c r="D145" t="s">
        <v>57</v>
      </c>
      <c r="E145" t="s">
        <v>21</v>
      </c>
      <c r="F145" t="s">
        <v>53</v>
      </c>
      <c r="G145" t="s">
        <v>24</v>
      </c>
      <c r="H145" s="7" t="s">
        <v>1125</v>
      </c>
      <c r="I145" s="7" t="s">
        <v>1126</v>
      </c>
    </row>
    <row r="146" spans="1:9" x14ac:dyDescent="0.25">
      <c r="A146" t="s">
        <v>620</v>
      </c>
      <c r="B146" t="s">
        <v>621</v>
      </c>
      <c r="C146" t="s">
        <v>622</v>
      </c>
      <c r="D146" t="s">
        <v>57</v>
      </c>
      <c r="E146" t="s">
        <v>21</v>
      </c>
      <c r="G146" t="s">
        <v>28</v>
      </c>
      <c r="H146" s="7" t="s">
        <v>1135</v>
      </c>
      <c r="I146" s="7" t="s">
        <v>1136</v>
      </c>
    </row>
    <row r="147" spans="1:9" x14ac:dyDescent="0.25">
      <c r="A147" t="s">
        <v>624</v>
      </c>
      <c r="B147" t="s">
        <v>625</v>
      </c>
      <c r="C147" t="s">
        <v>626</v>
      </c>
      <c r="D147" t="s">
        <v>57</v>
      </c>
      <c r="E147" t="s">
        <v>21</v>
      </c>
      <c r="G147" t="s">
        <v>24</v>
      </c>
      <c r="H147" s="7" t="s">
        <v>1125</v>
      </c>
      <c r="I147" s="7" t="s">
        <v>1126</v>
      </c>
    </row>
    <row r="148" spans="1:9" x14ac:dyDescent="0.25">
      <c r="A148" t="s">
        <v>629</v>
      </c>
      <c r="B148" t="s">
        <v>630</v>
      </c>
      <c r="C148" t="s">
        <v>631</v>
      </c>
      <c r="D148" t="s">
        <v>57</v>
      </c>
      <c r="E148" t="s">
        <v>21</v>
      </c>
      <c r="G148" t="s">
        <v>28</v>
      </c>
      <c r="H148" s="7" t="s">
        <v>1141</v>
      </c>
      <c r="I148" s="7" t="s">
        <v>1142</v>
      </c>
    </row>
    <row r="149" spans="1:9" x14ac:dyDescent="0.25">
      <c r="A149" t="s">
        <v>633</v>
      </c>
      <c r="C149" t="s">
        <v>634</v>
      </c>
      <c r="D149" t="s">
        <v>57</v>
      </c>
      <c r="E149" t="s">
        <v>21</v>
      </c>
      <c r="G149" t="s">
        <v>24</v>
      </c>
      <c r="H149" s="7" t="s">
        <v>1229</v>
      </c>
      <c r="I149" s="7" t="s">
        <v>1230</v>
      </c>
    </row>
    <row r="150" spans="1:9" x14ac:dyDescent="0.25">
      <c r="A150" t="s">
        <v>635</v>
      </c>
      <c r="B150" t="s">
        <v>636</v>
      </c>
      <c r="C150" t="s">
        <v>637</v>
      </c>
      <c r="D150" t="s">
        <v>57</v>
      </c>
      <c r="E150" t="s">
        <v>21</v>
      </c>
      <c r="F150" t="s">
        <v>53</v>
      </c>
      <c r="G150" t="s">
        <v>24</v>
      </c>
      <c r="H150" s="7" t="s">
        <v>1125</v>
      </c>
      <c r="I150" s="7" t="s">
        <v>1126</v>
      </c>
    </row>
    <row r="151" spans="1:9" x14ac:dyDescent="0.25">
      <c r="A151" t="s">
        <v>640</v>
      </c>
      <c r="B151" t="s">
        <v>641</v>
      </c>
      <c r="C151" t="s">
        <v>642</v>
      </c>
      <c r="D151" t="s">
        <v>57</v>
      </c>
      <c r="E151" t="s">
        <v>21</v>
      </c>
      <c r="G151" t="s">
        <v>24</v>
      </c>
      <c r="H151" s="7" t="s">
        <v>1141</v>
      </c>
      <c r="I151" s="7" t="s">
        <v>1142</v>
      </c>
    </row>
    <row r="152" spans="1:9" x14ac:dyDescent="0.25">
      <c r="A152" t="s">
        <v>644</v>
      </c>
      <c r="B152" t="s">
        <v>645</v>
      </c>
      <c r="C152" t="s">
        <v>646</v>
      </c>
      <c r="D152" t="s">
        <v>57</v>
      </c>
      <c r="E152" t="s">
        <v>21</v>
      </c>
      <c r="G152" t="s">
        <v>28</v>
      </c>
      <c r="H152" s="7" t="s">
        <v>1207</v>
      </c>
      <c r="I152" s="7" t="s">
        <v>1208</v>
      </c>
    </row>
    <row r="153" spans="1:9" x14ac:dyDescent="0.25">
      <c r="A153" t="s">
        <v>648</v>
      </c>
      <c r="B153" t="s">
        <v>649</v>
      </c>
      <c r="C153" t="s">
        <v>650</v>
      </c>
      <c r="D153" t="s">
        <v>57</v>
      </c>
      <c r="E153" t="s">
        <v>21</v>
      </c>
      <c r="F153" t="s">
        <v>53</v>
      </c>
      <c r="G153" t="s">
        <v>24</v>
      </c>
      <c r="H153" s="7" t="s">
        <v>1125</v>
      </c>
      <c r="I153" s="7" t="s">
        <v>1126</v>
      </c>
    </row>
    <row r="154" spans="1:9" x14ac:dyDescent="0.25">
      <c r="A154" t="s">
        <v>653</v>
      </c>
      <c r="B154" t="s">
        <v>654</v>
      </c>
      <c r="C154" t="s">
        <v>655</v>
      </c>
      <c r="D154" t="s">
        <v>57</v>
      </c>
      <c r="E154" t="s">
        <v>21</v>
      </c>
      <c r="G154" t="s">
        <v>28</v>
      </c>
      <c r="H154" s="7" t="s">
        <v>1181</v>
      </c>
      <c r="I154" s="7" t="s">
        <v>1182</v>
      </c>
    </row>
    <row r="155" spans="1:9" x14ac:dyDescent="0.25">
      <c r="A155" t="s">
        <v>656</v>
      </c>
      <c r="B155" t="s">
        <v>657</v>
      </c>
      <c r="C155" t="s">
        <v>658</v>
      </c>
      <c r="D155" t="s">
        <v>57</v>
      </c>
      <c r="E155" t="s">
        <v>21</v>
      </c>
      <c r="G155" t="s">
        <v>24</v>
      </c>
      <c r="H155" s="7" t="s">
        <v>1231</v>
      </c>
      <c r="I155" s="7" t="s">
        <v>1232</v>
      </c>
    </row>
    <row r="156" spans="1:9" x14ac:dyDescent="0.25">
      <c r="A156" t="s">
        <v>659</v>
      </c>
      <c r="C156" t="s">
        <v>660</v>
      </c>
      <c r="D156" t="s">
        <v>57</v>
      </c>
      <c r="E156" t="s">
        <v>21</v>
      </c>
      <c r="G156" t="s">
        <v>24</v>
      </c>
      <c r="H156" s="7" t="s">
        <v>1169</v>
      </c>
      <c r="I156" s="7" t="s">
        <v>1170</v>
      </c>
    </row>
    <row r="157" spans="1:9" x14ac:dyDescent="0.25">
      <c r="A157" t="s">
        <v>661</v>
      </c>
      <c r="B157" t="s">
        <v>662</v>
      </c>
      <c r="C157" t="s">
        <v>663</v>
      </c>
      <c r="D157" t="s">
        <v>57</v>
      </c>
      <c r="E157" t="s">
        <v>21</v>
      </c>
      <c r="F157" t="s">
        <v>53</v>
      </c>
      <c r="G157" t="s">
        <v>24</v>
      </c>
      <c r="H157" s="7" t="s">
        <v>1125</v>
      </c>
      <c r="I157" s="7" t="s">
        <v>1126</v>
      </c>
    </row>
    <row r="158" spans="1:9" x14ac:dyDescent="0.25">
      <c r="A158" t="s">
        <v>666</v>
      </c>
      <c r="B158" t="s">
        <v>667</v>
      </c>
      <c r="C158" t="s">
        <v>668</v>
      </c>
      <c r="D158" t="s">
        <v>57</v>
      </c>
      <c r="E158" t="s">
        <v>21</v>
      </c>
      <c r="G158" t="s">
        <v>28</v>
      </c>
      <c r="H158" s="7" t="s">
        <v>1233</v>
      </c>
      <c r="I158" s="7" t="s">
        <v>1234</v>
      </c>
    </row>
    <row r="159" spans="1:9" x14ac:dyDescent="0.25">
      <c r="A159" t="s">
        <v>669</v>
      </c>
      <c r="B159" t="s">
        <v>509</v>
      </c>
      <c r="C159" t="s">
        <v>670</v>
      </c>
      <c r="D159" t="s">
        <v>57</v>
      </c>
      <c r="E159" t="s">
        <v>21</v>
      </c>
      <c r="F159" t="s">
        <v>53</v>
      </c>
      <c r="G159" t="s">
        <v>28</v>
      </c>
      <c r="H159" s="7" t="s">
        <v>1125</v>
      </c>
      <c r="I159" s="7" t="s">
        <v>1126</v>
      </c>
    </row>
    <row r="160" spans="1:9" x14ac:dyDescent="0.25">
      <c r="A160" t="s">
        <v>672</v>
      </c>
      <c r="B160" t="s">
        <v>673</v>
      </c>
      <c r="C160" t="s">
        <v>674</v>
      </c>
      <c r="D160" t="s">
        <v>57</v>
      </c>
      <c r="E160" t="s">
        <v>21</v>
      </c>
      <c r="G160" t="s">
        <v>28</v>
      </c>
      <c r="H160" s="7" t="s">
        <v>1141</v>
      </c>
      <c r="I160" s="7" t="s">
        <v>1142</v>
      </c>
    </row>
    <row r="161" spans="1:9" x14ac:dyDescent="0.25">
      <c r="A161" t="s">
        <v>676</v>
      </c>
      <c r="B161" t="s">
        <v>677</v>
      </c>
      <c r="C161" t="s">
        <v>678</v>
      </c>
      <c r="D161" t="s">
        <v>57</v>
      </c>
      <c r="E161" t="s">
        <v>21</v>
      </c>
      <c r="F161" t="s">
        <v>53</v>
      </c>
      <c r="G161" t="s">
        <v>28</v>
      </c>
      <c r="H161" s="7" t="s">
        <v>1125</v>
      </c>
      <c r="I161" s="7" t="s">
        <v>1126</v>
      </c>
    </row>
    <row r="162" spans="1:9" x14ac:dyDescent="0.25">
      <c r="A162" t="s">
        <v>681</v>
      </c>
      <c r="B162" t="s">
        <v>682</v>
      </c>
      <c r="C162" t="s">
        <v>683</v>
      </c>
      <c r="D162" t="s">
        <v>57</v>
      </c>
      <c r="E162" t="s">
        <v>21</v>
      </c>
      <c r="G162" t="s">
        <v>28</v>
      </c>
      <c r="H162" s="7" t="s">
        <v>1137</v>
      </c>
      <c r="I162" s="7" t="s">
        <v>1138</v>
      </c>
    </row>
    <row r="163" spans="1:9" x14ac:dyDescent="0.25">
      <c r="A163" t="s">
        <v>685</v>
      </c>
      <c r="B163" t="s">
        <v>686</v>
      </c>
      <c r="C163" t="s">
        <v>687</v>
      </c>
      <c r="D163" t="s">
        <v>57</v>
      </c>
      <c r="E163" t="s">
        <v>21</v>
      </c>
      <c r="G163" t="s">
        <v>28</v>
      </c>
      <c r="H163" s="7" t="s">
        <v>1235</v>
      </c>
      <c r="I163" s="7" t="s">
        <v>1236</v>
      </c>
    </row>
    <row r="164" spans="1:9" x14ac:dyDescent="0.25">
      <c r="A164" t="s">
        <v>689</v>
      </c>
      <c r="B164" t="s">
        <v>690</v>
      </c>
      <c r="C164" t="s">
        <v>691</v>
      </c>
      <c r="D164" t="s">
        <v>57</v>
      </c>
      <c r="E164" t="s">
        <v>21</v>
      </c>
      <c r="G164" t="s">
        <v>28</v>
      </c>
      <c r="H164" s="7" t="s">
        <v>1125</v>
      </c>
      <c r="I164" s="7" t="s">
        <v>1126</v>
      </c>
    </row>
    <row r="165" spans="1:9" x14ac:dyDescent="0.25">
      <c r="A165" t="s">
        <v>693</v>
      </c>
      <c r="B165" t="s">
        <v>694</v>
      </c>
      <c r="C165" t="s">
        <v>695</v>
      </c>
      <c r="D165" t="s">
        <v>57</v>
      </c>
      <c r="E165" t="s">
        <v>21</v>
      </c>
      <c r="F165" t="s">
        <v>53</v>
      </c>
      <c r="G165" t="s">
        <v>28</v>
      </c>
      <c r="H165" s="7" t="s">
        <v>1147</v>
      </c>
      <c r="I165" s="7" t="s">
        <v>1148</v>
      </c>
    </row>
    <row r="166" spans="1:9" x14ac:dyDescent="0.25">
      <c r="A166" t="s">
        <v>697</v>
      </c>
      <c r="B166" t="s">
        <v>698</v>
      </c>
      <c r="C166" t="s">
        <v>699</v>
      </c>
      <c r="D166" t="s">
        <v>57</v>
      </c>
      <c r="E166" t="s">
        <v>21</v>
      </c>
      <c r="F166" t="s">
        <v>53</v>
      </c>
      <c r="G166" t="s">
        <v>28</v>
      </c>
      <c r="H166" s="7" t="s">
        <v>1125</v>
      </c>
      <c r="I166" s="7" t="s">
        <v>1126</v>
      </c>
    </row>
    <row r="167" spans="1:9" x14ac:dyDescent="0.25">
      <c r="A167" t="s">
        <v>701</v>
      </c>
      <c r="B167" t="s">
        <v>702</v>
      </c>
      <c r="C167" t="s">
        <v>703</v>
      </c>
      <c r="D167" t="s">
        <v>57</v>
      </c>
      <c r="E167" t="s">
        <v>21</v>
      </c>
      <c r="G167" t="s">
        <v>24</v>
      </c>
      <c r="H167" s="7" t="s">
        <v>1147</v>
      </c>
      <c r="I167" s="7" t="s">
        <v>1148</v>
      </c>
    </row>
    <row r="168" spans="1:9" x14ac:dyDescent="0.25">
      <c r="A168" t="s">
        <v>706</v>
      </c>
      <c r="B168" t="s">
        <v>707</v>
      </c>
      <c r="C168" t="s">
        <v>708</v>
      </c>
      <c r="D168" t="s">
        <v>57</v>
      </c>
      <c r="E168" t="s">
        <v>21</v>
      </c>
      <c r="G168" t="s">
        <v>24</v>
      </c>
      <c r="H168" s="7" t="s">
        <v>1125</v>
      </c>
      <c r="I168" s="7" t="s">
        <v>1126</v>
      </c>
    </row>
    <row r="169" spans="1:9" x14ac:dyDescent="0.25">
      <c r="A169" t="s">
        <v>706</v>
      </c>
      <c r="B169" t="s">
        <v>709</v>
      </c>
      <c r="C169" t="s">
        <v>710</v>
      </c>
      <c r="D169" t="s">
        <v>57</v>
      </c>
      <c r="E169" t="s">
        <v>21</v>
      </c>
      <c r="F169" t="s">
        <v>53</v>
      </c>
      <c r="G169" t="s">
        <v>24</v>
      </c>
      <c r="H169" s="7" t="s">
        <v>1129</v>
      </c>
      <c r="I169" s="7" t="s">
        <v>1130</v>
      </c>
    </row>
    <row r="170" spans="1:9" x14ac:dyDescent="0.25">
      <c r="A170" t="s">
        <v>706</v>
      </c>
      <c r="B170" t="s">
        <v>713</v>
      </c>
      <c r="C170" t="s">
        <v>714</v>
      </c>
      <c r="D170" t="s">
        <v>57</v>
      </c>
      <c r="E170" t="s">
        <v>21</v>
      </c>
      <c r="G170" t="s">
        <v>24</v>
      </c>
      <c r="H170" s="7" t="s">
        <v>1125</v>
      </c>
      <c r="I170" s="7" t="s">
        <v>1126</v>
      </c>
    </row>
    <row r="171" spans="1:9" x14ac:dyDescent="0.25">
      <c r="A171" t="s">
        <v>706</v>
      </c>
      <c r="B171" t="s">
        <v>717</v>
      </c>
      <c r="C171" t="s">
        <v>718</v>
      </c>
      <c r="D171" t="s">
        <v>57</v>
      </c>
      <c r="E171" t="s">
        <v>21</v>
      </c>
      <c r="G171" t="s">
        <v>28</v>
      </c>
      <c r="H171" s="7" t="s">
        <v>1149</v>
      </c>
      <c r="I171" s="7" t="s">
        <v>1150</v>
      </c>
    </row>
    <row r="172" spans="1:9" x14ac:dyDescent="0.25">
      <c r="A172" t="s">
        <v>719</v>
      </c>
      <c r="B172" t="s">
        <v>720</v>
      </c>
      <c r="C172" t="s">
        <v>721</v>
      </c>
      <c r="D172" t="s">
        <v>57</v>
      </c>
      <c r="E172" t="s">
        <v>21</v>
      </c>
      <c r="G172" t="s">
        <v>24</v>
      </c>
      <c r="H172" s="7" t="s">
        <v>1129</v>
      </c>
      <c r="I172" s="7" t="s">
        <v>1130</v>
      </c>
    </row>
    <row r="173" spans="1:9" x14ac:dyDescent="0.25">
      <c r="A173" t="s">
        <v>724</v>
      </c>
      <c r="B173" t="s">
        <v>725</v>
      </c>
      <c r="C173" t="s">
        <v>726</v>
      </c>
      <c r="D173" t="s">
        <v>57</v>
      </c>
      <c r="E173" t="s">
        <v>21</v>
      </c>
      <c r="F173" t="s">
        <v>53</v>
      </c>
      <c r="G173" t="s">
        <v>24</v>
      </c>
      <c r="H173" s="7" t="s">
        <v>1125</v>
      </c>
      <c r="I173" s="7" t="s">
        <v>1126</v>
      </c>
    </row>
    <row r="174" spans="1:9" x14ac:dyDescent="0.25">
      <c r="A174" t="s">
        <v>729</v>
      </c>
      <c r="C174" t="s">
        <v>730</v>
      </c>
      <c r="D174" t="s">
        <v>57</v>
      </c>
      <c r="E174" t="s">
        <v>21</v>
      </c>
      <c r="F174" t="s">
        <v>53</v>
      </c>
      <c r="G174" t="s">
        <v>24</v>
      </c>
      <c r="H174" s="7" t="s">
        <v>1125</v>
      </c>
      <c r="I174" s="7" t="s">
        <v>1126</v>
      </c>
    </row>
    <row r="175" spans="1:9" x14ac:dyDescent="0.25">
      <c r="A175" t="s">
        <v>732</v>
      </c>
      <c r="B175" t="s">
        <v>733</v>
      </c>
      <c r="C175" t="s">
        <v>734</v>
      </c>
      <c r="D175" t="s">
        <v>57</v>
      </c>
      <c r="E175" t="s">
        <v>21</v>
      </c>
      <c r="G175" t="s">
        <v>28</v>
      </c>
      <c r="H175" s="7" t="s">
        <v>1237</v>
      </c>
      <c r="I175" s="7" t="s">
        <v>1238</v>
      </c>
    </row>
    <row r="176" spans="1:9" x14ac:dyDescent="0.25">
      <c r="A176" t="s">
        <v>732</v>
      </c>
      <c r="B176" t="s">
        <v>481</v>
      </c>
      <c r="C176" t="s">
        <v>736</v>
      </c>
      <c r="D176" t="s">
        <v>57</v>
      </c>
      <c r="E176" t="s">
        <v>21</v>
      </c>
      <c r="F176" t="s">
        <v>53</v>
      </c>
      <c r="G176" t="s">
        <v>24</v>
      </c>
      <c r="H176" s="7" t="s">
        <v>1125</v>
      </c>
      <c r="I176" s="7" t="s">
        <v>1126</v>
      </c>
    </row>
    <row r="177" spans="1:9" x14ac:dyDescent="0.25">
      <c r="A177" t="s">
        <v>732</v>
      </c>
      <c r="B177" t="s">
        <v>738</v>
      </c>
      <c r="C177" t="s">
        <v>739</v>
      </c>
      <c r="D177" t="s">
        <v>57</v>
      </c>
      <c r="E177" t="s">
        <v>21</v>
      </c>
      <c r="G177" t="s">
        <v>28</v>
      </c>
      <c r="H177" s="7" t="s">
        <v>1197</v>
      </c>
      <c r="I177" s="7" t="s">
        <v>1198</v>
      </c>
    </row>
    <row r="178" spans="1:9" x14ac:dyDescent="0.25">
      <c r="A178" t="s">
        <v>740</v>
      </c>
      <c r="C178" t="s">
        <v>741</v>
      </c>
      <c r="D178" t="s">
        <v>57</v>
      </c>
      <c r="E178" t="s">
        <v>21</v>
      </c>
      <c r="G178" t="s">
        <v>24</v>
      </c>
      <c r="H178" s="7" t="s">
        <v>1125</v>
      </c>
      <c r="I178" s="7" t="s">
        <v>1126</v>
      </c>
    </row>
    <row r="179" spans="1:9" x14ac:dyDescent="0.25">
      <c r="A179" t="s">
        <v>744</v>
      </c>
      <c r="B179" t="s">
        <v>745</v>
      </c>
      <c r="C179" t="s">
        <v>746</v>
      </c>
      <c r="D179" t="s">
        <v>57</v>
      </c>
      <c r="E179" t="s">
        <v>21</v>
      </c>
      <c r="F179" t="s">
        <v>53</v>
      </c>
      <c r="G179" t="s">
        <v>24</v>
      </c>
      <c r="H179" s="7" t="s">
        <v>1129</v>
      </c>
      <c r="I179" s="7" t="s">
        <v>1130</v>
      </c>
    </row>
    <row r="180" spans="1:9" x14ac:dyDescent="0.25">
      <c r="A180" t="s">
        <v>748</v>
      </c>
      <c r="B180" t="s">
        <v>749</v>
      </c>
      <c r="C180" t="s">
        <v>750</v>
      </c>
      <c r="D180" t="s">
        <v>57</v>
      </c>
      <c r="E180" t="s">
        <v>21</v>
      </c>
      <c r="G180" t="s">
        <v>28</v>
      </c>
      <c r="H180" s="7" t="s">
        <v>1181</v>
      </c>
      <c r="I180" s="7" t="s">
        <v>1182</v>
      </c>
    </row>
    <row r="181" spans="1:9" x14ac:dyDescent="0.25">
      <c r="A181" t="s">
        <v>752</v>
      </c>
      <c r="B181" t="s">
        <v>753</v>
      </c>
      <c r="C181" t="s">
        <v>754</v>
      </c>
      <c r="D181" t="s">
        <v>57</v>
      </c>
      <c r="E181" t="s">
        <v>21</v>
      </c>
      <c r="F181" t="s">
        <v>53</v>
      </c>
      <c r="G181" t="s">
        <v>24</v>
      </c>
      <c r="H181" s="7" t="s">
        <v>1147</v>
      </c>
      <c r="I181" s="7" t="s">
        <v>1148</v>
      </c>
    </row>
    <row r="182" spans="1:9" x14ac:dyDescent="0.25">
      <c r="A182" t="s">
        <v>756</v>
      </c>
      <c r="B182" t="s">
        <v>757</v>
      </c>
      <c r="C182" t="s">
        <v>758</v>
      </c>
      <c r="D182" t="s">
        <v>57</v>
      </c>
      <c r="E182" t="s">
        <v>21</v>
      </c>
      <c r="G182" t="s">
        <v>28</v>
      </c>
      <c r="H182" s="7" t="s">
        <v>1125</v>
      </c>
      <c r="I182" s="7" t="s">
        <v>1126</v>
      </c>
    </row>
    <row r="183" spans="1:9" x14ac:dyDescent="0.25">
      <c r="A183" t="s">
        <v>760</v>
      </c>
      <c r="B183" t="s">
        <v>761</v>
      </c>
      <c r="C183" t="s">
        <v>762</v>
      </c>
      <c r="D183" t="s">
        <v>57</v>
      </c>
      <c r="E183" t="s">
        <v>21</v>
      </c>
      <c r="G183" t="s">
        <v>28</v>
      </c>
      <c r="H183" s="7" t="s">
        <v>1157</v>
      </c>
      <c r="I183" s="7" t="s">
        <v>1158</v>
      </c>
    </row>
    <row r="184" spans="1:9" x14ac:dyDescent="0.25">
      <c r="A184" t="s">
        <v>763</v>
      </c>
      <c r="C184" t="s">
        <v>764</v>
      </c>
      <c r="D184" t="s">
        <v>57</v>
      </c>
      <c r="E184" t="s">
        <v>21</v>
      </c>
      <c r="F184" t="s">
        <v>53</v>
      </c>
      <c r="G184" t="s">
        <v>24</v>
      </c>
      <c r="H184" s="7" t="s">
        <v>1125</v>
      </c>
      <c r="I184" s="7" t="s">
        <v>1126</v>
      </c>
    </row>
    <row r="185" spans="1:9" x14ac:dyDescent="0.25">
      <c r="A185" t="s">
        <v>765</v>
      </c>
      <c r="B185" t="s">
        <v>216</v>
      </c>
      <c r="C185" t="s">
        <v>766</v>
      </c>
      <c r="D185" t="s">
        <v>57</v>
      </c>
      <c r="E185" t="s">
        <v>21</v>
      </c>
      <c r="F185" t="s">
        <v>53</v>
      </c>
      <c r="G185" t="s">
        <v>28</v>
      </c>
      <c r="H185" s="7" t="s">
        <v>1173</v>
      </c>
      <c r="I185" s="7" t="s">
        <v>1174</v>
      </c>
    </row>
    <row r="186" spans="1:9" x14ac:dyDescent="0.25">
      <c r="A186" t="s">
        <v>768</v>
      </c>
      <c r="B186" t="s">
        <v>769</v>
      </c>
      <c r="C186" t="s">
        <v>770</v>
      </c>
      <c r="D186" t="s">
        <v>57</v>
      </c>
      <c r="E186" t="s">
        <v>21</v>
      </c>
      <c r="G186" t="s">
        <v>28</v>
      </c>
      <c r="H186" s="7" t="s">
        <v>1151</v>
      </c>
      <c r="I186" s="7" t="s">
        <v>1152</v>
      </c>
    </row>
    <row r="187" spans="1:9" x14ac:dyDescent="0.25">
      <c r="A187" t="s">
        <v>771</v>
      </c>
      <c r="B187" t="s">
        <v>772</v>
      </c>
      <c r="C187" t="s">
        <v>773</v>
      </c>
      <c r="D187" t="s">
        <v>57</v>
      </c>
      <c r="E187" t="s">
        <v>21</v>
      </c>
      <c r="F187" t="s">
        <v>776</v>
      </c>
      <c r="G187" t="s">
        <v>28</v>
      </c>
      <c r="H187" s="7" t="s">
        <v>1221</v>
      </c>
      <c r="I187" s="7" t="s">
        <v>1222</v>
      </c>
    </row>
    <row r="188" spans="1:9" x14ac:dyDescent="0.25">
      <c r="A188" t="s">
        <v>777</v>
      </c>
      <c r="B188" t="s">
        <v>778</v>
      </c>
      <c r="C188" t="s">
        <v>779</v>
      </c>
      <c r="D188" t="s">
        <v>57</v>
      </c>
      <c r="E188" t="s">
        <v>21</v>
      </c>
      <c r="G188" t="s">
        <v>28</v>
      </c>
      <c r="H188" s="7" t="s">
        <v>1151</v>
      </c>
      <c r="I188" s="7" t="s">
        <v>1152</v>
      </c>
    </row>
    <row r="189" spans="1:9" x14ac:dyDescent="0.25">
      <c r="A189" t="s">
        <v>777</v>
      </c>
      <c r="B189" t="s">
        <v>781</v>
      </c>
      <c r="C189" t="s">
        <v>782</v>
      </c>
      <c r="D189" t="s">
        <v>57</v>
      </c>
      <c r="E189" t="s">
        <v>21</v>
      </c>
      <c r="G189" t="s">
        <v>28</v>
      </c>
      <c r="H189" s="7" t="s">
        <v>1125</v>
      </c>
      <c r="I189" s="7" t="s">
        <v>1126</v>
      </c>
    </row>
    <row r="190" spans="1:9" x14ac:dyDescent="0.25">
      <c r="A190" t="s">
        <v>777</v>
      </c>
      <c r="B190" t="s">
        <v>784</v>
      </c>
      <c r="C190" t="s">
        <v>785</v>
      </c>
      <c r="D190" t="s">
        <v>57</v>
      </c>
      <c r="E190" t="s">
        <v>21</v>
      </c>
      <c r="G190" t="s">
        <v>28</v>
      </c>
      <c r="H190" s="7" t="s">
        <v>1239</v>
      </c>
      <c r="I190" s="7" t="s">
        <v>1240</v>
      </c>
    </row>
    <row r="191" spans="1:9" x14ac:dyDescent="0.25">
      <c r="A191" t="s">
        <v>787</v>
      </c>
      <c r="B191" t="s">
        <v>509</v>
      </c>
      <c r="C191" t="s">
        <v>788</v>
      </c>
      <c r="D191" t="s">
        <v>57</v>
      </c>
      <c r="E191" t="s">
        <v>21</v>
      </c>
      <c r="G191" t="s">
        <v>28</v>
      </c>
      <c r="H191" s="7" t="s">
        <v>1215</v>
      </c>
      <c r="I191" s="7" t="s">
        <v>1216</v>
      </c>
    </row>
    <row r="192" spans="1:9" x14ac:dyDescent="0.25">
      <c r="A192" t="s">
        <v>790</v>
      </c>
      <c r="B192" t="s">
        <v>791</v>
      </c>
      <c r="C192" t="s">
        <v>792</v>
      </c>
      <c r="D192" t="s">
        <v>57</v>
      </c>
      <c r="E192" t="s">
        <v>21</v>
      </c>
      <c r="G192" t="s">
        <v>28</v>
      </c>
      <c r="H192" s="7" t="s">
        <v>1241</v>
      </c>
      <c r="I192" s="7" t="s">
        <v>1242</v>
      </c>
    </row>
    <row r="193" spans="1:9" x14ac:dyDescent="0.25">
      <c r="A193" t="s">
        <v>790</v>
      </c>
      <c r="B193" t="s">
        <v>713</v>
      </c>
      <c r="C193" t="s">
        <v>793</v>
      </c>
      <c r="D193" t="s">
        <v>57</v>
      </c>
      <c r="E193" t="s">
        <v>21</v>
      </c>
      <c r="F193" t="s">
        <v>53</v>
      </c>
      <c r="G193" t="s">
        <v>24</v>
      </c>
      <c r="H193" s="7" t="s">
        <v>1125</v>
      </c>
      <c r="I193" s="7" t="s">
        <v>1126</v>
      </c>
    </row>
    <row r="194" spans="1:9" x14ac:dyDescent="0.25">
      <c r="A194" t="s">
        <v>790</v>
      </c>
      <c r="B194" t="s">
        <v>795</v>
      </c>
      <c r="C194" t="s">
        <v>796</v>
      </c>
      <c r="D194" t="s">
        <v>57</v>
      </c>
      <c r="E194" t="s">
        <v>21</v>
      </c>
      <c r="G194" t="s">
        <v>24</v>
      </c>
      <c r="H194" s="7" t="s">
        <v>1161</v>
      </c>
      <c r="I194" s="7" t="s">
        <v>1162</v>
      </c>
    </row>
    <row r="195" spans="1:9" x14ac:dyDescent="0.25">
      <c r="A195" t="s">
        <v>798</v>
      </c>
      <c r="B195" t="s">
        <v>799</v>
      </c>
      <c r="C195" t="s">
        <v>800</v>
      </c>
      <c r="D195" t="s">
        <v>57</v>
      </c>
      <c r="E195" t="s">
        <v>21</v>
      </c>
      <c r="F195" t="s">
        <v>53</v>
      </c>
      <c r="G195" t="s">
        <v>24</v>
      </c>
      <c r="H195" s="7" t="s">
        <v>1121</v>
      </c>
      <c r="I195" s="7" t="s">
        <v>1122</v>
      </c>
    </row>
    <row r="196" spans="1:9" x14ac:dyDescent="0.25">
      <c r="A196" t="s">
        <v>798</v>
      </c>
      <c r="B196" t="s">
        <v>802</v>
      </c>
      <c r="C196" t="s">
        <v>803</v>
      </c>
      <c r="D196" t="s">
        <v>57</v>
      </c>
      <c r="E196" t="s">
        <v>21</v>
      </c>
      <c r="G196" t="s">
        <v>28</v>
      </c>
      <c r="H196" s="7" t="s">
        <v>1137</v>
      </c>
      <c r="I196" s="7" t="str">
        <f>VLOOKUP(H196,[1]Sheet1!$A:$B,2,FALSE)</f>
        <v>USA - Consulting - Two Dot - Operations</v>
      </c>
    </row>
    <row r="197" spans="1:9" x14ac:dyDescent="0.25">
      <c r="A197" t="s">
        <v>809</v>
      </c>
      <c r="B197" t="s">
        <v>810</v>
      </c>
      <c r="C197" t="s">
        <v>811</v>
      </c>
      <c r="D197" t="s">
        <v>57</v>
      </c>
      <c r="E197" t="s">
        <v>21</v>
      </c>
      <c r="G197" t="s">
        <v>28</v>
      </c>
      <c r="H197" s="7" t="s">
        <v>1153</v>
      </c>
      <c r="I197" s="7" t="s">
        <v>1154</v>
      </c>
    </row>
    <row r="198" spans="1:9" x14ac:dyDescent="0.25">
      <c r="A198" t="s">
        <v>809</v>
      </c>
      <c r="B198" t="s">
        <v>812</v>
      </c>
      <c r="C198" t="s">
        <v>813</v>
      </c>
      <c r="D198" t="s">
        <v>57</v>
      </c>
      <c r="E198" t="s">
        <v>21</v>
      </c>
      <c r="G198" t="s">
        <v>24</v>
      </c>
      <c r="H198" s="7" t="s">
        <v>1137</v>
      </c>
      <c r="I198" s="7" t="s">
        <v>1138</v>
      </c>
    </row>
    <row r="199" spans="1:9" x14ac:dyDescent="0.25">
      <c r="A199" t="s">
        <v>814</v>
      </c>
      <c r="B199" t="s">
        <v>815</v>
      </c>
      <c r="C199" t="s">
        <v>816</v>
      </c>
      <c r="D199" t="s">
        <v>57</v>
      </c>
      <c r="E199" t="s">
        <v>21</v>
      </c>
      <c r="G199" t="s">
        <v>28</v>
      </c>
      <c r="H199" s="7" t="s">
        <v>1197</v>
      </c>
      <c r="I199" s="7" t="s">
        <v>1198</v>
      </c>
    </row>
    <row r="200" spans="1:9" x14ac:dyDescent="0.25">
      <c r="A200" t="s">
        <v>817</v>
      </c>
      <c r="B200" t="s">
        <v>818</v>
      </c>
      <c r="C200" t="s">
        <v>819</v>
      </c>
      <c r="D200" t="s">
        <v>57</v>
      </c>
      <c r="E200" t="s">
        <v>21</v>
      </c>
      <c r="G200" t="s">
        <v>24</v>
      </c>
      <c r="H200" s="7" t="s">
        <v>1125</v>
      </c>
      <c r="I200" s="7" t="s">
        <v>1126</v>
      </c>
    </row>
    <row r="201" spans="1:9" x14ac:dyDescent="0.25">
      <c r="A201" t="s">
        <v>822</v>
      </c>
      <c r="B201" t="s">
        <v>823</v>
      </c>
      <c r="C201" t="s">
        <v>824</v>
      </c>
      <c r="D201" t="s">
        <v>57</v>
      </c>
      <c r="E201" t="s">
        <v>21</v>
      </c>
      <c r="F201" t="s">
        <v>53</v>
      </c>
      <c r="G201" t="s">
        <v>24</v>
      </c>
      <c r="H201" s="7" t="s">
        <v>1243</v>
      </c>
      <c r="I201" s="7" t="s">
        <v>1244</v>
      </c>
    </row>
    <row r="202" spans="1:9" x14ac:dyDescent="0.25">
      <c r="A202" t="s">
        <v>827</v>
      </c>
      <c r="B202" t="s">
        <v>828</v>
      </c>
      <c r="C202" t="s">
        <v>829</v>
      </c>
      <c r="D202" t="s">
        <v>57</v>
      </c>
      <c r="E202" t="s">
        <v>21</v>
      </c>
      <c r="G202" t="s">
        <v>24</v>
      </c>
      <c r="H202" s="7" t="s">
        <v>1161</v>
      </c>
      <c r="I202" s="7" t="s">
        <v>1162</v>
      </c>
    </row>
    <row r="203" spans="1:9" x14ac:dyDescent="0.25">
      <c r="A203" t="s">
        <v>830</v>
      </c>
      <c r="B203" t="s">
        <v>831</v>
      </c>
      <c r="C203" t="s">
        <v>832</v>
      </c>
      <c r="D203" t="s">
        <v>57</v>
      </c>
      <c r="E203" t="s">
        <v>21</v>
      </c>
      <c r="F203" t="s">
        <v>53</v>
      </c>
      <c r="G203" t="s">
        <v>28</v>
      </c>
      <c r="H203" s="7" t="s">
        <v>1121</v>
      </c>
      <c r="I203" s="7" t="s">
        <v>1122</v>
      </c>
    </row>
    <row r="204" spans="1:9" x14ac:dyDescent="0.25">
      <c r="A204" t="s">
        <v>834</v>
      </c>
      <c r="B204" t="s">
        <v>835</v>
      </c>
      <c r="C204" t="s">
        <v>836</v>
      </c>
      <c r="D204" t="s">
        <v>57</v>
      </c>
      <c r="E204" t="s">
        <v>21</v>
      </c>
      <c r="F204" t="s">
        <v>53</v>
      </c>
      <c r="G204" t="s">
        <v>28</v>
      </c>
      <c r="H204" s="7" t="s">
        <v>1129</v>
      </c>
      <c r="I204" s="7" t="s">
        <v>1130</v>
      </c>
    </row>
    <row r="205" spans="1:9" x14ac:dyDescent="0.25">
      <c r="A205" t="s">
        <v>838</v>
      </c>
      <c r="B205" t="s">
        <v>839</v>
      </c>
      <c r="C205" t="s">
        <v>840</v>
      </c>
      <c r="D205" t="s">
        <v>57</v>
      </c>
      <c r="E205" t="s">
        <v>21</v>
      </c>
      <c r="G205" t="s">
        <v>28</v>
      </c>
      <c r="H205" s="7" t="s">
        <v>1227</v>
      </c>
      <c r="I205" s="7" t="s">
        <v>1228</v>
      </c>
    </row>
    <row r="206" spans="1:9" x14ac:dyDescent="0.25">
      <c r="A206" t="s">
        <v>838</v>
      </c>
      <c r="B206" t="s">
        <v>173</v>
      </c>
      <c r="C206" t="s">
        <v>841</v>
      </c>
      <c r="D206" t="s">
        <v>57</v>
      </c>
      <c r="E206" t="s">
        <v>21</v>
      </c>
      <c r="F206" t="s">
        <v>53</v>
      </c>
      <c r="G206" t="s">
        <v>24</v>
      </c>
      <c r="H206" s="7" t="s">
        <v>1121</v>
      </c>
      <c r="I206" s="7" t="s">
        <v>1122</v>
      </c>
    </row>
    <row r="207" spans="1:9" x14ac:dyDescent="0.25">
      <c r="A207" t="s">
        <v>838</v>
      </c>
      <c r="B207" t="s">
        <v>30</v>
      </c>
      <c r="C207" t="s">
        <v>843</v>
      </c>
      <c r="D207" t="s">
        <v>57</v>
      </c>
      <c r="E207" t="s">
        <v>21</v>
      </c>
      <c r="G207" t="s">
        <v>24</v>
      </c>
      <c r="H207" s="7" t="s">
        <v>1147</v>
      </c>
      <c r="I207" s="7" t="s">
        <v>1148</v>
      </c>
    </row>
    <row r="208" spans="1:9" x14ac:dyDescent="0.25">
      <c r="A208" t="s">
        <v>838</v>
      </c>
      <c r="B208" t="s">
        <v>846</v>
      </c>
      <c r="C208" t="s">
        <v>847</v>
      </c>
      <c r="D208" t="s">
        <v>57</v>
      </c>
      <c r="E208" t="s">
        <v>21</v>
      </c>
      <c r="F208" t="s">
        <v>53</v>
      </c>
      <c r="G208" t="s">
        <v>24</v>
      </c>
      <c r="H208" s="7" t="s">
        <v>1125</v>
      </c>
      <c r="I208" s="7" t="s">
        <v>1126</v>
      </c>
    </row>
    <row r="209" spans="1:9" x14ac:dyDescent="0.25">
      <c r="A209" t="s">
        <v>849</v>
      </c>
      <c r="B209" t="s">
        <v>850</v>
      </c>
      <c r="C209" t="s">
        <v>851</v>
      </c>
      <c r="D209" t="s">
        <v>57</v>
      </c>
      <c r="E209" t="s">
        <v>21</v>
      </c>
      <c r="F209" t="s">
        <v>53</v>
      </c>
      <c r="G209" t="s">
        <v>24</v>
      </c>
      <c r="H209" s="7" t="s">
        <v>1245</v>
      </c>
      <c r="I209" s="7" t="s">
        <v>1246</v>
      </c>
    </row>
    <row r="210" spans="1:9" x14ac:dyDescent="0.25">
      <c r="A210" t="s">
        <v>849</v>
      </c>
      <c r="B210" t="s">
        <v>854</v>
      </c>
      <c r="C210" t="s">
        <v>855</v>
      </c>
      <c r="D210" t="s">
        <v>57</v>
      </c>
      <c r="E210" t="s">
        <v>21</v>
      </c>
      <c r="G210" t="s">
        <v>28</v>
      </c>
      <c r="H210" s="7" t="s">
        <v>1181</v>
      </c>
      <c r="I210" s="7" t="s">
        <v>1182</v>
      </c>
    </row>
    <row r="211" spans="1:9" x14ac:dyDescent="0.25">
      <c r="A211" t="s">
        <v>857</v>
      </c>
      <c r="B211" t="s">
        <v>862</v>
      </c>
      <c r="C211" t="s">
        <v>863</v>
      </c>
      <c r="D211" t="s">
        <v>57</v>
      </c>
      <c r="E211" t="s">
        <v>21</v>
      </c>
      <c r="F211" t="s">
        <v>53</v>
      </c>
      <c r="G211" t="s">
        <v>24</v>
      </c>
      <c r="H211" s="7" t="s">
        <v>1125</v>
      </c>
      <c r="I211" s="7" t="s">
        <v>1126</v>
      </c>
    </row>
    <row r="212" spans="1:9" x14ac:dyDescent="0.25">
      <c r="A212" t="s">
        <v>865</v>
      </c>
      <c r="B212" t="s">
        <v>866</v>
      </c>
      <c r="C212" t="s">
        <v>867</v>
      </c>
      <c r="D212" t="s">
        <v>57</v>
      </c>
      <c r="E212" t="s">
        <v>21</v>
      </c>
      <c r="F212" t="s">
        <v>53</v>
      </c>
      <c r="G212" t="s">
        <v>28</v>
      </c>
      <c r="H212" s="7" t="s">
        <v>1247</v>
      </c>
      <c r="I212" s="7" t="s">
        <v>1248</v>
      </c>
    </row>
    <row r="213" spans="1:9" x14ac:dyDescent="0.25">
      <c r="A213" t="s">
        <v>870</v>
      </c>
      <c r="B213" t="b">
        <v>1</v>
      </c>
      <c r="C213" t="s">
        <v>871</v>
      </c>
      <c r="D213" t="s">
        <v>57</v>
      </c>
      <c r="E213" t="s">
        <v>21</v>
      </c>
      <c r="G213" t="s">
        <v>24</v>
      </c>
      <c r="H213" s="7" t="s">
        <v>1125</v>
      </c>
      <c r="I213" s="7" t="s">
        <v>1126</v>
      </c>
    </row>
    <row r="214" spans="1:9" x14ac:dyDescent="0.25">
      <c r="A214" t="s">
        <v>874</v>
      </c>
      <c r="B214" t="s">
        <v>875</v>
      </c>
      <c r="C214" t="s">
        <v>876</v>
      </c>
      <c r="D214" t="s">
        <v>57</v>
      </c>
      <c r="E214" t="s">
        <v>21</v>
      </c>
      <c r="F214" t="s">
        <v>53</v>
      </c>
      <c r="G214" t="s">
        <v>24</v>
      </c>
      <c r="H214" s="7" t="s">
        <v>1125</v>
      </c>
      <c r="I214" s="7" t="s">
        <v>1126</v>
      </c>
    </row>
    <row r="215" spans="1:9" x14ac:dyDescent="0.25">
      <c r="A215" t="s">
        <v>878</v>
      </c>
      <c r="B215" t="s">
        <v>879</v>
      </c>
      <c r="C215" t="s">
        <v>880</v>
      </c>
      <c r="D215" t="s">
        <v>57</v>
      </c>
      <c r="E215" t="s">
        <v>21</v>
      </c>
      <c r="G215" t="s">
        <v>28</v>
      </c>
      <c r="H215" s="7" t="s">
        <v>1203</v>
      </c>
      <c r="I215" s="7" t="s">
        <v>1204</v>
      </c>
    </row>
    <row r="216" spans="1:9" x14ac:dyDescent="0.25">
      <c r="A216" t="s">
        <v>886</v>
      </c>
      <c r="B216" t="s">
        <v>887</v>
      </c>
      <c r="C216" t="s">
        <v>888</v>
      </c>
      <c r="D216" t="s">
        <v>57</v>
      </c>
      <c r="E216" t="s">
        <v>21</v>
      </c>
      <c r="F216" t="s">
        <v>53</v>
      </c>
      <c r="G216" t="s">
        <v>24</v>
      </c>
      <c r="H216" s="7" t="s">
        <v>1147</v>
      </c>
      <c r="I216" s="7" t="s">
        <v>1148</v>
      </c>
    </row>
    <row r="217" spans="1:9" x14ac:dyDescent="0.25">
      <c r="A217" t="s">
        <v>886</v>
      </c>
      <c r="B217" t="s">
        <v>891</v>
      </c>
      <c r="C217" t="s">
        <v>892</v>
      </c>
      <c r="D217" t="s">
        <v>57</v>
      </c>
      <c r="E217" t="s">
        <v>21</v>
      </c>
      <c r="G217" t="s">
        <v>28</v>
      </c>
      <c r="H217" s="7" t="s">
        <v>1153</v>
      </c>
      <c r="I217" s="7" t="s">
        <v>1154</v>
      </c>
    </row>
    <row r="218" spans="1:9" x14ac:dyDescent="0.25">
      <c r="A218" t="s">
        <v>886</v>
      </c>
      <c r="B218" t="s">
        <v>893</v>
      </c>
      <c r="C218" t="s">
        <v>894</v>
      </c>
      <c r="D218" t="s">
        <v>57</v>
      </c>
      <c r="E218" t="s">
        <v>21</v>
      </c>
      <c r="G218" t="s">
        <v>28</v>
      </c>
      <c r="H218" s="7" t="s">
        <v>1153</v>
      </c>
      <c r="I218" s="7" t="s">
        <v>1154</v>
      </c>
    </row>
    <row r="219" spans="1:9" x14ac:dyDescent="0.25">
      <c r="A219" t="s">
        <v>886</v>
      </c>
      <c r="B219" t="s">
        <v>896</v>
      </c>
      <c r="C219" t="s">
        <v>897</v>
      </c>
      <c r="D219" t="s">
        <v>57</v>
      </c>
      <c r="E219" t="s">
        <v>21</v>
      </c>
      <c r="G219" t="s">
        <v>28</v>
      </c>
      <c r="H219" s="7" t="s">
        <v>1249</v>
      </c>
      <c r="I219" s="7" t="s">
        <v>1250</v>
      </c>
    </row>
    <row r="220" spans="1:9" x14ac:dyDescent="0.25">
      <c r="A220" t="s">
        <v>899</v>
      </c>
      <c r="C220" t="s">
        <v>900</v>
      </c>
      <c r="D220" t="s">
        <v>57</v>
      </c>
      <c r="E220" t="s">
        <v>21</v>
      </c>
      <c r="F220" t="s">
        <v>53</v>
      </c>
      <c r="G220" t="s">
        <v>24</v>
      </c>
      <c r="H220" s="7" t="s">
        <v>1125</v>
      </c>
      <c r="I220" s="7" t="s">
        <v>1126</v>
      </c>
    </row>
    <row r="221" spans="1:9" x14ac:dyDescent="0.25">
      <c r="A221" t="s">
        <v>902</v>
      </c>
      <c r="B221" t="s">
        <v>903</v>
      </c>
      <c r="C221" t="s">
        <v>904</v>
      </c>
      <c r="D221" t="s">
        <v>57</v>
      </c>
      <c r="E221" t="s">
        <v>21</v>
      </c>
      <c r="F221" t="s">
        <v>53</v>
      </c>
      <c r="G221" t="s">
        <v>28</v>
      </c>
      <c r="H221" s="7" t="s">
        <v>1121</v>
      </c>
      <c r="I221" s="7" t="s">
        <v>1122</v>
      </c>
    </row>
    <row r="222" spans="1:9" x14ac:dyDescent="0.25">
      <c r="A222" t="s">
        <v>902</v>
      </c>
      <c r="B222" t="s">
        <v>905</v>
      </c>
      <c r="C222" t="s">
        <v>906</v>
      </c>
      <c r="D222" t="s">
        <v>57</v>
      </c>
      <c r="E222" t="s">
        <v>21</v>
      </c>
      <c r="G222" t="s">
        <v>28</v>
      </c>
      <c r="H222" s="7" t="s">
        <v>1125</v>
      </c>
      <c r="I222" s="7" t="s">
        <v>1126</v>
      </c>
    </row>
    <row r="223" spans="1:9" x14ac:dyDescent="0.25">
      <c r="A223" t="s">
        <v>908</v>
      </c>
      <c r="B223" t="s">
        <v>909</v>
      </c>
      <c r="C223" t="s">
        <v>910</v>
      </c>
      <c r="D223" t="s">
        <v>57</v>
      </c>
      <c r="E223" t="s">
        <v>21</v>
      </c>
      <c r="F223" t="s">
        <v>53</v>
      </c>
      <c r="G223" t="s">
        <v>24</v>
      </c>
      <c r="H223" s="7" t="s">
        <v>1125</v>
      </c>
      <c r="I223" s="7" t="s">
        <v>1126</v>
      </c>
    </row>
    <row r="224" spans="1:9" x14ac:dyDescent="0.25">
      <c r="A224" t="s">
        <v>913</v>
      </c>
      <c r="B224" t="s">
        <v>914</v>
      </c>
      <c r="C224" t="s">
        <v>915</v>
      </c>
      <c r="D224" t="s">
        <v>57</v>
      </c>
      <c r="E224" t="s">
        <v>21</v>
      </c>
      <c r="F224" t="s">
        <v>53</v>
      </c>
      <c r="G224" t="s">
        <v>24</v>
      </c>
      <c r="H224" s="7" t="s">
        <v>1125</v>
      </c>
      <c r="I224" s="7" t="s">
        <v>1126</v>
      </c>
    </row>
    <row r="225" spans="1:9" x14ac:dyDescent="0.25">
      <c r="A225" t="s">
        <v>918</v>
      </c>
      <c r="B225" t="s">
        <v>919</v>
      </c>
      <c r="C225" t="s">
        <v>920</v>
      </c>
      <c r="D225" t="s">
        <v>57</v>
      </c>
      <c r="E225" t="s">
        <v>21</v>
      </c>
      <c r="G225" t="s">
        <v>28</v>
      </c>
      <c r="H225" s="7" t="s">
        <v>1251</v>
      </c>
      <c r="I225" s="7" t="s">
        <v>1252</v>
      </c>
    </row>
    <row r="226" spans="1:9" x14ac:dyDescent="0.25">
      <c r="A226" t="s">
        <v>921</v>
      </c>
      <c r="B226" t="s">
        <v>922</v>
      </c>
      <c r="C226" t="s">
        <v>923</v>
      </c>
      <c r="D226" t="s">
        <v>57</v>
      </c>
      <c r="E226" t="s">
        <v>21</v>
      </c>
      <c r="F226" t="s">
        <v>53</v>
      </c>
      <c r="G226" t="s">
        <v>24</v>
      </c>
      <c r="H226" s="7" t="s">
        <v>1125</v>
      </c>
      <c r="I226" s="7" t="s">
        <v>1126</v>
      </c>
    </row>
    <row r="227" spans="1:9" x14ac:dyDescent="0.25">
      <c r="A227" t="s">
        <v>925</v>
      </c>
      <c r="B227" t="s">
        <v>926</v>
      </c>
      <c r="C227" t="s">
        <v>927</v>
      </c>
      <c r="D227" t="s">
        <v>57</v>
      </c>
      <c r="E227" t="s">
        <v>21</v>
      </c>
      <c r="G227" t="s">
        <v>28</v>
      </c>
      <c r="H227" s="7" t="s">
        <v>1253</v>
      </c>
      <c r="I227" s="7" t="s">
        <v>1254</v>
      </c>
    </row>
    <row r="228" spans="1:9" x14ac:dyDescent="0.25">
      <c r="A228" t="s">
        <v>929</v>
      </c>
      <c r="B228" t="s">
        <v>930</v>
      </c>
      <c r="C228" t="s">
        <v>931</v>
      </c>
      <c r="D228" t="s">
        <v>57</v>
      </c>
      <c r="E228" t="s">
        <v>21</v>
      </c>
      <c r="F228" t="s">
        <v>53</v>
      </c>
      <c r="G228" t="s">
        <v>28</v>
      </c>
      <c r="H228" s="7" t="s">
        <v>1125</v>
      </c>
      <c r="I228" s="7" t="s">
        <v>1126</v>
      </c>
    </row>
    <row r="229" spans="1:9" x14ac:dyDescent="0.25">
      <c r="A229" t="s">
        <v>934</v>
      </c>
      <c r="B229" t="s">
        <v>935</v>
      </c>
      <c r="C229" t="s">
        <v>936</v>
      </c>
      <c r="D229" t="s">
        <v>57</v>
      </c>
      <c r="E229" t="s">
        <v>21</v>
      </c>
      <c r="G229" t="s">
        <v>28</v>
      </c>
      <c r="H229" s="7" t="s">
        <v>1151</v>
      </c>
      <c r="I229" s="7" t="s">
        <v>1152</v>
      </c>
    </row>
    <row r="230" spans="1:9" x14ac:dyDescent="0.25">
      <c r="A230" t="s">
        <v>939</v>
      </c>
      <c r="B230" t="s">
        <v>940</v>
      </c>
      <c r="C230" t="s">
        <v>941</v>
      </c>
      <c r="D230" t="s">
        <v>57</v>
      </c>
      <c r="E230" t="s">
        <v>21</v>
      </c>
      <c r="F230" t="s">
        <v>53</v>
      </c>
      <c r="G230" t="s">
        <v>24</v>
      </c>
      <c r="H230" s="7" t="s">
        <v>1173</v>
      </c>
      <c r="I230" s="7" t="s">
        <v>1174</v>
      </c>
    </row>
    <row r="231" spans="1:9" x14ac:dyDescent="0.25">
      <c r="A231" t="s">
        <v>944</v>
      </c>
      <c r="B231" t="s">
        <v>317</v>
      </c>
      <c r="C231" t="s">
        <v>945</v>
      </c>
      <c r="D231" t="s">
        <v>57</v>
      </c>
      <c r="E231" t="s">
        <v>21</v>
      </c>
      <c r="F231" t="s">
        <v>53</v>
      </c>
      <c r="G231" t="s">
        <v>28</v>
      </c>
      <c r="H231" s="7" t="s">
        <v>1125</v>
      </c>
      <c r="I231" s="7" t="s">
        <v>1126</v>
      </c>
    </row>
    <row r="232" spans="1:9" x14ac:dyDescent="0.25">
      <c r="A232" t="s">
        <v>947</v>
      </c>
      <c r="B232" t="s">
        <v>948</v>
      </c>
      <c r="C232" t="s">
        <v>949</v>
      </c>
      <c r="D232" t="s">
        <v>57</v>
      </c>
      <c r="E232" t="s">
        <v>21</v>
      </c>
      <c r="G232" t="s">
        <v>28</v>
      </c>
      <c r="H232" s="7" t="s">
        <v>1255</v>
      </c>
      <c r="I232" s="7" t="s">
        <v>1256</v>
      </c>
    </row>
    <row r="233" spans="1:9" x14ac:dyDescent="0.25">
      <c r="A233" t="s">
        <v>947</v>
      </c>
      <c r="B233" t="s">
        <v>950</v>
      </c>
      <c r="C233" t="s">
        <v>951</v>
      </c>
      <c r="D233" t="s">
        <v>57</v>
      </c>
      <c r="E233" t="s">
        <v>21</v>
      </c>
      <c r="G233" t="s">
        <v>28</v>
      </c>
      <c r="H233" s="7" t="s">
        <v>1221</v>
      </c>
      <c r="I233" s="7" t="s">
        <v>1222</v>
      </c>
    </row>
    <row r="234" spans="1:9" x14ac:dyDescent="0.25">
      <c r="A234" t="s">
        <v>947</v>
      </c>
      <c r="B234" t="s">
        <v>954</v>
      </c>
      <c r="C234" t="s">
        <v>955</v>
      </c>
      <c r="D234" t="s">
        <v>57</v>
      </c>
      <c r="E234" t="s">
        <v>21</v>
      </c>
      <c r="F234" t="s">
        <v>53</v>
      </c>
      <c r="G234" t="s">
        <v>28</v>
      </c>
      <c r="H234" s="7" t="s">
        <v>1125</v>
      </c>
      <c r="I234" s="7" t="s">
        <v>1126</v>
      </c>
    </row>
    <row r="235" spans="1:9" x14ac:dyDescent="0.25">
      <c r="A235" t="s">
        <v>956</v>
      </c>
      <c r="B235" t="s">
        <v>957</v>
      </c>
      <c r="C235" t="s">
        <v>958</v>
      </c>
      <c r="D235" t="s">
        <v>57</v>
      </c>
      <c r="E235" t="s">
        <v>21</v>
      </c>
      <c r="G235" t="s">
        <v>24</v>
      </c>
      <c r="H235" s="7" t="s">
        <v>1207</v>
      </c>
      <c r="I235" s="7" t="s">
        <v>1208</v>
      </c>
    </row>
    <row r="236" spans="1:9" x14ac:dyDescent="0.25">
      <c r="A236" t="s">
        <v>959</v>
      </c>
      <c r="B236" t="s">
        <v>960</v>
      </c>
      <c r="C236" t="s">
        <v>961</v>
      </c>
      <c r="D236" t="s">
        <v>57</v>
      </c>
      <c r="E236" t="s">
        <v>21</v>
      </c>
      <c r="F236" t="s">
        <v>53</v>
      </c>
      <c r="G236" t="s">
        <v>24</v>
      </c>
      <c r="H236" s="7" t="s">
        <v>1125</v>
      </c>
      <c r="I236" s="7" t="s">
        <v>1126</v>
      </c>
    </row>
    <row r="237" spans="1:9" x14ac:dyDescent="0.25">
      <c r="A237" t="s">
        <v>964</v>
      </c>
      <c r="B237" t="s">
        <v>965</v>
      </c>
      <c r="C237" t="s">
        <v>966</v>
      </c>
      <c r="D237" t="s">
        <v>57</v>
      </c>
      <c r="E237" t="s">
        <v>21</v>
      </c>
      <c r="G237" t="s">
        <v>28</v>
      </c>
      <c r="H237" s="7" t="s">
        <v>1151</v>
      </c>
      <c r="I237" s="7" t="s">
        <v>1152</v>
      </c>
    </row>
    <row r="238" spans="1:9" x14ac:dyDescent="0.25">
      <c r="A238" t="s">
        <v>968</v>
      </c>
      <c r="B238" t="s">
        <v>969</v>
      </c>
      <c r="C238" t="s">
        <v>970</v>
      </c>
      <c r="D238" t="s">
        <v>57</v>
      </c>
      <c r="E238" t="s">
        <v>21</v>
      </c>
      <c r="G238" t="s">
        <v>28</v>
      </c>
      <c r="H238" s="7" t="s">
        <v>1169</v>
      </c>
      <c r="I238" s="7" t="s">
        <v>1170</v>
      </c>
    </row>
    <row r="239" spans="1:9" x14ac:dyDescent="0.25">
      <c r="A239" t="s">
        <v>971</v>
      </c>
      <c r="B239" t="s">
        <v>972</v>
      </c>
      <c r="C239" t="s">
        <v>973</v>
      </c>
      <c r="D239" t="s">
        <v>57</v>
      </c>
      <c r="E239" t="s">
        <v>21</v>
      </c>
      <c r="G239" t="s">
        <v>28</v>
      </c>
      <c r="H239" s="7" t="s">
        <v>1235</v>
      </c>
      <c r="I239" s="7" t="s">
        <v>1236</v>
      </c>
    </row>
    <row r="240" spans="1:9" x14ac:dyDescent="0.25">
      <c r="A240" t="s">
        <v>974</v>
      </c>
      <c r="B240" t="s">
        <v>975</v>
      </c>
      <c r="C240" t="s">
        <v>976</v>
      </c>
      <c r="D240" t="s">
        <v>57</v>
      </c>
      <c r="E240" t="s">
        <v>21</v>
      </c>
      <c r="F240" t="s">
        <v>53</v>
      </c>
      <c r="G240" t="s">
        <v>24</v>
      </c>
      <c r="H240" s="7" t="s">
        <v>1245</v>
      </c>
      <c r="I240" s="7" t="s">
        <v>1246</v>
      </c>
    </row>
    <row r="241" spans="1:9" x14ac:dyDescent="0.25">
      <c r="A241" t="s">
        <v>979</v>
      </c>
      <c r="B241" t="s">
        <v>980</v>
      </c>
      <c r="C241" t="s">
        <v>981</v>
      </c>
      <c r="D241" t="s">
        <v>57</v>
      </c>
      <c r="E241" t="s">
        <v>21</v>
      </c>
      <c r="G241" t="s">
        <v>24</v>
      </c>
      <c r="H241" s="7" t="s">
        <v>1151</v>
      </c>
      <c r="I241" s="7" t="s">
        <v>1152</v>
      </c>
    </row>
    <row r="242" spans="1:9" x14ac:dyDescent="0.25">
      <c r="A242" t="s">
        <v>983</v>
      </c>
      <c r="B242" t="s">
        <v>984</v>
      </c>
      <c r="C242" t="s">
        <v>985</v>
      </c>
      <c r="D242" t="s">
        <v>57</v>
      </c>
      <c r="E242" t="s">
        <v>21</v>
      </c>
      <c r="G242" t="s">
        <v>28</v>
      </c>
      <c r="H242" s="7" t="s">
        <v>1157</v>
      </c>
      <c r="I242" s="7" t="s">
        <v>1158</v>
      </c>
    </row>
    <row r="243" spans="1:9" x14ac:dyDescent="0.25">
      <c r="A243" t="s">
        <v>987</v>
      </c>
      <c r="B243" t="s">
        <v>988</v>
      </c>
      <c r="C243" t="s">
        <v>989</v>
      </c>
      <c r="D243" t="s">
        <v>57</v>
      </c>
      <c r="E243" t="s">
        <v>21</v>
      </c>
      <c r="G243" t="s">
        <v>24</v>
      </c>
      <c r="H243" s="7" t="s">
        <v>1147</v>
      </c>
      <c r="I243" s="7" t="s">
        <v>1148</v>
      </c>
    </row>
    <row r="244" spans="1:9" x14ac:dyDescent="0.25">
      <c r="A244" t="s">
        <v>998</v>
      </c>
      <c r="B244" t="s">
        <v>999</v>
      </c>
      <c r="C244" t="s">
        <v>1000</v>
      </c>
      <c r="D244" t="s">
        <v>57</v>
      </c>
      <c r="E244" t="s">
        <v>21</v>
      </c>
      <c r="F244" t="s">
        <v>53</v>
      </c>
      <c r="G244" t="s">
        <v>24</v>
      </c>
      <c r="H244" s="7" t="s">
        <v>1125</v>
      </c>
      <c r="I244" s="7" t="s">
        <v>1126</v>
      </c>
    </row>
    <row r="245" spans="1:9" x14ac:dyDescent="0.25">
      <c r="A245" t="s">
        <v>1001</v>
      </c>
      <c r="B245" t="s">
        <v>1002</v>
      </c>
      <c r="C245" t="s">
        <v>1003</v>
      </c>
      <c r="D245" t="s">
        <v>57</v>
      </c>
      <c r="E245" t="s">
        <v>21</v>
      </c>
      <c r="F245" t="s">
        <v>53</v>
      </c>
      <c r="G245" t="s">
        <v>28</v>
      </c>
      <c r="H245" s="7" t="s">
        <v>1191</v>
      </c>
      <c r="I245" s="7" t="s">
        <v>1192</v>
      </c>
    </row>
    <row r="246" spans="1:9" x14ac:dyDescent="0.25">
      <c r="A246" t="s">
        <v>1001</v>
      </c>
      <c r="B246" t="s">
        <v>1005</v>
      </c>
      <c r="C246" t="s">
        <v>1006</v>
      </c>
      <c r="D246" t="s">
        <v>57</v>
      </c>
      <c r="E246" t="s">
        <v>21</v>
      </c>
      <c r="G246" t="s">
        <v>24</v>
      </c>
      <c r="H246" s="7" t="s">
        <v>1257</v>
      </c>
      <c r="I246" s="7" t="s">
        <v>1258</v>
      </c>
    </row>
    <row r="247" spans="1:9" x14ac:dyDescent="0.25">
      <c r="A247" t="s">
        <v>1007</v>
      </c>
      <c r="B247" t="s">
        <v>1008</v>
      </c>
      <c r="C247" t="s">
        <v>1009</v>
      </c>
      <c r="D247" t="s">
        <v>57</v>
      </c>
      <c r="E247" t="s">
        <v>21</v>
      </c>
      <c r="F247" t="s">
        <v>53</v>
      </c>
      <c r="G247" t="s">
        <v>28</v>
      </c>
      <c r="H247" s="7" t="s">
        <v>1125</v>
      </c>
      <c r="I247" s="7" t="s">
        <v>1126</v>
      </c>
    </row>
    <row r="248" spans="1:9" x14ac:dyDescent="0.25">
      <c r="A248" t="s">
        <v>1011</v>
      </c>
      <c r="B248" t="s">
        <v>1012</v>
      </c>
      <c r="C248" t="s">
        <v>1013</v>
      </c>
      <c r="D248" t="s">
        <v>57</v>
      </c>
      <c r="E248" t="s">
        <v>21</v>
      </c>
      <c r="G248" t="s">
        <v>24</v>
      </c>
      <c r="H248" s="7" t="s">
        <v>1165</v>
      </c>
      <c r="I248" s="7" t="s">
        <v>1166</v>
      </c>
    </row>
    <row r="249" spans="1:9" x14ac:dyDescent="0.25">
      <c r="A249" t="s">
        <v>1014</v>
      </c>
      <c r="B249" t="s">
        <v>1015</v>
      </c>
      <c r="C249" t="s">
        <v>1016</v>
      </c>
      <c r="D249" t="s">
        <v>57</v>
      </c>
      <c r="E249" t="s">
        <v>21</v>
      </c>
      <c r="G249" t="s">
        <v>28</v>
      </c>
      <c r="H249" s="7" t="s">
        <v>1165</v>
      </c>
      <c r="I249" s="7" t="s">
        <v>1166</v>
      </c>
    </row>
    <row r="250" spans="1:9" x14ac:dyDescent="0.25">
      <c r="A250" t="s">
        <v>1021</v>
      </c>
      <c r="B250" t="s">
        <v>1022</v>
      </c>
      <c r="C250" t="s">
        <v>1023</v>
      </c>
      <c r="D250" t="s">
        <v>57</v>
      </c>
      <c r="E250" t="s">
        <v>21</v>
      </c>
      <c r="G250" t="s">
        <v>28</v>
      </c>
      <c r="H250" s="7" t="s">
        <v>1181</v>
      </c>
      <c r="I250" s="7" t="s">
        <v>1182</v>
      </c>
    </row>
    <row r="251" spans="1:9" x14ac:dyDescent="0.25">
      <c r="A251" t="s">
        <v>1021</v>
      </c>
      <c r="B251" t="s">
        <v>1024</v>
      </c>
      <c r="C251" t="s">
        <v>1025</v>
      </c>
      <c r="D251" t="s">
        <v>57</v>
      </c>
      <c r="E251" t="s">
        <v>21</v>
      </c>
      <c r="G251" t="s">
        <v>28</v>
      </c>
      <c r="H251" s="7" t="s">
        <v>1259</v>
      </c>
      <c r="I251" s="7" t="s">
        <v>1260</v>
      </c>
    </row>
    <row r="252" spans="1:9" x14ac:dyDescent="0.25">
      <c r="A252" t="s">
        <v>395</v>
      </c>
      <c r="B252" t="s">
        <v>1026</v>
      </c>
      <c r="C252" t="s">
        <v>1027</v>
      </c>
      <c r="D252" t="s">
        <v>57</v>
      </c>
      <c r="E252" t="s">
        <v>21</v>
      </c>
      <c r="F252" t="s">
        <v>53</v>
      </c>
      <c r="G252" t="s">
        <v>24</v>
      </c>
      <c r="H252" s="7" t="s">
        <v>1125</v>
      </c>
      <c r="I252" s="7" t="s">
        <v>1126</v>
      </c>
    </row>
    <row r="253" spans="1:9" x14ac:dyDescent="0.25">
      <c r="A253" t="s">
        <v>1030</v>
      </c>
      <c r="B253" t="s">
        <v>1031</v>
      </c>
      <c r="C253" t="s">
        <v>1032</v>
      </c>
      <c r="D253" t="s">
        <v>57</v>
      </c>
      <c r="E253" t="s">
        <v>21</v>
      </c>
      <c r="G253" t="s">
        <v>24</v>
      </c>
      <c r="H253" s="7" t="s">
        <v>1201</v>
      </c>
      <c r="I253" s="7" t="s">
        <v>1202</v>
      </c>
    </row>
    <row r="254" spans="1:9" x14ac:dyDescent="0.25">
      <c r="A254" t="s">
        <v>1030</v>
      </c>
      <c r="B254" t="s">
        <v>1033</v>
      </c>
      <c r="C254" t="s">
        <v>1034</v>
      </c>
      <c r="D254" t="s">
        <v>57</v>
      </c>
      <c r="E254" t="s">
        <v>21</v>
      </c>
      <c r="G254" t="s">
        <v>28</v>
      </c>
      <c r="H254" s="7" t="s">
        <v>1131</v>
      </c>
      <c r="I254" s="7" t="s">
        <v>1132</v>
      </c>
    </row>
    <row r="255" spans="1:9" x14ac:dyDescent="0.25">
      <c r="A255" t="s">
        <v>1030</v>
      </c>
      <c r="B255" t="s">
        <v>1040</v>
      </c>
      <c r="C255" t="s">
        <v>1041</v>
      </c>
      <c r="D255" t="s">
        <v>57</v>
      </c>
      <c r="E255" t="s">
        <v>21</v>
      </c>
      <c r="F255" t="s">
        <v>53</v>
      </c>
      <c r="G255" t="s">
        <v>24</v>
      </c>
      <c r="H255" s="7" t="s">
        <v>1125</v>
      </c>
      <c r="I255" s="7" t="s">
        <v>1126</v>
      </c>
    </row>
    <row r="256" spans="1:9" x14ac:dyDescent="0.25">
      <c r="A256" t="s">
        <v>1043</v>
      </c>
      <c r="B256" t="s">
        <v>1044</v>
      </c>
      <c r="C256" t="s">
        <v>1045</v>
      </c>
      <c r="D256" t="s">
        <v>57</v>
      </c>
      <c r="E256" t="s">
        <v>21</v>
      </c>
      <c r="G256" t="s">
        <v>28</v>
      </c>
      <c r="H256" s="7" t="s">
        <v>1165</v>
      </c>
      <c r="I256" s="7" t="s">
        <v>1166</v>
      </c>
    </row>
    <row r="257" spans="1:9" x14ac:dyDescent="0.25">
      <c r="A257" t="s">
        <v>1051</v>
      </c>
      <c r="B257" t="s">
        <v>1052</v>
      </c>
      <c r="C257" t="s">
        <v>1053</v>
      </c>
      <c r="D257" t="s">
        <v>57</v>
      </c>
      <c r="E257" t="s">
        <v>21</v>
      </c>
      <c r="F257" t="s">
        <v>53</v>
      </c>
      <c r="G257" t="s">
        <v>24</v>
      </c>
      <c r="H257" s="7" t="s">
        <v>1173</v>
      </c>
      <c r="I257" s="7" t="s">
        <v>1174</v>
      </c>
    </row>
    <row r="258" spans="1:9" x14ac:dyDescent="0.25">
      <c r="A258" t="s">
        <v>725</v>
      </c>
      <c r="B258" t="s">
        <v>1058</v>
      </c>
      <c r="C258" t="s">
        <v>1059</v>
      </c>
      <c r="D258" t="s">
        <v>57</v>
      </c>
      <c r="E258" t="s">
        <v>21</v>
      </c>
      <c r="G258" t="s">
        <v>28</v>
      </c>
      <c r="H258" s="7" t="s">
        <v>1261</v>
      </c>
      <c r="I258" s="7" t="s">
        <v>1262</v>
      </c>
    </row>
    <row r="259" spans="1:9" x14ac:dyDescent="0.25">
      <c r="A259" t="s">
        <v>1060</v>
      </c>
      <c r="B259" t="s">
        <v>1061</v>
      </c>
      <c r="C259" t="s">
        <v>1062</v>
      </c>
      <c r="D259" t="s">
        <v>57</v>
      </c>
      <c r="E259" t="s">
        <v>21</v>
      </c>
      <c r="G259" t="s">
        <v>28</v>
      </c>
      <c r="H259" s="7" t="s">
        <v>1197</v>
      </c>
      <c r="I259" s="7" t="s">
        <v>1198</v>
      </c>
    </row>
    <row r="260" spans="1:9" x14ac:dyDescent="0.25">
      <c r="A260" t="s">
        <v>1063</v>
      </c>
      <c r="B260" t="s">
        <v>1064</v>
      </c>
      <c r="C260" t="s">
        <v>1065</v>
      </c>
      <c r="D260" t="s">
        <v>57</v>
      </c>
      <c r="E260" t="s">
        <v>21</v>
      </c>
      <c r="F260" t="s">
        <v>53</v>
      </c>
      <c r="G260" t="s">
        <v>24</v>
      </c>
      <c r="H260" s="7" t="s">
        <v>1125</v>
      </c>
      <c r="I260" s="7" t="s">
        <v>1126</v>
      </c>
    </row>
    <row r="261" spans="1:9" x14ac:dyDescent="0.25">
      <c r="A261" t="s">
        <v>1066</v>
      </c>
      <c r="B261" t="s">
        <v>1067</v>
      </c>
      <c r="C261" t="s">
        <v>1068</v>
      </c>
      <c r="D261" t="s">
        <v>57</v>
      </c>
      <c r="E261" t="s">
        <v>21</v>
      </c>
      <c r="F261" t="s">
        <v>776</v>
      </c>
      <c r="G261" t="s">
        <v>28</v>
      </c>
      <c r="H261" s="7" t="s">
        <v>1159</v>
      </c>
      <c r="I261" s="7" t="s">
        <v>1160</v>
      </c>
    </row>
    <row r="262" spans="1:9" x14ac:dyDescent="0.25">
      <c r="A262" t="s">
        <v>1070</v>
      </c>
      <c r="B262" t="s">
        <v>1071</v>
      </c>
      <c r="C262" t="s">
        <v>1072</v>
      </c>
      <c r="D262" t="s">
        <v>57</v>
      </c>
      <c r="E262" t="s">
        <v>21</v>
      </c>
      <c r="G262" t="s">
        <v>28</v>
      </c>
      <c r="H262" s="7" t="s">
        <v>1161</v>
      </c>
      <c r="I262" s="7" t="s">
        <v>1162</v>
      </c>
    </row>
    <row r="263" spans="1:9" x14ac:dyDescent="0.25">
      <c r="A263" t="s">
        <v>1070</v>
      </c>
      <c r="B263" t="s">
        <v>1073</v>
      </c>
      <c r="C263" t="s">
        <v>1074</v>
      </c>
      <c r="D263" t="s">
        <v>57</v>
      </c>
      <c r="E263" t="s">
        <v>21</v>
      </c>
      <c r="G263" t="s">
        <v>24</v>
      </c>
      <c r="H263" s="7" t="s">
        <v>1263</v>
      </c>
      <c r="I263" s="7" t="str">
        <f>VLOOKUP(H263,[1]Sheet1!$A:$B,2,FALSE)</f>
        <v>USA - Lab Testing  - OH - Sales</v>
      </c>
    </row>
    <row r="264" spans="1:9" x14ac:dyDescent="0.25">
      <c r="A264" t="s">
        <v>1075</v>
      </c>
      <c r="B264" t="s">
        <v>1076</v>
      </c>
      <c r="C264" t="s">
        <v>1077</v>
      </c>
      <c r="D264" t="s">
        <v>57</v>
      </c>
      <c r="E264" t="s">
        <v>21</v>
      </c>
      <c r="F264" t="s">
        <v>53</v>
      </c>
      <c r="G264" t="s">
        <v>24</v>
      </c>
      <c r="H264" s="7" t="s">
        <v>1125</v>
      </c>
      <c r="I264" s="7" t="s">
        <v>1126</v>
      </c>
    </row>
    <row r="265" spans="1:9" x14ac:dyDescent="0.25">
      <c r="A265" t="s">
        <v>1079</v>
      </c>
      <c r="B265" t="s">
        <v>1080</v>
      </c>
      <c r="C265" t="s">
        <v>1081</v>
      </c>
      <c r="D265" t="s">
        <v>57</v>
      </c>
      <c r="E265" t="s">
        <v>21</v>
      </c>
      <c r="G265" t="s">
        <v>28</v>
      </c>
      <c r="H265" s="7" t="s">
        <v>1141</v>
      </c>
      <c r="I265" s="7" t="s">
        <v>1142</v>
      </c>
    </row>
    <row r="266" spans="1:9" x14ac:dyDescent="0.25">
      <c r="A266" t="s">
        <v>1083</v>
      </c>
      <c r="B266" t="s">
        <v>1084</v>
      </c>
      <c r="C266" t="s">
        <v>1085</v>
      </c>
      <c r="D266" t="s">
        <v>57</v>
      </c>
      <c r="E266" t="s">
        <v>21</v>
      </c>
      <c r="G266" t="s">
        <v>28</v>
      </c>
      <c r="H266" s="7" t="s">
        <v>1125</v>
      </c>
      <c r="I266" s="7" t="s">
        <v>1126</v>
      </c>
    </row>
    <row r="267" spans="1:9" x14ac:dyDescent="0.25">
      <c r="A267" t="s">
        <v>1086</v>
      </c>
      <c r="B267" t="s">
        <v>1087</v>
      </c>
      <c r="C267" t="s">
        <v>1088</v>
      </c>
      <c r="D267" t="s">
        <v>57</v>
      </c>
      <c r="E267" t="s">
        <v>21</v>
      </c>
      <c r="G267" t="s">
        <v>28</v>
      </c>
      <c r="H267" s="7" t="s">
        <v>1263</v>
      </c>
      <c r="I267" s="7" t="s">
        <v>1264</v>
      </c>
    </row>
    <row r="268" spans="1:9" x14ac:dyDescent="0.25">
      <c r="A268" t="s">
        <v>1086</v>
      </c>
      <c r="B268" t="s">
        <v>1090</v>
      </c>
      <c r="C268" t="s">
        <v>1091</v>
      </c>
      <c r="D268" t="s">
        <v>57</v>
      </c>
      <c r="E268" t="s">
        <v>21</v>
      </c>
      <c r="G268" t="s">
        <v>28</v>
      </c>
      <c r="H268" s="7" t="s">
        <v>1165</v>
      </c>
      <c r="I268" s="7" t="s">
        <v>1166</v>
      </c>
    </row>
    <row r="269" spans="1:9" x14ac:dyDescent="0.25">
      <c r="A269" t="s">
        <v>1092</v>
      </c>
      <c r="B269" t="s">
        <v>1093</v>
      </c>
      <c r="C269" t="s">
        <v>1094</v>
      </c>
      <c r="D269" t="s">
        <v>57</v>
      </c>
      <c r="E269" t="s">
        <v>21</v>
      </c>
      <c r="G269" t="s">
        <v>24</v>
      </c>
      <c r="H269" s="7" t="s">
        <v>1161</v>
      </c>
      <c r="I269" s="7" t="s">
        <v>1162</v>
      </c>
    </row>
    <row r="270" spans="1:9" x14ac:dyDescent="0.25">
      <c r="A270" t="s">
        <v>1095</v>
      </c>
      <c r="B270" t="s">
        <v>1096</v>
      </c>
      <c r="C270" t="s">
        <v>1097</v>
      </c>
      <c r="D270" t="s">
        <v>57</v>
      </c>
      <c r="E270" t="s">
        <v>21</v>
      </c>
      <c r="F270" t="s">
        <v>53</v>
      </c>
      <c r="G270" t="s">
        <v>28</v>
      </c>
      <c r="H270" s="7" t="s">
        <v>1173</v>
      </c>
      <c r="I270" s="7" t="s">
        <v>1174</v>
      </c>
    </row>
    <row r="271" spans="1:9" x14ac:dyDescent="0.25">
      <c r="H271" s="7"/>
      <c r="I271" s="7"/>
    </row>
    <row r="272" spans="1:9" x14ac:dyDescent="0.25">
      <c r="H272" s="7"/>
      <c r="I272" s="7"/>
    </row>
    <row r="273" spans="8:9" x14ac:dyDescent="0.25">
      <c r="H273" s="7"/>
      <c r="I273" s="7"/>
    </row>
    <row r="274" spans="8:9" x14ac:dyDescent="0.25">
      <c r="H274" s="7"/>
      <c r="I274" s="7"/>
    </row>
    <row r="275" spans="8:9" x14ac:dyDescent="0.25">
      <c r="H275" s="7"/>
      <c r="I275" s="7"/>
    </row>
    <row r="276" spans="8:9" x14ac:dyDescent="0.25">
      <c r="H276" s="7"/>
      <c r="I276" s="7"/>
    </row>
    <row r="277" spans="8:9" x14ac:dyDescent="0.25">
      <c r="H277" s="7"/>
      <c r="I277" s="7"/>
    </row>
    <row r="278" spans="8:9" x14ac:dyDescent="0.25">
      <c r="H278" s="7"/>
      <c r="I278" s="7"/>
    </row>
    <row r="279" spans="8:9" x14ac:dyDescent="0.25">
      <c r="H279" s="7"/>
      <c r="I279" s="7"/>
    </row>
    <row r="280" spans="8:9" x14ac:dyDescent="0.25">
      <c r="H280" s="7"/>
      <c r="I280" s="7"/>
    </row>
    <row r="281" spans="8:9" x14ac:dyDescent="0.25">
      <c r="H281" s="7"/>
      <c r="I281" s="7"/>
    </row>
    <row r="282" spans="8:9" x14ac:dyDescent="0.25">
      <c r="H282" s="7"/>
      <c r="I282" s="7"/>
    </row>
    <row r="283" spans="8:9" x14ac:dyDescent="0.25">
      <c r="H283" s="7"/>
      <c r="I283" s="7"/>
    </row>
    <row r="284" spans="8:9" x14ac:dyDescent="0.25">
      <c r="H284" s="7"/>
      <c r="I284" s="7"/>
    </row>
    <row r="285" spans="8:9" x14ac:dyDescent="0.25">
      <c r="H285" s="7"/>
      <c r="I285" s="7"/>
    </row>
    <row r="286" spans="8:9" x14ac:dyDescent="0.25">
      <c r="H286" s="7"/>
      <c r="I286" s="7"/>
    </row>
    <row r="287" spans="8:9" x14ac:dyDescent="0.25">
      <c r="H287" s="7"/>
      <c r="I287" s="7"/>
    </row>
    <row r="288" spans="8:9" x14ac:dyDescent="0.25">
      <c r="H288" s="7"/>
      <c r="I288" s="7"/>
    </row>
    <row r="289" spans="8:9" x14ac:dyDescent="0.25">
      <c r="H289" s="7"/>
      <c r="I289" s="7"/>
    </row>
    <row r="290" spans="8:9" x14ac:dyDescent="0.25">
      <c r="H290" s="7"/>
      <c r="I290" s="7"/>
    </row>
    <row r="291" spans="8:9" x14ac:dyDescent="0.25">
      <c r="H291" s="7"/>
      <c r="I291" s="7"/>
    </row>
    <row r="292" spans="8:9" x14ac:dyDescent="0.25">
      <c r="H292" s="7"/>
      <c r="I292" s="7"/>
    </row>
    <row r="293" spans="8:9" x14ac:dyDescent="0.25">
      <c r="H293" s="7"/>
      <c r="I293" s="7"/>
    </row>
    <row r="294" spans="8:9" x14ac:dyDescent="0.25">
      <c r="H294" s="7"/>
      <c r="I294" s="7"/>
    </row>
    <row r="295" spans="8:9" x14ac:dyDescent="0.25">
      <c r="H295" s="7"/>
      <c r="I295" s="7"/>
    </row>
    <row r="296" spans="8:9" x14ac:dyDescent="0.25">
      <c r="H296" s="7"/>
      <c r="I296" s="7"/>
    </row>
  </sheetData>
  <autoFilter ref="A1:I270" xr:uid="{BE01A57C-D981-4A80-A687-CF02815C796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A63C-DCC7-462B-AFD2-D9E4556F401C}">
  <dimension ref="A1:Q304"/>
  <sheetViews>
    <sheetView workbookViewId="0">
      <selection activeCell="U16" sqref="U1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0.09</v>
      </c>
      <c r="G2">
        <v>0.09</v>
      </c>
      <c r="H2" t="s">
        <v>22</v>
      </c>
      <c r="J2" t="s">
        <v>23</v>
      </c>
      <c r="L2" t="s">
        <v>24</v>
      </c>
      <c r="M2">
        <v>7</v>
      </c>
      <c r="N2">
        <v>3</v>
      </c>
      <c r="O2">
        <v>3</v>
      </c>
      <c r="P2">
        <v>0</v>
      </c>
      <c r="Q2">
        <v>0</v>
      </c>
    </row>
    <row r="3" spans="1:17" x14ac:dyDescent="0.25">
      <c r="A3" t="s">
        <v>25</v>
      </c>
      <c r="B3" t="s">
        <v>26</v>
      </c>
      <c r="C3" t="s">
        <v>27</v>
      </c>
      <c r="D3" t="s">
        <v>20</v>
      </c>
      <c r="E3" t="s">
        <v>21</v>
      </c>
      <c r="F3">
        <v>0.34</v>
      </c>
      <c r="G3">
        <v>0.34</v>
      </c>
      <c r="H3" s="1">
        <v>45446</v>
      </c>
      <c r="J3" t="s">
        <v>23</v>
      </c>
      <c r="L3" t="s">
        <v>28</v>
      </c>
      <c r="M3">
        <v>10</v>
      </c>
      <c r="N3">
        <v>6</v>
      </c>
      <c r="O3">
        <v>3</v>
      </c>
      <c r="P3">
        <v>0</v>
      </c>
      <c r="Q3">
        <v>0</v>
      </c>
    </row>
    <row r="4" spans="1:17" x14ac:dyDescent="0.25">
      <c r="A4" t="s">
        <v>29</v>
      </c>
      <c r="B4" t="s">
        <v>30</v>
      </c>
      <c r="C4" t="s">
        <v>31</v>
      </c>
      <c r="D4" t="s">
        <v>20</v>
      </c>
      <c r="E4" t="s">
        <v>21</v>
      </c>
      <c r="F4">
        <v>4.8899999999999997</v>
      </c>
      <c r="G4" s="2">
        <v>9127.91</v>
      </c>
      <c r="H4" t="s">
        <v>32</v>
      </c>
      <c r="J4" t="s">
        <v>33</v>
      </c>
      <c r="L4" t="s">
        <v>28</v>
      </c>
      <c r="M4" s="3">
        <v>56801</v>
      </c>
      <c r="N4">
        <v>1</v>
      </c>
      <c r="O4">
        <v>9</v>
      </c>
      <c r="P4">
        <v>0</v>
      </c>
      <c r="Q4">
        <v>0</v>
      </c>
    </row>
    <row r="5" spans="1:17" x14ac:dyDescent="0.25">
      <c r="A5" t="s">
        <v>34</v>
      </c>
      <c r="B5" t="s">
        <v>35</v>
      </c>
      <c r="C5" t="s">
        <v>36</v>
      </c>
      <c r="D5" t="s">
        <v>20</v>
      </c>
      <c r="E5" t="s">
        <v>21</v>
      </c>
      <c r="F5">
        <v>0.45</v>
      </c>
      <c r="G5">
        <v>0.45</v>
      </c>
      <c r="H5" t="s">
        <v>37</v>
      </c>
      <c r="J5" t="s">
        <v>23</v>
      </c>
      <c r="L5" t="s">
        <v>28</v>
      </c>
      <c r="M5">
        <v>6</v>
      </c>
      <c r="N5">
        <v>2</v>
      </c>
      <c r="O5">
        <v>3</v>
      </c>
      <c r="P5">
        <v>0</v>
      </c>
      <c r="Q5">
        <v>0</v>
      </c>
    </row>
    <row r="6" spans="1:17" x14ac:dyDescent="0.25">
      <c r="A6" t="s">
        <v>38</v>
      </c>
      <c r="B6" t="s">
        <v>39</v>
      </c>
      <c r="C6" t="s">
        <v>40</v>
      </c>
      <c r="D6" t="s">
        <v>20</v>
      </c>
      <c r="E6" t="s">
        <v>21</v>
      </c>
      <c r="F6">
        <v>695.31</v>
      </c>
      <c r="G6" s="2">
        <v>4089699.15</v>
      </c>
      <c r="H6" t="s">
        <v>41</v>
      </c>
      <c r="J6" t="s">
        <v>42</v>
      </c>
      <c r="K6" t="s">
        <v>43</v>
      </c>
      <c r="L6" t="s">
        <v>28</v>
      </c>
      <c r="M6" s="3">
        <v>1858082</v>
      </c>
      <c r="N6">
        <v>63</v>
      </c>
      <c r="O6" s="3">
        <v>3182</v>
      </c>
      <c r="P6">
        <v>0</v>
      </c>
      <c r="Q6">
        <v>2</v>
      </c>
    </row>
    <row r="7" spans="1:17" x14ac:dyDescent="0.25">
      <c r="A7" t="s">
        <v>44</v>
      </c>
      <c r="B7" t="s">
        <v>45</v>
      </c>
      <c r="C7" t="s">
        <v>46</v>
      </c>
      <c r="D7" t="s">
        <v>20</v>
      </c>
      <c r="E7" t="s">
        <v>21</v>
      </c>
      <c r="F7">
        <v>775.22</v>
      </c>
      <c r="G7">
        <v>777.05</v>
      </c>
      <c r="H7" t="s">
        <v>47</v>
      </c>
      <c r="J7" t="s">
        <v>23</v>
      </c>
      <c r="L7" t="s">
        <v>28</v>
      </c>
      <c r="M7">
        <v>18</v>
      </c>
      <c r="N7">
        <v>11</v>
      </c>
      <c r="O7">
        <v>5</v>
      </c>
      <c r="P7">
        <v>0</v>
      </c>
      <c r="Q7">
        <v>0</v>
      </c>
    </row>
    <row r="8" spans="1:17" x14ac:dyDescent="0.25">
      <c r="A8" t="s">
        <v>48</v>
      </c>
      <c r="B8" t="s">
        <v>49</v>
      </c>
      <c r="C8" t="s">
        <v>50</v>
      </c>
      <c r="D8" t="s">
        <v>20</v>
      </c>
      <c r="E8" t="s">
        <v>21</v>
      </c>
      <c r="F8" s="2">
        <v>3968706.91</v>
      </c>
      <c r="G8" s="2">
        <v>8835135.3200000003</v>
      </c>
      <c r="H8" t="s">
        <v>51</v>
      </c>
      <c r="J8" t="s">
        <v>52</v>
      </c>
      <c r="K8" t="s">
        <v>53</v>
      </c>
      <c r="L8" t="s">
        <v>28</v>
      </c>
      <c r="M8" s="3">
        <v>2743006</v>
      </c>
      <c r="N8" s="3">
        <v>148020</v>
      </c>
      <c r="O8" s="3">
        <v>3197</v>
      </c>
      <c r="P8">
        <v>0</v>
      </c>
      <c r="Q8" s="3">
        <v>1018</v>
      </c>
    </row>
    <row r="9" spans="1:17" x14ac:dyDescent="0.25">
      <c r="A9" t="s">
        <v>54</v>
      </c>
      <c r="B9" t="s">
        <v>55</v>
      </c>
      <c r="C9" t="s">
        <v>56</v>
      </c>
      <c r="D9" t="s">
        <v>57</v>
      </c>
      <c r="E9" t="s">
        <v>21</v>
      </c>
      <c r="G9" s="2">
        <v>2317867.48</v>
      </c>
      <c r="H9" t="s">
        <v>58</v>
      </c>
      <c r="J9" t="s">
        <v>59</v>
      </c>
      <c r="L9" t="s">
        <v>28</v>
      </c>
      <c r="M9" s="3">
        <v>1304595</v>
      </c>
      <c r="N9">
        <v>6</v>
      </c>
      <c r="O9" s="3">
        <v>2843</v>
      </c>
      <c r="P9">
        <v>0</v>
      </c>
      <c r="Q9">
        <v>0</v>
      </c>
    </row>
    <row r="10" spans="1:17" x14ac:dyDescent="0.25">
      <c r="A10" t="s">
        <v>60</v>
      </c>
      <c r="B10" t="s">
        <v>61</v>
      </c>
      <c r="C10" t="s">
        <v>62</v>
      </c>
      <c r="D10" t="s">
        <v>57</v>
      </c>
      <c r="E10" t="s">
        <v>21</v>
      </c>
      <c r="F10" s="2">
        <v>19038.22</v>
      </c>
      <c r="G10" s="2">
        <v>23422.639999999999</v>
      </c>
      <c r="H10" t="s">
        <v>63</v>
      </c>
      <c r="J10" t="s">
        <v>23</v>
      </c>
      <c r="L10" t="s">
        <v>28</v>
      </c>
      <c r="M10" s="3">
        <v>5909</v>
      </c>
      <c r="N10">
        <v>0</v>
      </c>
      <c r="O10">
        <v>4</v>
      </c>
      <c r="P10">
        <v>4</v>
      </c>
      <c r="Q10">
        <v>0</v>
      </c>
    </row>
    <row r="11" spans="1:17" x14ac:dyDescent="0.25">
      <c r="A11" t="s">
        <v>64</v>
      </c>
      <c r="B11" t="s">
        <v>65</v>
      </c>
      <c r="C11" t="s">
        <v>66</v>
      </c>
      <c r="D11" t="s">
        <v>57</v>
      </c>
      <c r="E11" t="s">
        <v>21</v>
      </c>
      <c r="G11" s="2">
        <v>1275808.92</v>
      </c>
      <c r="H11" t="s">
        <v>67</v>
      </c>
      <c r="J11" t="s">
        <v>68</v>
      </c>
      <c r="L11" t="s">
        <v>28</v>
      </c>
      <c r="M11" s="3">
        <v>942417</v>
      </c>
      <c r="N11">
        <v>0</v>
      </c>
      <c r="O11" s="3">
        <v>2651</v>
      </c>
      <c r="P11">
        <v>0</v>
      </c>
      <c r="Q11">
        <v>0</v>
      </c>
    </row>
    <row r="12" spans="1:17" x14ac:dyDescent="0.25">
      <c r="A12" t="s">
        <v>69</v>
      </c>
      <c r="B12" t="s">
        <v>70</v>
      </c>
      <c r="C12" t="s">
        <v>71</v>
      </c>
      <c r="D12" t="s">
        <v>57</v>
      </c>
      <c r="E12" t="s">
        <v>21</v>
      </c>
      <c r="F12">
        <v>170.27</v>
      </c>
      <c r="G12">
        <v>170.27</v>
      </c>
      <c r="H12" s="1">
        <v>45937</v>
      </c>
      <c r="J12" t="s">
        <v>23</v>
      </c>
      <c r="L12" t="s">
        <v>28</v>
      </c>
      <c r="M12">
        <v>329</v>
      </c>
      <c r="N12">
        <v>0</v>
      </c>
      <c r="O12">
        <v>3</v>
      </c>
      <c r="P12">
        <v>1</v>
      </c>
      <c r="Q12">
        <v>0</v>
      </c>
    </row>
    <row r="13" spans="1:17" x14ac:dyDescent="0.25">
      <c r="A13" t="s">
        <v>72</v>
      </c>
      <c r="B13" t="s">
        <v>73</v>
      </c>
      <c r="C13" t="s">
        <v>74</v>
      </c>
      <c r="D13" t="s">
        <v>57</v>
      </c>
      <c r="E13" t="s">
        <v>21</v>
      </c>
      <c r="F13">
        <v>842.53</v>
      </c>
      <c r="G13" s="2">
        <v>1745506.83</v>
      </c>
      <c r="H13" t="s">
        <v>75</v>
      </c>
      <c r="J13" t="s">
        <v>76</v>
      </c>
      <c r="K13" t="s">
        <v>53</v>
      </c>
      <c r="L13" t="s">
        <v>24</v>
      </c>
      <c r="M13" s="3">
        <v>919884</v>
      </c>
      <c r="N13">
        <v>939</v>
      </c>
      <c r="O13" s="3">
        <v>2693</v>
      </c>
      <c r="P13">
        <v>0</v>
      </c>
      <c r="Q13">
        <v>1</v>
      </c>
    </row>
    <row r="14" spans="1:17" x14ac:dyDescent="0.25">
      <c r="A14" t="s">
        <v>72</v>
      </c>
      <c r="B14" t="s">
        <v>77</v>
      </c>
      <c r="C14" t="s">
        <v>78</v>
      </c>
      <c r="D14" t="s">
        <v>57</v>
      </c>
      <c r="E14" t="s">
        <v>21</v>
      </c>
      <c r="F14">
        <v>6.1</v>
      </c>
      <c r="G14">
        <v>6.1</v>
      </c>
      <c r="H14" s="1">
        <v>46002</v>
      </c>
      <c r="J14" t="s">
        <v>23</v>
      </c>
      <c r="L14" t="s">
        <v>28</v>
      </c>
      <c r="M14">
        <v>15</v>
      </c>
      <c r="N14">
        <v>4</v>
      </c>
      <c r="O14">
        <v>3</v>
      </c>
      <c r="P14">
        <v>1</v>
      </c>
      <c r="Q14">
        <v>0</v>
      </c>
    </row>
    <row r="15" spans="1:17" x14ac:dyDescent="0.25">
      <c r="A15" t="s">
        <v>79</v>
      </c>
      <c r="B15" t="s">
        <v>80</v>
      </c>
      <c r="C15" t="s">
        <v>81</v>
      </c>
      <c r="D15" t="s">
        <v>57</v>
      </c>
      <c r="E15" t="s">
        <v>21</v>
      </c>
      <c r="F15">
        <v>678.8</v>
      </c>
      <c r="G15" s="2">
        <v>3510400.66</v>
      </c>
      <c r="H15" t="s">
        <v>51</v>
      </c>
      <c r="J15" t="s">
        <v>82</v>
      </c>
      <c r="K15" t="s">
        <v>53</v>
      </c>
      <c r="L15" t="s">
        <v>28</v>
      </c>
      <c r="M15" s="3">
        <v>1829608</v>
      </c>
      <c r="N15">
        <v>602</v>
      </c>
      <c r="O15" s="3">
        <v>3172</v>
      </c>
      <c r="P15">
        <v>0</v>
      </c>
      <c r="Q15">
        <v>0</v>
      </c>
    </row>
    <row r="16" spans="1:17" x14ac:dyDescent="0.25">
      <c r="A16" t="s">
        <v>79</v>
      </c>
      <c r="B16" t="s">
        <v>83</v>
      </c>
      <c r="C16" t="s">
        <v>84</v>
      </c>
      <c r="D16" t="s">
        <v>57</v>
      </c>
      <c r="E16" t="s">
        <v>21</v>
      </c>
      <c r="F16">
        <v>359.77</v>
      </c>
      <c r="G16" s="2">
        <v>1801909.07</v>
      </c>
      <c r="H16" t="s">
        <v>51</v>
      </c>
      <c r="J16" t="s">
        <v>85</v>
      </c>
      <c r="K16" t="s">
        <v>53</v>
      </c>
      <c r="L16" t="s">
        <v>24</v>
      </c>
      <c r="M16" s="3">
        <v>1291951</v>
      </c>
      <c r="N16" s="3">
        <v>1047</v>
      </c>
      <c r="O16" s="3">
        <v>2899</v>
      </c>
      <c r="P16">
        <v>1</v>
      </c>
      <c r="Q16">
        <v>0</v>
      </c>
    </row>
    <row r="17" spans="1:17" x14ac:dyDescent="0.25">
      <c r="A17" t="s">
        <v>86</v>
      </c>
      <c r="B17" t="s">
        <v>87</v>
      </c>
      <c r="C17" t="s">
        <v>88</v>
      </c>
      <c r="D17" t="s">
        <v>57</v>
      </c>
      <c r="E17" t="s">
        <v>21</v>
      </c>
      <c r="F17">
        <v>57.09</v>
      </c>
      <c r="G17" s="2">
        <v>3914924.96</v>
      </c>
      <c r="H17" t="s">
        <v>89</v>
      </c>
      <c r="J17" t="s">
        <v>90</v>
      </c>
      <c r="K17" t="s">
        <v>53</v>
      </c>
      <c r="L17" t="s">
        <v>28</v>
      </c>
      <c r="M17" s="3">
        <v>1750688</v>
      </c>
      <c r="N17">
        <v>241</v>
      </c>
      <c r="O17" s="3">
        <v>3159</v>
      </c>
      <c r="P17">
        <v>0</v>
      </c>
      <c r="Q17">
        <v>0</v>
      </c>
    </row>
    <row r="18" spans="1:17" x14ac:dyDescent="0.25">
      <c r="A18" t="s">
        <v>91</v>
      </c>
      <c r="B18" t="s">
        <v>92</v>
      </c>
      <c r="C18" t="s">
        <v>93</v>
      </c>
      <c r="D18" t="s">
        <v>57</v>
      </c>
      <c r="E18" t="s">
        <v>21</v>
      </c>
      <c r="F18">
        <v>673.46</v>
      </c>
      <c r="G18" s="2">
        <v>3156173.53</v>
      </c>
      <c r="H18" t="s">
        <v>94</v>
      </c>
      <c r="J18" t="s">
        <v>95</v>
      </c>
      <c r="L18" t="s">
        <v>28</v>
      </c>
      <c r="M18" s="3">
        <v>1567179</v>
      </c>
      <c r="N18">
        <v>25</v>
      </c>
      <c r="O18" s="3">
        <v>3095</v>
      </c>
      <c r="P18">
        <v>5</v>
      </c>
      <c r="Q18">
        <v>11</v>
      </c>
    </row>
    <row r="19" spans="1:17" x14ac:dyDescent="0.25">
      <c r="A19" t="s">
        <v>96</v>
      </c>
      <c r="B19" t="s">
        <v>97</v>
      </c>
      <c r="C19" t="s">
        <v>98</v>
      </c>
      <c r="D19" t="s">
        <v>57</v>
      </c>
      <c r="E19" t="s">
        <v>21</v>
      </c>
      <c r="G19" s="3">
        <v>19378</v>
      </c>
      <c r="H19" t="s">
        <v>99</v>
      </c>
      <c r="J19" t="s">
        <v>23</v>
      </c>
      <c r="L19" t="s">
        <v>24</v>
      </c>
      <c r="M19" s="3">
        <v>73904</v>
      </c>
      <c r="N19">
        <v>0</v>
      </c>
      <c r="O19">
        <v>3</v>
      </c>
      <c r="P19">
        <v>0</v>
      </c>
      <c r="Q19">
        <v>5</v>
      </c>
    </row>
    <row r="20" spans="1:17" x14ac:dyDescent="0.25">
      <c r="A20" t="s">
        <v>100</v>
      </c>
      <c r="B20" t="s">
        <v>101</v>
      </c>
      <c r="C20" t="s">
        <v>102</v>
      </c>
      <c r="D20" t="s">
        <v>57</v>
      </c>
      <c r="E20" t="s">
        <v>21</v>
      </c>
      <c r="F20">
        <v>11.81</v>
      </c>
      <c r="G20" s="2">
        <v>3388994.71</v>
      </c>
      <c r="H20" t="s">
        <v>103</v>
      </c>
      <c r="J20" t="s">
        <v>104</v>
      </c>
      <c r="K20" t="s">
        <v>53</v>
      </c>
      <c r="L20" t="s">
        <v>24</v>
      </c>
      <c r="M20" s="3">
        <v>1724591</v>
      </c>
      <c r="N20">
        <v>64</v>
      </c>
      <c r="O20" s="3">
        <v>3156</v>
      </c>
      <c r="P20">
        <v>0</v>
      </c>
      <c r="Q20">
        <v>0</v>
      </c>
    </row>
    <row r="21" spans="1:17" x14ac:dyDescent="0.25">
      <c r="A21" t="s">
        <v>105</v>
      </c>
      <c r="B21" t="s">
        <v>106</v>
      </c>
      <c r="C21" t="s">
        <v>107</v>
      </c>
      <c r="D21" t="s">
        <v>57</v>
      </c>
      <c r="E21" t="s">
        <v>21</v>
      </c>
      <c r="G21">
        <v>0</v>
      </c>
      <c r="H21" t="s">
        <v>108</v>
      </c>
      <c r="J21" t="s">
        <v>23</v>
      </c>
      <c r="L21" t="s">
        <v>28</v>
      </c>
      <c r="M21">
        <v>4</v>
      </c>
      <c r="N21">
        <v>0</v>
      </c>
      <c r="O21">
        <v>3</v>
      </c>
      <c r="P21">
        <v>0</v>
      </c>
      <c r="Q21">
        <v>0</v>
      </c>
    </row>
    <row r="22" spans="1:17" x14ac:dyDescent="0.25">
      <c r="A22" t="s">
        <v>109</v>
      </c>
      <c r="B22" t="s">
        <v>110</v>
      </c>
      <c r="C22" t="s">
        <v>111</v>
      </c>
      <c r="D22" t="s">
        <v>57</v>
      </c>
      <c r="E22" t="s">
        <v>21</v>
      </c>
      <c r="F22">
        <v>37.119999999999997</v>
      </c>
      <c r="G22" s="2">
        <v>1052640.69</v>
      </c>
      <c r="H22" t="s">
        <v>112</v>
      </c>
      <c r="J22" t="s">
        <v>113</v>
      </c>
      <c r="L22" t="s">
        <v>28</v>
      </c>
      <c r="M22" s="3">
        <v>718414</v>
      </c>
      <c r="N22">
        <v>27</v>
      </c>
      <c r="O22" s="3">
        <v>2582</v>
      </c>
      <c r="P22">
        <v>0</v>
      </c>
      <c r="Q22">
        <v>0</v>
      </c>
    </row>
    <row r="23" spans="1:17" x14ac:dyDescent="0.25">
      <c r="A23" t="s">
        <v>114</v>
      </c>
      <c r="B23" t="s">
        <v>115</v>
      </c>
      <c r="C23" t="s">
        <v>116</v>
      </c>
      <c r="D23" t="s">
        <v>57</v>
      </c>
      <c r="E23" t="s">
        <v>21</v>
      </c>
      <c r="F23">
        <v>84.68</v>
      </c>
      <c r="G23">
        <v>132.76</v>
      </c>
      <c r="H23" s="1">
        <v>45667</v>
      </c>
      <c r="J23" t="s">
        <v>23</v>
      </c>
      <c r="L23" t="s">
        <v>28</v>
      </c>
      <c r="M23">
        <v>9</v>
      </c>
      <c r="N23">
        <v>2</v>
      </c>
      <c r="O23">
        <v>3</v>
      </c>
      <c r="P23">
        <v>1</v>
      </c>
      <c r="Q23">
        <v>0</v>
      </c>
    </row>
    <row r="24" spans="1:17" x14ac:dyDescent="0.25">
      <c r="A24" t="s">
        <v>114</v>
      </c>
      <c r="B24" t="s">
        <v>117</v>
      </c>
      <c r="C24" t="s">
        <v>118</v>
      </c>
      <c r="D24" t="s">
        <v>57</v>
      </c>
      <c r="E24" t="s">
        <v>21</v>
      </c>
      <c r="F24" s="2">
        <v>2355.65</v>
      </c>
      <c r="G24" s="2">
        <v>3518401.14</v>
      </c>
      <c r="H24" t="s">
        <v>51</v>
      </c>
      <c r="J24" t="s">
        <v>119</v>
      </c>
      <c r="K24" t="s">
        <v>53</v>
      </c>
      <c r="L24" t="s">
        <v>28</v>
      </c>
      <c r="M24" s="3">
        <v>1831900</v>
      </c>
      <c r="N24">
        <v>203</v>
      </c>
      <c r="O24" s="3">
        <v>3178</v>
      </c>
      <c r="P24">
        <v>4</v>
      </c>
      <c r="Q24">
        <v>2</v>
      </c>
    </row>
    <row r="25" spans="1:17" x14ac:dyDescent="0.25">
      <c r="A25" t="s">
        <v>114</v>
      </c>
      <c r="B25" t="s">
        <v>120</v>
      </c>
      <c r="C25" t="s">
        <v>121</v>
      </c>
      <c r="D25" t="s">
        <v>57</v>
      </c>
      <c r="E25" t="s">
        <v>21</v>
      </c>
      <c r="F25">
        <v>500.9</v>
      </c>
      <c r="G25" s="2">
        <v>3395289.6</v>
      </c>
      <c r="H25" s="1">
        <v>44450</v>
      </c>
      <c r="J25" t="s">
        <v>122</v>
      </c>
      <c r="L25" t="s">
        <v>24</v>
      </c>
      <c r="M25" s="3">
        <v>1726140</v>
      </c>
      <c r="N25">
        <v>332</v>
      </c>
      <c r="O25" s="3">
        <v>3156</v>
      </c>
      <c r="P25">
        <v>0</v>
      </c>
      <c r="Q25">
        <v>0</v>
      </c>
    </row>
    <row r="26" spans="1:17" x14ac:dyDescent="0.25">
      <c r="A26" t="s">
        <v>123</v>
      </c>
      <c r="B26" t="s">
        <v>124</v>
      </c>
      <c r="C26" t="s">
        <v>125</v>
      </c>
      <c r="D26" t="s">
        <v>57</v>
      </c>
      <c r="E26" t="s">
        <v>21</v>
      </c>
      <c r="F26">
        <v>2.95</v>
      </c>
      <c r="G26" s="2">
        <v>2320901.02</v>
      </c>
      <c r="H26" s="1">
        <v>45238</v>
      </c>
      <c r="J26" t="s">
        <v>126</v>
      </c>
      <c r="K26" t="s">
        <v>53</v>
      </c>
      <c r="L26" t="s">
        <v>24</v>
      </c>
      <c r="M26" s="3">
        <v>1309975</v>
      </c>
      <c r="N26">
        <v>6</v>
      </c>
      <c r="O26" s="3">
        <v>2837</v>
      </c>
      <c r="P26">
        <v>0</v>
      </c>
      <c r="Q26">
        <v>0</v>
      </c>
    </row>
    <row r="27" spans="1:17" x14ac:dyDescent="0.25">
      <c r="A27" t="s">
        <v>127</v>
      </c>
      <c r="B27" t="s">
        <v>128</v>
      </c>
      <c r="C27" t="s">
        <v>129</v>
      </c>
      <c r="D27" t="s">
        <v>57</v>
      </c>
      <c r="E27" t="s">
        <v>21</v>
      </c>
      <c r="F27">
        <v>7.84</v>
      </c>
      <c r="G27" s="2">
        <v>2327687.36</v>
      </c>
      <c r="H27" t="s">
        <v>51</v>
      </c>
      <c r="J27" t="s">
        <v>130</v>
      </c>
      <c r="K27" t="s">
        <v>53</v>
      </c>
      <c r="L27" t="s">
        <v>28</v>
      </c>
      <c r="M27" s="3">
        <v>1317152</v>
      </c>
      <c r="N27">
        <v>135</v>
      </c>
      <c r="O27" s="3">
        <v>2904</v>
      </c>
      <c r="P27">
        <v>0</v>
      </c>
      <c r="Q27">
        <v>0</v>
      </c>
    </row>
    <row r="28" spans="1:17" x14ac:dyDescent="0.25">
      <c r="A28" t="s">
        <v>131</v>
      </c>
      <c r="B28" t="s">
        <v>132</v>
      </c>
      <c r="C28" t="s">
        <v>133</v>
      </c>
      <c r="D28" t="s">
        <v>57</v>
      </c>
      <c r="E28" t="s">
        <v>21</v>
      </c>
      <c r="F28" s="2">
        <v>2557.0100000000002</v>
      </c>
      <c r="G28" s="2">
        <v>2557.0100000000002</v>
      </c>
      <c r="H28" t="s">
        <v>134</v>
      </c>
      <c r="J28" t="s">
        <v>23</v>
      </c>
      <c r="L28" t="s">
        <v>28</v>
      </c>
      <c r="M28">
        <v>476</v>
      </c>
      <c r="N28">
        <v>0</v>
      </c>
      <c r="O28">
        <v>3</v>
      </c>
      <c r="P28">
        <v>3</v>
      </c>
      <c r="Q28">
        <v>0</v>
      </c>
    </row>
    <row r="29" spans="1:17" x14ac:dyDescent="0.25">
      <c r="A29" t="s">
        <v>135</v>
      </c>
      <c r="B29" t="s">
        <v>136</v>
      </c>
      <c r="C29" t="s">
        <v>137</v>
      </c>
      <c r="D29" t="s">
        <v>57</v>
      </c>
      <c r="E29" t="s">
        <v>21</v>
      </c>
      <c r="F29" s="2">
        <v>4018.46</v>
      </c>
      <c r="G29" s="2">
        <v>3518201.74</v>
      </c>
      <c r="H29" t="s">
        <v>51</v>
      </c>
      <c r="J29" t="s">
        <v>138</v>
      </c>
      <c r="K29" t="s">
        <v>53</v>
      </c>
      <c r="L29" t="s">
        <v>28</v>
      </c>
      <c r="M29" s="3">
        <v>1836618</v>
      </c>
      <c r="N29" s="3">
        <v>2341</v>
      </c>
      <c r="O29" s="3">
        <v>3173</v>
      </c>
      <c r="P29">
        <v>8</v>
      </c>
      <c r="Q29">
        <v>28</v>
      </c>
    </row>
    <row r="30" spans="1:17" x14ac:dyDescent="0.25">
      <c r="A30" t="s">
        <v>139</v>
      </c>
      <c r="B30" t="s">
        <v>140</v>
      </c>
      <c r="C30" t="s">
        <v>141</v>
      </c>
      <c r="D30" t="s">
        <v>57</v>
      </c>
      <c r="E30" t="s">
        <v>21</v>
      </c>
      <c r="F30" s="2">
        <v>1165.42</v>
      </c>
      <c r="G30" s="2">
        <v>1245.01</v>
      </c>
      <c r="H30" s="1">
        <v>45455</v>
      </c>
      <c r="J30" t="s">
        <v>23</v>
      </c>
      <c r="L30" t="s">
        <v>28</v>
      </c>
      <c r="M30">
        <v>73</v>
      </c>
      <c r="N30">
        <v>18</v>
      </c>
      <c r="O30">
        <v>3</v>
      </c>
      <c r="P30">
        <v>0</v>
      </c>
      <c r="Q30">
        <v>6</v>
      </c>
    </row>
    <row r="31" spans="1:17" x14ac:dyDescent="0.25">
      <c r="A31" t="s">
        <v>142</v>
      </c>
      <c r="B31" t="s">
        <v>143</v>
      </c>
      <c r="C31" t="s">
        <v>144</v>
      </c>
      <c r="D31" t="s">
        <v>57</v>
      </c>
      <c r="E31" t="s">
        <v>21</v>
      </c>
      <c r="F31" s="2">
        <v>23145.95</v>
      </c>
      <c r="G31" s="2">
        <v>23145.95</v>
      </c>
      <c r="H31" t="s">
        <v>145</v>
      </c>
      <c r="J31" t="s">
        <v>23</v>
      </c>
      <c r="L31" t="s">
        <v>24</v>
      </c>
      <c r="M31">
        <v>786</v>
      </c>
      <c r="N31">
        <v>16</v>
      </c>
      <c r="O31">
        <v>3</v>
      </c>
      <c r="P31">
        <v>5</v>
      </c>
      <c r="Q31">
        <v>11</v>
      </c>
    </row>
    <row r="32" spans="1:17" x14ac:dyDescent="0.25">
      <c r="A32" t="s">
        <v>146</v>
      </c>
      <c r="B32" t="s">
        <v>147</v>
      </c>
      <c r="C32" t="s">
        <v>148</v>
      </c>
      <c r="D32" t="s">
        <v>57</v>
      </c>
      <c r="E32" t="s">
        <v>21</v>
      </c>
      <c r="F32" s="2">
        <v>6193.85</v>
      </c>
      <c r="G32" s="2">
        <v>11030.91</v>
      </c>
      <c r="H32" s="1">
        <v>44745</v>
      </c>
      <c r="J32" t="s">
        <v>23</v>
      </c>
      <c r="L32" t="s">
        <v>24</v>
      </c>
      <c r="M32" s="3">
        <v>1004</v>
      </c>
      <c r="N32">
        <v>0</v>
      </c>
      <c r="O32">
        <v>3</v>
      </c>
      <c r="P32">
        <v>2</v>
      </c>
      <c r="Q32">
        <v>16</v>
      </c>
    </row>
    <row r="33" spans="1:17" x14ac:dyDescent="0.25">
      <c r="A33" t="s">
        <v>149</v>
      </c>
      <c r="B33" t="s">
        <v>150</v>
      </c>
      <c r="C33" t="s">
        <v>151</v>
      </c>
      <c r="D33" t="s">
        <v>57</v>
      </c>
      <c r="E33" t="s">
        <v>21</v>
      </c>
      <c r="G33" s="2">
        <v>1920505.39</v>
      </c>
      <c r="H33" t="s">
        <v>152</v>
      </c>
      <c r="J33" t="s">
        <v>153</v>
      </c>
      <c r="K33" t="s">
        <v>53</v>
      </c>
      <c r="L33" t="s">
        <v>28</v>
      </c>
      <c r="M33" s="3">
        <v>1394942</v>
      </c>
      <c r="N33">
        <v>2</v>
      </c>
      <c r="O33" s="3">
        <v>2914</v>
      </c>
      <c r="P33">
        <v>0</v>
      </c>
      <c r="Q33">
        <v>0</v>
      </c>
    </row>
    <row r="34" spans="1:17" x14ac:dyDescent="0.25">
      <c r="A34" t="s">
        <v>154</v>
      </c>
      <c r="B34" t="s">
        <v>155</v>
      </c>
      <c r="C34" t="s">
        <v>156</v>
      </c>
      <c r="D34" t="s">
        <v>57</v>
      </c>
      <c r="E34" t="s">
        <v>21</v>
      </c>
      <c r="F34">
        <v>752.5</v>
      </c>
      <c r="G34" s="2">
        <v>3389490.18</v>
      </c>
      <c r="H34" s="1">
        <v>44296</v>
      </c>
      <c r="J34" t="s">
        <v>104</v>
      </c>
      <c r="L34" t="s">
        <v>24</v>
      </c>
      <c r="M34" s="3">
        <v>1724651</v>
      </c>
      <c r="N34">
        <v>354</v>
      </c>
      <c r="O34" s="3">
        <v>3155</v>
      </c>
      <c r="P34">
        <v>0</v>
      </c>
      <c r="Q34">
        <v>0</v>
      </c>
    </row>
    <row r="35" spans="1:17" x14ac:dyDescent="0.25">
      <c r="A35" t="s">
        <v>157</v>
      </c>
      <c r="B35" t="s">
        <v>158</v>
      </c>
      <c r="C35" t="s">
        <v>159</v>
      </c>
      <c r="D35" t="s">
        <v>57</v>
      </c>
      <c r="E35" t="s">
        <v>21</v>
      </c>
      <c r="G35" s="2">
        <v>1421184.28</v>
      </c>
      <c r="H35" t="s">
        <v>160</v>
      </c>
      <c r="J35" t="s">
        <v>161</v>
      </c>
      <c r="L35" t="s">
        <v>24</v>
      </c>
      <c r="M35" s="3">
        <v>977590</v>
      </c>
      <c r="N35">
        <v>0</v>
      </c>
      <c r="O35" s="3">
        <v>2708</v>
      </c>
      <c r="P35">
        <v>0</v>
      </c>
      <c r="Q35">
        <v>0</v>
      </c>
    </row>
    <row r="36" spans="1:17" x14ac:dyDescent="0.25">
      <c r="A36" t="s">
        <v>162</v>
      </c>
      <c r="B36" t="s">
        <v>163</v>
      </c>
      <c r="C36" t="s">
        <v>164</v>
      </c>
      <c r="D36" t="s">
        <v>57</v>
      </c>
      <c r="E36" t="s">
        <v>21</v>
      </c>
      <c r="G36">
        <v>0</v>
      </c>
      <c r="H36" t="s">
        <v>165</v>
      </c>
      <c r="J36" t="s">
        <v>23</v>
      </c>
      <c r="L36" t="s">
        <v>28</v>
      </c>
      <c r="M36">
        <v>4</v>
      </c>
      <c r="N36">
        <v>0</v>
      </c>
      <c r="O36">
        <v>3</v>
      </c>
      <c r="P36">
        <v>0</v>
      </c>
      <c r="Q36">
        <v>0</v>
      </c>
    </row>
    <row r="37" spans="1:17" x14ac:dyDescent="0.25">
      <c r="A37" t="s">
        <v>166</v>
      </c>
      <c r="B37" t="s">
        <v>167</v>
      </c>
      <c r="C37" t="s">
        <v>168</v>
      </c>
      <c r="D37" t="s">
        <v>57</v>
      </c>
      <c r="E37" t="s">
        <v>21</v>
      </c>
      <c r="F37" s="2">
        <v>4790.21</v>
      </c>
      <c r="G37" s="2">
        <v>4790.21</v>
      </c>
      <c r="H37" s="1">
        <v>44022</v>
      </c>
      <c r="J37" t="s">
        <v>23</v>
      </c>
      <c r="L37" t="s">
        <v>28</v>
      </c>
      <c r="M37" s="3">
        <v>1169</v>
      </c>
      <c r="N37">
        <v>84</v>
      </c>
      <c r="O37">
        <v>3</v>
      </c>
      <c r="P37">
        <v>8</v>
      </c>
      <c r="Q37">
        <v>0</v>
      </c>
    </row>
    <row r="38" spans="1:17" x14ac:dyDescent="0.25">
      <c r="A38" t="s">
        <v>169</v>
      </c>
      <c r="B38" t="s">
        <v>170</v>
      </c>
      <c r="C38" t="s">
        <v>171</v>
      </c>
      <c r="D38" t="s">
        <v>57</v>
      </c>
      <c r="E38" t="s">
        <v>21</v>
      </c>
      <c r="G38">
        <v>0</v>
      </c>
      <c r="H38" s="1">
        <v>45816</v>
      </c>
      <c r="J38" t="s">
        <v>23</v>
      </c>
      <c r="L38" t="s">
        <v>24</v>
      </c>
      <c r="M38">
        <v>4</v>
      </c>
      <c r="N38">
        <v>0</v>
      </c>
      <c r="O38">
        <v>3</v>
      </c>
      <c r="P38">
        <v>0</v>
      </c>
      <c r="Q38">
        <v>1</v>
      </c>
    </row>
    <row r="39" spans="1:17" x14ac:dyDescent="0.25">
      <c r="A39" t="s">
        <v>172</v>
      </c>
      <c r="B39" t="s">
        <v>173</v>
      </c>
      <c r="C39" t="s">
        <v>174</v>
      </c>
      <c r="D39" t="s">
        <v>57</v>
      </c>
      <c r="E39" t="s">
        <v>21</v>
      </c>
      <c r="F39">
        <v>39.630000000000003</v>
      </c>
      <c r="G39" s="2">
        <v>3390700.26</v>
      </c>
      <c r="H39" t="s">
        <v>51</v>
      </c>
      <c r="J39" t="s">
        <v>175</v>
      </c>
      <c r="K39" t="s">
        <v>53</v>
      </c>
      <c r="L39" t="s">
        <v>28</v>
      </c>
      <c r="M39" s="3">
        <v>1724861</v>
      </c>
      <c r="N39">
        <v>0</v>
      </c>
      <c r="O39" s="3">
        <v>3157</v>
      </c>
      <c r="P39">
        <v>1</v>
      </c>
      <c r="Q39">
        <v>2</v>
      </c>
    </row>
    <row r="40" spans="1:17" x14ac:dyDescent="0.25">
      <c r="A40" t="s">
        <v>176</v>
      </c>
      <c r="B40" t="s">
        <v>177</v>
      </c>
      <c r="C40" t="s">
        <v>178</v>
      </c>
      <c r="D40" t="s">
        <v>57</v>
      </c>
      <c r="E40" t="s">
        <v>21</v>
      </c>
      <c r="G40" s="3">
        <v>19378</v>
      </c>
      <c r="H40" t="s">
        <v>179</v>
      </c>
      <c r="J40" t="s">
        <v>23</v>
      </c>
      <c r="L40" t="s">
        <v>28</v>
      </c>
      <c r="M40" s="3">
        <v>73904</v>
      </c>
      <c r="N40">
        <v>0</v>
      </c>
      <c r="O40">
        <v>3</v>
      </c>
      <c r="P40">
        <v>0</v>
      </c>
      <c r="Q40">
        <v>5</v>
      </c>
    </row>
    <row r="41" spans="1:17" x14ac:dyDescent="0.25">
      <c r="A41" t="s">
        <v>176</v>
      </c>
      <c r="B41" t="s">
        <v>180</v>
      </c>
      <c r="C41" t="s">
        <v>181</v>
      </c>
      <c r="D41" t="s">
        <v>57</v>
      </c>
      <c r="E41" t="s">
        <v>21</v>
      </c>
      <c r="F41">
        <v>29.2</v>
      </c>
      <c r="G41" s="2">
        <v>1801607.38</v>
      </c>
      <c r="H41" s="1">
        <v>44938</v>
      </c>
      <c r="J41" t="s">
        <v>182</v>
      </c>
      <c r="K41" t="s">
        <v>53</v>
      </c>
      <c r="L41" t="s">
        <v>24</v>
      </c>
      <c r="M41" s="3">
        <v>1291248</v>
      </c>
      <c r="N41">
        <v>304</v>
      </c>
      <c r="O41" s="3">
        <v>2900</v>
      </c>
      <c r="P41">
        <v>0</v>
      </c>
      <c r="Q41">
        <v>0</v>
      </c>
    </row>
    <row r="42" spans="1:17" x14ac:dyDescent="0.25">
      <c r="A42" t="s">
        <v>176</v>
      </c>
      <c r="B42" t="s">
        <v>183</v>
      </c>
      <c r="C42" t="s">
        <v>184</v>
      </c>
      <c r="D42" t="s">
        <v>57</v>
      </c>
      <c r="E42" t="s">
        <v>21</v>
      </c>
      <c r="F42">
        <v>0.63</v>
      </c>
      <c r="G42" s="2">
        <v>1744664.94</v>
      </c>
      <c r="H42" s="1">
        <v>45665</v>
      </c>
      <c r="J42" t="s">
        <v>76</v>
      </c>
      <c r="K42" t="s">
        <v>53</v>
      </c>
      <c r="L42" t="s">
        <v>28</v>
      </c>
      <c r="M42" s="3">
        <v>918980</v>
      </c>
      <c r="N42">
        <v>37</v>
      </c>
      <c r="O42" s="3">
        <v>2693</v>
      </c>
      <c r="P42">
        <v>0</v>
      </c>
      <c r="Q42">
        <v>0</v>
      </c>
    </row>
    <row r="43" spans="1:17" x14ac:dyDescent="0.25">
      <c r="A43" t="s">
        <v>176</v>
      </c>
      <c r="B43" t="s">
        <v>185</v>
      </c>
      <c r="C43" t="s">
        <v>186</v>
      </c>
      <c r="D43" t="s">
        <v>57</v>
      </c>
      <c r="E43" t="s">
        <v>21</v>
      </c>
      <c r="G43" s="2">
        <v>3914887.22</v>
      </c>
      <c r="H43" t="s">
        <v>187</v>
      </c>
      <c r="J43" t="s">
        <v>188</v>
      </c>
      <c r="L43" t="s">
        <v>24</v>
      </c>
      <c r="M43" s="3">
        <v>1750599</v>
      </c>
      <c r="N43">
        <v>0</v>
      </c>
      <c r="O43" s="3">
        <v>3160</v>
      </c>
      <c r="P43">
        <v>0</v>
      </c>
      <c r="Q43">
        <v>0</v>
      </c>
    </row>
    <row r="44" spans="1:17" x14ac:dyDescent="0.25">
      <c r="A44" t="s">
        <v>189</v>
      </c>
      <c r="C44" t="s">
        <v>190</v>
      </c>
      <c r="D44" t="s">
        <v>57</v>
      </c>
      <c r="E44" t="s">
        <v>21</v>
      </c>
      <c r="G44">
        <v>19.71</v>
      </c>
      <c r="H44" t="s">
        <v>191</v>
      </c>
      <c r="J44" t="s">
        <v>23</v>
      </c>
      <c r="L44" t="s">
        <v>24</v>
      </c>
      <c r="M44">
        <v>15</v>
      </c>
      <c r="N44">
        <v>0</v>
      </c>
      <c r="O44">
        <v>5</v>
      </c>
      <c r="P44">
        <v>0</v>
      </c>
      <c r="Q44">
        <v>0</v>
      </c>
    </row>
    <row r="45" spans="1:17" x14ac:dyDescent="0.25">
      <c r="A45" t="s">
        <v>192</v>
      </c>
      <c r="B45" t="s">
        <v>193</v>
      </c>
      <c r="C45" t="s">
        <v>194</v>
      </c>
      <c r="D45" t="s">
        <v>57</v>
      </c>
      <c r="E45" t="s">
        <v>21</v>
      </c>
      <c r="F45">
        <v>0.19</v>
      </c>
      <c r="G45">
        <v>41.84</v>
      </c>
      <c r="H45" t="s">
        <v>195</v>
      </c>
      <c r="J45" t="s">
        <v>23</v>
      </c>
      <c r="L45" t="s">
        <v>24</v>
      </c>
      <c r="M45">
        <v>8</v>
      </c>
      <c r="N45">
        <v>1</v>
      </c>
      <c r="O45">
        <v>3</v>
      </c>
      <c r="P45">
        <v>0</v>
      </c>
      <c r="Q45">
        <v>1</v>
      </c>
    </row>
    <row r="46" spans="1:17" x14ac:dyDescent="0.25">
      <c r="A46" t="s">
        <v>196</v>
      </c>
      <c r="B46" t="s">
        <v>197</v>
      </c>
      <c r="C46" t="s">
        <v>198</v>
      </c>
      <c r="D46" t="s">
        <v>57</v>
      </c>
      <c r="E46" t="s">
        <v>21</v>
      </c>
      <c r="G46">
        <v>0</v>
      </c>
      <c r="H46" t="s">
        <v>199</v>
      </c>
      <c r="J46" t="s">
        <v>23</v>
      </c>
      <c r="L46" t="s">
        <v>28</v>
      </c>
      <c r="M46">
        <v>4</v>
      </c>
      <c r="N46">
        <v>0</v>
      </c>
      <c r="O46">
        <v>3</v>
      </c>
      <c r="P46">
        <v>0</v>
      </c>
      <c r="Q46">
        <v>0</v>
      </c>
    </row>
    <row r="47" spans="1:17" x14ac:dyDescent="0.25">
      <c r="A47" t="s">
        <v>200</v>
      </c>
      <c r="B47" t="s">
        <v>201</v>
      </c>
      <c r="C47" t="s">
        <v>202</v>
      </c>
      <c r="D47" t="s">
        <v>57</v>
      </c>
      <c r="E47" t="s">
        <v>21</v>
      </c>
      <c r="G47" s="2">
        <v>175850.59</v>
      </c>
      <c r="H47" t="s">
        <v>203</v>
      </c>
      <c r="J47" t="s">
        <v>204</v>
      </c>
      <c r="L47" t="s">
        <v>28</v>
      </c>
      <c r="M47" s="3">
        <v>159449</v>
      </c>
      <c r="N47">
        <v>0</v>
      </c>
      <c r="O47">
        <v>77</v>
      </c>
      <c r="P47">
        <v>0</v>
      </c>
      <c r="Q47">
        <v>1</v>
      </c>
    </row>
    <row r="48" spans="1:17" x14ac:dyDescent="0.25">
      <c r="A48" t="s">
        <v>205</v>
      </c>
      <c r="B48" t="s">
        <v>206</v>
      </c>
      <c r="C48" t="s">
        <v>207</v>
      </c>
      <c r="D48" t="s">
        <v>57</v>
      </c>
      <c r="E48" t="s">
        <v>21</v>
      </c>
      <c r="F48">
        <v>26.13</v>
      </c>
      <c r="G48" s="2">
        <v>6624.99</v>
      </c>
      <c r="H48" t="s">
        <v>208</v>
      </c>
      <c r="J48" t="s">
        <v>23</v>
      </c>
      <c r="L48" t="s">
        <v>24</v>
      </c>
      <c r="M48" s="3">
        <v>4690</v>
      </c>
      <c r="N48">
        <v>4</v>
      </c>
      <c r="O48">
        <v>3</v>
      </c>
      <c r="P48">
        <v>1</v>
      </c>
      <c r="Q48">
        <v>17</v>
      </c>
    </row>
    <row r="49" spans="1:17" x14ac:dyDescent="0.25">
      <c r="A49" t="s">
        <v>209</v>
      </c>
      <c r="B49" t="s">
        <v>210</v>
      </c>
      <c r="C49" t="s">
        <v>211</v>
      </c>
      <c r="D49" t="s">
        <v>57</v>
      </c>
      <c r="E49" t="s">
        <v>21</v>
      </c>
      <c r="F49">
        <v>474.09</v>
      </c>
      <c r="G49" s="2">
        <v>2297.91</v>
      </c>
      <c r="H49" s="1">
        <v>45783</v>
      </c>
      <c r="J49" t="s">
        <v>23</v>
      </c>
      <c r="L49" t="s">
        <v>28</v>
      </c>
      <c r="M49">
        <v>609</v>
      </c>
      <c r="N49">
        <v>41</v>
      </c>
      <c r="O49">
        <v>3</v>
      </c>
      <c r="P49">
        <v>2</v>
      </c>
      <c r="Q49">
        <v>7</v>
      </c>
    </row>
    <row r="50" spans="1:17" x14ac:dyDescent="0.25">
      <c r="A50" t="s">
        <v>209</v>
      </c>
      <c r="B50" t="s">
        <v>212</v>
      </c>
      <c r="C50" t="s">
        <v>213</v>
      </c>
      <c r="D50" t="s">
        <v>57</v>
      </c>
      <c r="E50" t="s">
        <v>21</v>
      </c>
      <c r="F50">
        <v>63.07</v>
      </c>
      <c r="G50" s="2">
        <v>2327742.5499999998</v>
      </c>
      <c r="H50" s="1">
        <v>44718</v>
      </c>
      <c r="J50" t="s">
        <v>214</v>
      </c>
      <c r="K50" t="s">
        <v>53</v>
      </c>
      <c r="L50" t="s">
        <v>24</v>
      </c>
      <c r="M50" s="3">
        <v>1317048</v>
      </c>
      <c r="N50">
        <v>46</v>
      </c>
      <c r="O50" s="3">
        <v>2903</v>
      </c>
      <c r="P50">
        <v>0</v>
      </c>
      <c r="Q50">
        <v>0</v>
      </c>
    </row>
    <row r="51" spans="1:17" x14ac:dyDescent="0.25">
      <c r="A51" t="s">
        <v>215</v>
      </c>
      <c r="B51" t="s">
        <v>216</v>
      </c>
      <c r="C51" t="s">
        <v>217</v>
      </c>
      <c r="D51" t="s">
        <v>57</v>
      </c>
      <c r="E51" t="s">
        <v>21</v>
      </c>
      <c r="G51" s="2">
        <v>1450208.3</v>
      </c>
      <c r="H51" t="s">
        <v>218</v>
      </c>
      <c r="J51" t="s">
        <v>219</v>
      </c>
      <c r="L51" t="s">
        <v>28</v>
      </c>
      <c r="M51" s="3">
        <v>1101859</v>
      </c>
      <c r="N51">
        <v>0</v>
      </c>
      <c r="O51" s="3">
        <v>2725</v>
      </c>
      <c r="P51">
        <v>0</v>
      </c>
      <c r="Q51">
        <v>0</v>
      </c>
    </row>
    <row r="52" spans="1:17" x14ac:dyDescent="0.25">
      <c r="A52" t="s">
        <v>220</v>
      </c>
      <c r="B52" t="s">
        <v>221</v>
      </c>
      <c r="C52" t="s">
        <v>222</v>
      </c>
      <c r="D52" t="s">
        <v>57</v>
      </c>
      <c r="E52" t="s">
        <v>21</v>
      </c>
      <c r="F52">
        <v>1.4</v>
      </c>
      <c r="G52" s="2">
        <v>1850874.48</v>
      </c>
      <c r="H52" t="s">
        <v>51</v>
      </c>
      <c r="J52" t="s">
        <v>223</v>
      </c>
      <c r="K52" t="s">
        <v>53</v>
      </c>
      <c r="L52" t="s">
        <v>28</v>
      </c>
      <c r="M52" s="3">
        <v>1303381</v>
      </c>
      <c r="N52">
        <v>2</v>
      </c>
      <c r="O52" s="3">
        <v>2906</v>
      </c>
      <c r="P52">
        <v>4</v>
      </c>
      <c r="Q52">
        <v>1</v>
      </c>
    </row>
    <row r="53" spans="1:17" x14ac:dyDescent="0.25">
      <c r="A53" t="s">
        <v>224</v>
      </c>
      <c r="B53" t="s">
        <v>225</v>
      </c>
      <c r="C53" t="s">
        <v>226</v>
      </c>
      <c r="D53" t="s">
        <v>57</v>
      </c>
      <c r="E53" t="s">
        <v>21</v>
      </c>
      <c r="F53" s="2">
        <v>1992.5</v>
      </c>
      <c r="G53" s="2">
        <v>1992.5</v>
      </c>
      <c r="H53" s="1">
        <v>45814</v>
      </c>
      <c r="J53" t="s">
        <v>23</v>
      </c>
      <c r="L53" t="s">
        <v>28</v>
      </c>
      <c r="M53">
        <v>441</v>
      </c>
      <c r="N53">
        <v>2</v>
      </c>
      <c r="O53">
        <v>3</v>
      </c>
      <c r="P53">
        <v>0</v>
      </c>
      <c r="Q53">
        <v>8</v>
      </c>
    </row>
    <row r="54" spans="1:17" x14ac:dyDescent="0.25">
      <c r="A54" t="s">
        <v>227</v>
      </c>
      <c r="C54" t="s">
        <v>228</v>
      </c>
      <c r="D54" t="s">
        <v>57</v>
      </c>
      <c r="E54" t="s">
        <v>21</v>
      </c>
      <c r="G54" s="2">
        <v>1892401.75</v>
      </c>
      <c r="H54" t="s">
        <v>229</v>
      </c>
      <c r="J54" t="s">
        <v>230</v>
      </c>
      <c r="K54" t="s">
        <v>53</v>
      </c>
      <c r="L54" t="s">
        <v>24</v>
      </c>
      <c r="M54" s="3">
        <v>1069332</v>
      </c>
      <c r="N54">
        <v>0</v>
      </c>
      <c r="O54" s="3">
        <v>2686</v>
      </c>
      <c r="P54">
        <v>0</v>
      </c>
      <c r="Q54">
        <v>0</v>
      </c>
    </row>
    <row r="55" spans="1:17" x14ac:dyDescent="0.25">
      <c r="A55" t="s">
        <v>231</v>
      </c>
      <c r="B55" t="s">
        <v>232</v>
      </c>
      <c r="C55" t="s">
        <v>233</v>
      </c>
      <c r="D55" t="s">
        <v>57</v>
      </c>
      <c r="E55" t="s">
        <v>21</v>
      </c>
      <c r="G55">
        <v>0</v>
      </c>
      <c r="H55" t="s">
        <v>234</v>
      </c>
      <c r="J55" t="s">
        <v>23</v>
      </c>
      <c r="L55" t="s">
        <v>28</v>
      </c>
      <c r="M55">
        <v>4</v>
      </c>
      <c r="N55">
        <v>0</v>
      </c>
      <c r="O55">
        <v>3</v>
      </c>
      <c r="P55">
        <v>0</v>
      </c>
      <c r="Q55">
        <v>0</v>
      </c>
    </row>
    <row r="56" spans="1:17" x14ac:dyDescent="0.25">
      <c r="A56" t="s">
        <v>235</v>
      </c>
      <c r="B56" t="s">
        <v>236</v>
      </c>
      <c r="C56" t="s">
        <v>237</v>
      </c>
      <c r="D56" t="s">
        <v>57</v>
      </c>
      <c r="E56" t="s">
        <v>21</v>
      </c>
      <c r="G56">
        <v>0</v>
      </c>
      <c r="H56" t="s">
        <v>199</v>
      </c>
      <c r="J56" t="s">
        <v>23</v>
      </c>
      <c r="L56" t="s">
        <v>28</v>
      </c>
      <c r="M56">
        <v>4</v>
      </c>
      <c r="N56">
        <v>0</v>
      </c>
      <c r="O56">
        <v>3</v>
      </c>
      <c r="P56">
        <v>0</v>
      </c>
      <c r="Q56">
        <v>0</v>
      </c>
    </row>
    <row r="57" spans="1:17" x14ac:dyDescent="0.25">
      <c r="A57" t="s">
        <v>235</v>
      </c>
      <c r="B57" t="s">
        <v>238</v>
      </c>
      <c r="C57" t="s">
        <v>239</v>
      </c>
      <c r="D57" t="s">
        <v>57</v>
      </c>
      <c r="E57" t="s">
        <v>21</v>
      </c>
      <c r="G57">
        <v>0</v>
      </c>
      <c r="H57" t="s">
        <v>240</v>
      </c>
      <c r="J57" t="s">
        <v>23</v>
      </c>
      <c r="L57" t="s">
        <v>24</v>
      </c>
      <c r="M57">
        <v>4</v>
      </c>
      <c r="N57">
        <v>0</v>
      </c>
      <c r="O57">
        <v>3</v>
      </c>
      <c r="P57">
        <v>0</v>
      </c>
      <c r="Q57">
        <v>0</v>
      </c>
    </row>
    <row r="58" spans="1:17" x14ac:dyDescent="0.25">
      <c r="A58" t="s">
        <v>241</v>
      </c>
      <c r="B58" t="s">
        <v>242</v>
      </c>
      <c r="C58" t="s">
        <v>243</v>
      </c>
      <c r="D58" t="s">
        <v>57</v>
      </c>
      <c r="E58" t="s">
        <v>21</v>
      </c>
      <c r="F58">
        <v>0.01</v>
      </c>
      <c r="G58" s="2">
        <v>2374757.87</v>
      </c>
      <c r="H58" t="s">
        <v>51</v>
      </c>
      <c r="J58" t="s">
        <v>244</v>
      </c>
      <c r="K58" t="s">
        <v>53</v>
      </c>
      <c r="L58" t="s">
        <v>24</v>
      </c>
      <c r="M58" s="3">
        <v>1325496</v>
      </c>
      <c r="N58">
        <v>13</v>
      </c>
      <c r="O58" s="3">
        <v>2908</v>
      </c>
      <c r="P58">
        <v>1</v>
      </c>
      <c r="Q58">
        <v>3</v>
      </c>
    </row>
    <row r="59" spans="1:17" x14ac:dyDescent="0.25">
      <c r="A59" t="s">
        <v>245</v>
      </c>
      <c r="B59" t="s">
        <v>246</v>
      </c>
      <c r="C59" t="s">
        <v>247</v>
      </c>
      <c r="D59" t="s">
        <v>57</v>
      </c>
      <c r="E59" t="s">
        <v>21</v>
      </c>
      <c r="F59">
        <v>690.51</v>
      </c>
      <c r="G59" s="2">
        <v>3395479.21</v>
      </c>
      <c r="H59" t="s">
        <v>248</v>
      </c>
      <c r="J59" t="s">
        <v>249</v>
      </c>
      <c r="K59" t="s">
        <v>53</v>
      </c>
      <c r="L59" t="s">
        <v>24</v>
      </c>
      <c r="M59" s="3">
        <v>1726666</v>
      </c>
      <c r="N59">
        <v>858</v>
      </c>
      <c r="O59" s="3">
        <v>3156</v>
      </c>
      <c r="P59">
        <v>0</v>
      </c>
      <c r="Q59">
        <v>0</v>
      </c>
    </row>
    <row r="60" spans="1:17" x14ac:dyDescent="0.25">
      <c r="A60" t="s">
        <v>250</v>
      </c>
      <c r="B60" t="s">
        <v>251</v>
      </c>
      <c r="C60" t="s">
        <v>252</v>
      </c>
      <c r="D60" t="s">
        <v>57</v>
      </c>
      <c r="E60" t="s">
        <v>21</v>
      </c>
      <c r="F60">
        <v>440.22</v>
      </c>
      <c r="G60" s="2">
        <v>3915553.3</v>
      </c>
      <c r="H60" s="1">
        <v>44563</v>
      </c>
      <c r="J60" t="s">
        <v>253</v>
      </c>
      <c r="L60" t="s">
        <v>24</v>
      </c>
      <c r="M60" s="3">
        <v>1751211</v>
      </c>
      <c r="N60">
        <v>534</v>
      </c>
      <c r="O60" s="3">
        <v>3160</v>
      </c>
      <c r="P60">
        <v>0</v>
      </c>
      <c r="Q60">
        <v>0</v>
      </c>
    </row>
    <row r="61" spans="1:17" x14ac:dyDescent="0.25">
      <c r="A61" t="s">
        <v>254</v>
      </c>
      <c r="B61" t="s">
        <v>255</v>
      </c>
      <c r="C61" t="s">
        <v>256</v>
      </c>
      <c r="D61" t="s">
        <v>57</v>
      </c>
      <c r="E61" t="s">
        <v>21</v>
      </c>
      <c r="F61">
        <v>166.64</v>
      </c>
      <c r="G61">
        <v>166.64</v>
      </c>
      <c r="H61" t="s">
        <v>257</v>
      </c>
      <c r="J61" t="s">
        <v>23</v>
      </c>
      <c r="K61" t="s">
        <v>258</v>
      </c>
      <c r="L61" t="s">
        <v>28</v>
      </c>
      <c r="M61">
        <v>10</v>
      </c>
      <c r="N61">
        <v>6</v>
      </c>
      <c r="O61">
        <v>3</v>
      </c>
      <c r="P61">
        <v>0</v>
      </c>
      <c r="Q61">
        <v>0</v>
      </c>
    </row>
    <row r="62" spans="1:17" x14ac:dyDescent="0.25">
      <c r="A62" t="s">
        <v>254</v>
      </c>
      <c r="B62" t="s">
        <v>259</v>
      </c>
      <c r="C62" t="s">
        <v>260</v>
      </c>
      <c r="D62" t="s">
        <v>57</v>
      </c>
      <c r="E62" t="s">
        <v>21</v>
      </c>
      <c r="F62" s="2">
        <v>62066.6</v>
      </c>
      <c r="G62" s="2">
        <v>4196616.49</v>
      </c>
      <c r="H62" t="s">
        <v>261</v>
      </c>
      <c r="J62" t="s">
        <v>262</v>
      </c>
      <c r="K62" t="s">
        <v>263</v>
      </c>
      <c r="L62" t="s">
        <v>28</v>
      </c>
      <c r="M62" s="3">
        <v>1926147</v>
      </c>
      <c r="N62" s="3">
        <v>15205</v>
      </c>
      <c r="O62" s="3">
        <v>3245</v>
      </c>
      <c r="P62">
        <v>5</v>
      </c>
      <c r="Q62">
        <v>21</v>
      </c>
    </row>
    <row r="63" spans="1:17" x14ac:dyDescent="0.25">
      <c r="A63" t="s">
        <v>254</v>
      </c>
      <c r="B63" t="s">
        <v>264</v>
      </c>
      <c r="C63" t="s">
        <v>265</v>
      </c>
      <c r="D63" t="s">
        <v>57</v>
      </c>
      <c r="E63" t="s">
        <v>21</v>
      </c>
      <c r="F63">
        <v>8.4</v>
      </c>
      <c r="G63" s="2">
        <v>3920963.88</v>
      </c>
      <c r="H63" s="1">
        <v>44296</v>
      </c>
      <c r="J63" t="s">
        <v>266</v>
      </c>
      <c r="K63" t="s">
        <v>53</v>
      </c>
      <c r="L63" t="s">
        <v>24</v>
      </c>
      <c r="M63" s="3">
        <v>1752125</v>
      </c>
      <c r="N63">
        <v>120</v>
      </c>
      <c r="O63" s="3">
        <v>3164</v>
      </c>
      <c r="P63">
        <v>0</v>
      </c>
      <c r="Q63">
        <v>1</v>
      </c>
    </row>
    <row r="64" spans="1:17" x14ac:dyDescent="0.25">
      <c r="A64" t="s">
        <v>267</v>
      </c>
      <c r="B64" t="s">
        <v>268</v>
      </c>
      <c r="C64" t="s">
        <v>269</v>
      </c>
      <c r="D64" t="s">
        <v>57</v>
      </c>
      <c r="E64" t="s">
        <v>21</v>
      </c>
      <c r="F64">
        <v>0.61</v>
      </c>
      <c r="G64" s="2">
        <v>3507879.67</v>
      </c>
      <c r="H64" s="1">
        <v>45449</v>
      </c>
      <c r="J64" t="s">
        <v>270</v>
      </c>
      <c r="K64" t="s">
        <v>53</v>
      </c>
      <c r="L64" t="s">
        <v>28</v>
      </c>
      <c r="M64" s="3">
        <v>1828878</v>
      </c>
      <c r="N64">
        <v>40</v>
      </c>
      <c r="O64" s="3">
        <v>3173</v>
      </c>
      <c r="P64">
        <v>0</v>
      </c>
      <c r="Q64">
        <v>0</v>
      </c>
    </row>
    <row r="65" spans="1:17" x14ac:dyDescent="0.25">
      <c r="A65" t="s">
        <v>271</v>
      </c>
      <c r="B65" t="s">
        <v>272</v>
      </c>
      <c r="C65" t="s">
        <v>273</v>
      </c>
      <c r="D65" t="s">
        <v>57</v>
      </c>
      <c r="E65" t="s">
        <v>21</v>
      </c>
      <c r="G65">
        <v>19.71</v>
      </c>
      <c r="H65" t="s">
        <v>274</v>
      </c>
      <c r="J65" t="s">
        <v>23</v>
      </c>
      <c r="L65" t="s">
        <v>24</v>
      </c>
      <c r="M65">
        <v>15</v>
      </c>
      <c r="N65">
        <v>0</v>
      </c>
      <c r="O65">
        <v>5</v>
      </c>
      <c r="P65">
        <v>0</v>
      </c>
      <c r="Q65">
        <v>0</v>
      </c>
    </row>
    <row r="66" spans="1:17" x14ac:dyDescent="0.25">
      <c r="A66" t="s">
        <v>271</v>
      </c>
      <c r="B66" t="s">
        <v>272</v>
      </c>
      <c r="C66" t="s">
        <v>275</v>
      </c>
      <c r="D66" t="s">
        <v>57</v>
      </c>
      <c r="E66" t="s">
        <v>21</v>
      </c>
      <c r="G66">
        <v>19.72</v>
      </c>
      <c r="H66" t="s">
        <v>240</v>
      </c>
      <c r="J66" t="s">
        <v>276</v>
      </c>
      <c r="L66" t="s">
        <v>28</v>
      </c>
      <c r="M66">
        <v>17</v>
      </c>
      <c r="N66">
        <v>0</v>
      </c>
      <c r="O66">
        <v>6</v>
      </c>
      <c r="P66">
        <v>0</v>
      </c>
      <c r="Q66">
        <v>0</v>
      </c>
    </row>
    <row r="67" spans="1:17" x14ac:dyDescent="0.25">
      <c r="A67" t="s">
        <v>277</v>
      </c>
      <c r="B67" t="s">
        <v>278</v>
      </c>
      <c r="C67" t="s">
        <v>279</v>
      </c>
      <c r="D67" t="s">
        <v>57</v>
      </c>
      <c r="E67" t="s">
        <v>21</v>
      </c>
      <c r="F67">
        <v>77.459999999999994</v>
      </c>
      <c r="G67">
        <v>201.57</v>
      </c>
      <c r="H67" t="s">
        <v>280</v>
      </c>
      <c r="J67" t="s">
        <v>23</v>
      </c>
      <c r="L67" t="s">
        <v>24</v>
      </c>
      <c r="M67">
        <v>49</v>
      </c>
      <c r="N67">
        <v>0</v>
      </c>
      <c r="O67">
        <v>3</v>
      </c>
      <c r="P67">
        <v>0</v>
      </c>
      <c r="Q67">
        <v>2</v>
      </c>
    </row>
    <row r="68" spans="1:17" x14ac:dyDescent="0.25">
      <c r="A68" t="s">
        <v>277</v>
      </c>
      <c r="B68" t="s">
        <v>281</v>
      </c>
      <c r="C68" t="s">
        <v>282</v>
      </c>
      <c r="D68" t="s">
        <v>57</v>
      </c>
      <c r="E68" t="s">
        <v>21</v>
      </c>
      <c r="F68">
        <v>922.03</v>
      </c>
      <c r="G68" s="2">
        <v>3389659.71</v>
      </c>
      <c r="H68" t="s">
        <v>248</v>
      </c>
      <c r="J68" t="s">
        <v>283</v>
      </c>
      <c r="K68" t="s">
        <v>53</v>
      </c>
      <c r="L68" t="s">
        <v>24</v>
      </c>
      <c r="M68" s="3">
        <v>1725636</v>
      </c>
      <c r="N68" s="3">
        <v>1339</v>
      </c>
      <c r="O68" s="3">
        <v>3155</v>
      </c>
      <c r="P68">
        <v>0</v>
      </c>
      <c r="Q68">
        <v>0</v>
      </c>
    </row>
    <row r="69" spans="1:17" x14ac:dyDescent="0.25">
      <c r="A69" t="s">
        <v>277</v>
      </c>
      <c r="B69" t="s">
        <v>284</v>
      </c>
      <c r="C69" t="s">
        <v>285</v>
      </c>
      <c r="D69" t="s">
        <v>57</v>
      </c>
      <c r="E69" t="s">
        <v>21</v>
      </c>
      <c r="F69">
        <v>6.47</v>
      </c>
      <c r="G69" s="2">
        <v>3479707.85</v>
      </c>
      <c r="H69" t="s">
        <v>286</v>
      </c>
      <c r="J69" t="s">
        <v>287</v>
      </c>
      <c r="K69" t="s">
        <v>53</v>
      </c>
      <c r="L69" t="s">
        <v>24</v>
      </c>
      <c r="M69" s="3">
        <v>1796085</v>
      </c>
      <c r="N69">
        <v>117</v>
      </c>
      <c r="O69" s="3">
        <v>3161</v>
      </c>
      <c r="P69">
        <v>0</v>
      </c>
      <c r="Q69">
        <v>0</v>
      </c>
    </row>
    <row r="70" spans="1:17" x14ac:dyDescent="0.25">
      <c r="A70" t="s">
        <v>288</v>
      </c>
      <c r="B70" t="s">
        <v>289</v>
      </c>
      <c r="C70" t="s">
        <v>290</v>
      </c>
      <c r="D70" t="s">
        <v>57</v>
      </c>
      <c r="E70" t="s">
        <v>21</v>
      </c>
      <c r="F70">
        <v>0.21</v>
      </c>
      <c r="G70">
        <v>0.21</v>
      </c>
      <c r="H70" t="s">
        <v>291</v>
      </c>
      <c r="J70" t="s">
        <v>23</v>
      </c>
      <c r="L70" t="s">
        <v>28</v>
      </c>
      <c r="M70">
        <v>5</v>
      </c>
      <c r="N70">
        <v>1</v>
      </c>
      <c r="O70">
        <v>3</v>
      </c>
      <c r="P70">
        <v>0</v>
      </c>
      <c r="Q70">
        <v>0</v>
      </c>
    </row>
    <row r="71" spans="1:17" x14ac:dyDescent="0.25">
      <c r="A71" t="s">
        <v>292</v>
      </c>
      <c r="B71" t="s">
        <v>293</v>
      </c>
      <c r="C71" t="s">
        <v>294</v>
      </c>
      <c r="D71" t="s">
        <v>57</v>
      </c>
      <c r="E71" t="s">
        <v>21</v>
      </c>
      <c r="F71">
        <v>581.67999999999995</v>
      </c>
      <c r="G71" s="2">
        <v>4034456.57</v>
      </c>
      <c r="H71" t="s">
        <v>295</v>
      </c>
      <c r="J71" t="s">
        <v>296</v>
      </c>
      <c r="K71" t="s">
        <v>53</v>
      </c>
      <c r="L71" t="s">
        <v>24</v>
      </c>
      <c r="M71" s="3">
        <v>1855432</v>
      </c>
      <c r="N71">
        <v>527</v>
      </c>
      <c r="O71" s="3">
        <v>3176</v>
      </c>
      <c r="P71">
        <v>0</v>
      </c>
      <c r="Q71">
        <v>2</v>
      </c>
    </row>
    <row r="72" spans="1:17" x14ac:dyDescent="0.25">
      <c r="A72" t="s">
        <v>297</v>
      </c>
      <c r="B72" t="s">
        <v>298</v>
      </c>
      <c r="C72" t="s">
        <v>299</v>
      </c>
      <c r="D72" t="s">
        <v>57</v>
      </c>
      <c r="E72" t="s">
        <v>21</v>
      </c>
      <c r="F72">
        <v>52.88</v>
      </c>
      <c r="G72">
        <v>52.88</v>
      </c>
      <c r="H72" s="1">
        <v>45940</v>
      </c>
      <c r="J72" t="s">
        <v>23</v>
      </c>
      <c r="L72" t="s">
        <v>28</v>
      </c>
      <c r="M72">
        <v>12</v>
      </c>
      <c r="N72">
        <v>0</v>
      </c>
      <c r="O72">
        <v>3</v>
      </c>
      <c r="P72">
        <v>0</v>
      </c>
      <c r="Q72">
        <v>1</v>
      </c>
    </row>
    <row r="73" spans="1:17" x14ac:dyDescent="0.25">
      <c r="A73" t="s">
        <v>300</v>
      </c>
      <c r="B73" t="s">
        <v>301</v>
      </c>
      <c r="C73" t="s">
        <v>302</v>
      </c>
      <c r="D73" t="s">
        <v>57</v>
      </c>
      <c r="E73" t="s">
        <v>21</v>
      </c>
      <c r="G73" s="3">
        <v>19378</v>
      </c>
      <c r="H73" t="s">
        <v>303</v>
      </c>
      <c r="J73" t="s">
        <v>23</v>
      </c>
      <c r="L73" t="s">
        <v>24</v>
      </c>
      <c r="M73" s="3">
        <v>73904</v>
      </c>
      <c r="N73">
        <v>0</v>
      </c>
      <c r="O73">
        <v>3</v>
      </c>
      <c r="P73">
        <v>0</v>
      </c>
      <c r="Q73">
        <v>5</v>
      </c>
    </row>
    <row r="74" spans="1:17" x14ac:dyDescent="0.25">
      <c r="A74" t="s">
        <v>304</v>
      </c>
      <c r="B74" t="s">
        <v>305</v>
      </c>
      <c r="C74" t="s">
        <v>306</v>
      </c>
      <c r="D74" t="s">
        <v>57</v>
      </c>
      <c r="E74" t="s">
        <v>21</v>
      </c>
      <c r="G74" s="2">
        <v>920892.68</v>
      </c>
      <c r="H74" s="1">
        <v>45756</v>
      </c>
      <c r="J74" t="s">
        <v>23</v>
      </c>
      <c r="L74" t="s">
        <v>28</v>
      </c>
      <c r="M74" s="3">
        <v>614286</v>
      </c>
      <c r="N74">
        <v>0</v>
      </c>
      <c r="O74" s="3">
        <v>2540</v>
      </c>
      <c r="P74">
        <v>0</v>
      </c>
      <c r="Q74">
        <v>0</v>
      </c>
    </row>
    <row r="75" spans="1:17" x14ac:dyDescent="0.25">
      <c r="A75" t="s">
        <v>307</v>
      </c>
      <c r="B75" t="s">
        <v>308</v>
      </c>
      <c r="C75" t="s">
        <v>309</v>
      </c>
      <c r="D75" t="s">
        <v>57</v>
      </c>
      <c r="E75" t="s">
        <v>21</v>
      </c>
      <c r="F75" s="3">
        <v>22606</v>
      </c>
      <c r="G75" s="2">
        <v>3942365.13</v>
      </c>
      <c r="H75" t="s">
        <v>310</v>
      </c>
      <c r="J75" t="s">
        <v>311</v>
      </c>
      <c r="K75" t="s">
        <v>53</v>
      </c>
      <c r="L75" t="s">
        <v>24</v>
      </c>
      <c r="M75" s="3">
        <v>1760445</v>
      </c>
      <c r="N75" s="3">
        <v>1037</v>
      </c>
      <c r="O75" s="3">
        <v>3161</v>
      </c>
      <c r="P75">
        <v>2</v>
      </c>
      <c r="Q75">
        <v>3</v>
      </c>
    </row>
    <row r="76" spans="1:17" x14ac:dyDescent="0.25">
      <c r="A76" t="s">
        <v>312</v>
      </c>
      <c r="B76" t="s">
        <v>313</v>
      </c>
      <c r="C76" t="s">
        <v>314</v>
      </c>
      <c r="D76" t="s">
        <v>57</v>
      </c>
      <c r="E76" t="s">
        <v>21</v>
      </c>
      <c r="F76">
        <v>315.39999999999998</v>
      </c>
      <c r="G76" s="2">
        <v>2699835.97</v>
      </c>
      <c r="H76" t="s">
        <v>315</v>
      </c>
      <c r="J76" t="s">
        <v>316</v>
      </c>
      <c r="L76" t="s">
        <v>24</v>
      </c>
      <c r="M76" s="3">
        <v>1446813</v>
      </c>
      <c r="N76">
        <v>157</v>
      </c>
      <c r="O76" s="3">
        <v>2984</v>
      </c>
      <c r="P76">
        <v>0</v>
      </c>
      <c r="Q76">
        <v>0</v>
      </c>
    </row>
    <row r="77" spans="1:17" x14ac:dyDescent="0.25">
      <c r="A77" t="s">
        <v>312</v>
      </c>
      <c r="B77" t="s">
        <v>317</v>
      </c>
      <c r="C77" t="s">
        <v>318</v>
      </c>
      <c r="D77" t="s">
        <v>57</v>
      </c>
      <c r="E77" t="s">
        <v>21</v>
      </c>
      <c r="F77" s="2">
        <v>4142.87</v>
      </c>
      <c r="G77" s="2">
        <v>3401772.94</v>
      </c>
      <c r="H77" t="s">
        <v>51</v>
      </c>
      <c r="J77" t="s">
        <v>319</v>
      </c>
      <c r="K77" t="s">
        <v>53</v>
      </c>
      <c r="L77" t="s">
        <v>28</v>
      </c>
      <c r="M77" s="3">
        <v>1729620</v>
      </c>
      <c r="N77">
        <v>120</v>
      </c>
      <c r="O77" s="3">
        <v>3163</v>
      </c>
      <c r="P77">
        <v>2</v>
      </c>
      <c r="Q77">
        <v>2</v>
      </c>
    </row>
    <row r="78" spans="1:17" x14ac:dyDescent="0.25">
      <c r="A78" t="s">
        <v>17</v>
      </c>
      <c r="B78" t="s">
        <v>320</v>
      </c>
      <c r="C78" t="s">
        <v>321</v>
      </c>
      <c r="D78" t="s">
        <v>57</v>
      </c>
      <c r="E78" t="s">
        <v>21</v>
      </c>
      <c r="F78" s="2">
        <v>33682.07</v>
      </c>
      <c r="G78" s="3">
        <v>4076467</v>
      </c>
      <c r="H78" t="s">
        <v>51</v>
      </c>
      <c r="J78" t="s">
        <v>322</v>
      </c>
      <c r="K78" t="s">
        <v>53</v>
      </c>
      <c r="L78" t="s">
        <v>28</v>
      </c>
      <c r="M78" s="3">
        <v>1865220</v>
      </c>
      <c r="N78" s="3">
        <v>7644</v>
      </c>
      <c r="O78" s="3">
        <v>3179</v>
      </c>
      <c r="P78">
        <v>2</v>
      </c>
      <c r="Q78">
        <v>1</v>
      </c>
    </row>
    <row r="79" spans="1:17" x14ac:dyDescent="0.25">
      <c r="A79" t="s">
        <v>17</v>
      </c>
      <c r="B79" t="s">
        <v>323</v>
      </c>
      <c r="C79" t="s">
        <v>324</v>
      </c>
      <c r="D79" t="s">
        <v>57</v>
      </c>
      <c r="E79" t="s">
        <v>21</v>
      </c>
      <c r="G79">
        <v>0</v>
      </c>
      <c r="H79" s="1">
        <v>45877</v>
      </c>
      <c r="J79" t="s">
        <v>23</v>
      </c>
      <c r="L79" t="s">
        <v>28</v>
      </c>
      <c r="M79">
        <v>4</v>
      </c>
      <c r="N79">
        <v>0</v>
      </c>
      <c r="O79">
        <v>3</v>
      </c>
      <c r="P79">
        <v>0</v>
      </c>
      <c r="Q79">
        <v>0</v>
      </c>
    </row>
    <row r="80" spans="1:17" x14ac:dyDescent="0.25">
      <c r="A80" t="s">
        <v>325</v>
      </c>
      <c r="B80" t="s">
        <v>326</v>
      </c>
      <c r="C80" t="s">
        <v>327</v>
      </c>
      <c r="D80" t="s">
        <v>57</v>
      </c>
      <c r="E80" t="s">
        <v>21</v>
      </c>
      <c r="F80">
        <v>419.42</v>
      </c>
      <c r="G80" s="2">
        <v>3514164.22</v>
      </c>
      <c r="H80" t="s">
        <v>328</v>
      </c>
      <c r="J80" t="s">
        <v>329</v>
      </c>
      <c r="K80" t="s">
        <v>53</v>
      </c>
      <c r="L80" t="s">
        <v>24</v>
      </c>
      <c r="M80" s="3">
        <v>1830092</v>
      </c>
      <c r="N80">
        <v>196</v>
      </c>
      <c r="O80" s="3">
        <v>3171</v>
      </c>
      <c r="P80">
        <v>0</v>
      </c>
      <c r="Q80">
        <v>0</v>
      </c>
    </row>
    <row r="81" spans="1:17" x14ac:dyDescent="0.25">
      <c r="A81" t="s">
        <v>325</v>
      </c>
      <c r="B81" t="s">
        <v>330</v>
      </c>
      <c r="C81" t="s">
        <v>331</v>
      </c>
      <c r="D81" t="s">
        <v>57</v>
      </c>
      <c r="E81" t="s">
        <v>21</v>
      </c>
      <c r="F81">
        <v>102.79</v>
      </c>
      <c r="G81" s="2">
        <v>10107.41</v>
      </c>
      <c r="H81" s="1">
        <v>44752</v>
      </c>
      <c r="J81" t="s">
        <v>23</v>
      </c>
      <c r="L81" t="s">
        <v>24</v>
      </c>
      <c r="M81" s="3">
        <v>10410</v>
      </c>
      <c r="N81">
        <v>66</v>
      </c>
      <c r="O81">
        <v>3</v>
      </c>
      <c r="P81">
        <v>0</v>
      </c>
      <c r="Q81">
        <v>12</v>
      </c>
    </row>
    <row r="82" spans="1:17" x14ac:dyDescent="0.25">
      <c r="A82" t="s">
        <v>325</v>
      </c>
      <c r="B82" t="s">
        <v>332</v>
      </c>
      <c r="C82" t="s">
        <v>333</v>
      </c>
      <c r="D82" t="s">
        <v>57</v>
      </c>
      <c r="E82" t="s">
        <v>21</v>
      </c>
      <c r="F82">
        <v>308.41000000000003</v>
      </c>
      <c r="G82" s="2">
        <v>1901151.07</v>
      </c>
      <c r="H82" t="s">
        <v>51</v>
      </c>
      <c r="J82" t="s">
        <v>334</v>
      </c>
      <c r="K82" t="s">
        <v>53</v>
      </c>
      <c r="L82" t="s">
        <v>28</v>
      </c>
      <c r="M82" s="3">
        <v>977269</v>
      </c>
      <c r="N82">
        <v>756</v>
      </c>
      <c r="O82" s="3">
        <v>2725</v>
      </c>
      <c r="P82">
        <v>0</v>
      </c>
      <c r="Q82">
        <v>2</v>
      </c>
    </row>
    <row r="83" spans="1:17" x14ac:dyDescent="0.25">
      <c r="A83" t="s">
        <v>325</v>
      </c>
      <c r="B83" t="s">
        <v>335</v>
      </c>
      <c r="C83" t="s">
        <v>336</v>
      </c>
      <c r="D83" t="s">
        <v>57</v>
      </c>
      <c r="E83" t="s">
        <v>21</v>
      </c>
      <c r="F83">
        <v>112.43</v>
      </c>
      <c r="G83" s="2">
        <v>3043142.65</v>
      </c>
      <c r="H83" t="s">
        <v>337</v>
      </c>
      <c r="J83" t="s">
        <v>338</v>
      </c>
      <c r="L83" t="s">
        <v>24</v>
      </c>
      <c r="M83" s="3">
        <v>1541491</v>
      </c>
      <c r="N83">
        <v>29</v>
      </c>
      <c r="O83" s="3">
        <v>3045</v>
      </c>
      <c r="P83">
        <v>0</v>
      </c>
      <c r="Q83">
        <v>1</v>
      </c>
    </row>
    <row r="84" spans="1:17" x14ac:dyDescent="0.25">
      <c r="A84" t="s">
        <v>339</v>
      </c>
      <c r="B84" t="s">
        <v>340</v>
      </c>
      <c r="C84" t="s">
        <v>341</v>
      </c>
      <c r="D84" t="s">
        <v>57</v>
      </c>
      <c r="E84" t="s">
        <v>21</v>
      </c>
      <c r="F84">
        <v>495.29</v>
      </c>
      <c r="G84" s="2">
        <v>1901318.55</v>
      </c>
      <c r="H84" s="1">
        <v>45932</v>
      </c>
      <c r="J84" t="s">
        <v>342</v>
      </c>
      <c r="L84" t="s">
        <v>28</v>
      </c>
      <c r="M84" s="3">
        <v>977340</v>
      </c>
      <c r="N84">
        <v>862</v>
      </c>
      <c r="O84" s="3">
        <v>2725</v>
      </c>
      <c r="P84">
        <v>0</v>
      </c>
      <c r="Q84">
        <v>0</v>
      </c>
    </row>
    <row r="85" spans="1:17" x14ac:dyDescent="0.25">
      <c r="A85" t="s">
        <v>343</v>
      </c>
      <c r="B85" t="s">
        <v>344</v>
      </c>
      <c r="C85" t="s">
        <v>345</v>
      </c>
      <c r="D85" t="s">
        <v>57</v>
      </c>
      <c r="E85" t="s">
        <v>21</v>
      </c>
      <c r="F85">
        <v>5.67</v>
      </c>
      <c r="G85" s="2">
        <v>2327685.14</v>
      </c>
      <c r="H85" s="1">
        <v>44986</v>
      </c>
      <c r="J85" t="s">
        <v>346</v>
      </c>
      <c r="K85" t="s">
        <v>53</v>
      </c>
      <c r="L85" t="s">
        <v>24</v>
      </c>
      <c r="M85" s="3">
        <v>1317063</v>
      </c>
      <c r="N85">
        <v>61</v>
      </c>
      <c r="O85" s="3">
        <v>2903</v>
      </c>
      <c r="P85">
        <v>0</v>
      </c>
      <c r="Q85">
        <v>0</v>
      </c>
    </row>
    <row r="86" spans="1:17" x14ac:dyDescent="0.25">
      <c r="A86" t="s">
        <v>347</v>
      </c>
      <c r="B86" t="s">
        <v>348</v>
      </c>
      <c r="C86" t="s">
        <v>349</v>
      </c>
      <c r="D86" t="s">
        <v>57</v>
      </c>
      <c r="E86" t="s">
        <v>21</v>
      </c>
      <c r="F86" s="2">
        <v>100262.82</v>
      </c>
      <c r="G86" s="2">
        <v>3496247.47</v>
      </c>
      <c r="H86" t="s">
        <v>350</v>
      </c>
      <c r="J86" t="s">
        <v>351</v>
      </c>
      <c r="K86" t="s">
        <v>53</v>
      </c>
      <c r="L86" t="s">
        <v>24</v>
      </c>
      <c r="M86" s="3">
        <v>1755295</v>
      </c>
      <c r="N86" s="3">
        <v>29337</v>
      </c>
      <c r="O86" s="3">
        <v>3156</v>
      </c>
      <c r="P86">
        <v>3</v>
      </c>
      <c r="Q86">
        <v>1</v>
      </c>
    </row>
    <row r="87" spans="1:17" x14ac:dyDescent="0.25">
      <c r="A87" t="s">
        <v>352</v>
      </c>
      <c r="B87" t="s">
        <v>353</v>
      </c>
      <c r="C87" t="s">
        <v>354</v>
      </c>
      <c r="D87" t="s">
        <v>57</v>
      </c>
      <c r="E87" t="s">
        <v>21</v>
      </c>
      <c r="F87">
        <v>205.1</v>
      </c>
      <c r="G87" s="2">
        <v>2328273.56</v>
      </c>
      <c r="H87" t="s">
        <v>355</v>
      </c>
      <c r="J87" t="s">
        <v>356</v>
      </c>
      <c r="K87" t="s">
        <v>53</v>
      </c>
      <c r="L87" t="s">
        <v>28</v>
      </c>
      <c r="M87" s="3">
        <v>1317160</v>
      </c>
      <c r="N87">
        <v>96</v>
      </c>
      <c r="O87" s="3">
        <v>2904</v>
      </c>
      <c r="P87">
        <v>0</v>
      </c>
      <c r="Q87">
        <v>0</v>
      </c>
    </row>
    <row r="88" spans="1:17" x14ac:dyDescent="0.25">
      <c r="A88" t="s">
        <v>352</v>
      </c>
      <c r="B88" t="s">
        <v>357</v>
      </c>
      <c r="C88" t="s">
        <v>358</v>
      </c>
      <c r="D88" t="s">
        <v>57</v>
      </c>
      <c r="E88" t="s">
        <v>21</v>
      </c>
      <c r="G88" s="2">
        <v>1659315.58</v>
      </c>
      <c r="H88" s="1">
        <v>45963</v>
      </c>
      <c r="J88" t="s">
        <v>359</v>
      </c>
      <c r="L88" t="s">
        <v>28</v>
      </c>
      <c r="M88" s="3">
        <v>829915</v>
      </c>
      <c r="N88">
        <v>0</v>
      </c>
      <c r="O88" s="3">
        <v>2605</v>
      </c>
      <c r="P88">
        <v>0</v>
      </c>
      <c r="Q88">
        <v>1</v>
      </c>
    </row>
    <row r="89" spans="1:17" x14ac:dyDescent="0.25">
      <c r="A89" t="s">
        <v>352</v>
      </c>
      <c r="B89" t="s">
        <v>360</v>
      </c>
      <c r="C89" t="s">
        <v>361</v>
      </c>
      <c r="D89" t="s">
        <v>57</v>
      </c>
      <c r="E89" t="s">
        <v>21</v>
      </c>
      <c r="G89">
        <v>0</v>
      </c>
      <c r="H89" t="s">
        <v>240</v>
      </c>
      <c r="J89" t="s">
        <v>23</v>
      </c>
      <c r="L89" t="s">
        <v>28</v>
      </c>
      <c r="M89">
        <v>4</v>
      </c>
      <c r="N89">
        <v>0</v>
      </c>
      <c r="O89">
        <v>3</v>
      </c>
      <c r="P89">
        <v>0</v>
      </c>
      <c r="Q89">
        <v>0</v>
      </c>
    </row>
    <row r="90" spans="1:17" x14ac:dyDescent="0.25">
      <c r="A90" t="s">
        <v>352</v>
      </c>
      <c r="B90" t="s">
        <v>362</v>
      </c>
      <c r="C90" t="s">
        <v>363</v>
      </c>
      <c r="D90" t="s">
        <v>57</v>
      </c>
      <c r="E90" t="s">
        <v>21</v>
      </c>
      <c r="F90" s="2">
        <v>8122.76</v>
      </c>
      <c r="G90" s="2">
        <v>8177.83</v>
      </c>
      <c r="H90" s="1">
        <v>44176</v>
      </c>
      <c r="J90" t="s">
        <v>23</v>
      </c>
      <c r="L90" t="s">
        <v>28</v>
      </c>
      <c r="M90" s="3">
        <v>1901</v>
      </c>
      <c r="N90">
        <v>151</v>
      </c>
      <c r="O90">
        <v>3</v>
      </c>
      <c r="P90">
        <v>6</v>
      </c>
      <c r="Q90">
        <v>7</v>
      </c>
    </row>
    <row r="91" spans="1:17" x14ac:dyDescent="0.25">
      <c r="A91" t="s">
        <v>352</v>
      </c>
      <c r="B91" t="s">
        <v>364</v>
      </c>
      <c r="C91" t="s">
        <v>365</v>
      </c>
      <c r="D91" t="s">
        <v>57</v>
      </c>
      <c r="E91" t="s">
        <v>21</v>
      </c>
      <c r="F91">
        <v>165.61</v>
      </c>
      <c r="G91" s="2">
        <v>3388903.29</v>
      </c>
      <c r="H91" t="s">
        <v>366</v>
      </c>
      <c r="J91" t="s">
        <v>367</v>
      </c>
      <c r="K91" t="s">
        <v>53</v>
      </c>
      <c r="L91" t="s">
        <v>24</v>
      </c>
      <c r="M91" s="3">
        <v>1724333</v>
      </c>
      <c r="N91">
        <v>36</v>
      </c>
      <c r="O91" s="3">
        <v>3155</v>
      </c>
      <c r="P91">
        <v>0</v>
      </c>
      <c r="Q91">
        <v>0</v>
      </c>
    </row>
    <row r="92" spans="1:17" x14ac:dyDescent="0.25">
      <c r="A92" t="s">
        <v>352</v>
      </c>
      <c r="B92" t="s">
        <v>368</v>
      </c>
      <c r="C92" t="s">
        <v>369</v>
      </c>
      <c r="D92" t="s">
        <v>57</v>
      </c>
      <c r="E92" t="s">
        <v>21</v>
      </c>
      <c r="F92">
        <v>327.07</v>
      </c>
      <c r="G92">
        <v>436.05</v>
      </c>
      <c r="H92" t="s">
        <v>370</v>
      </c>
      <c r="J92" t="s">
        <v>23</v>
      </c>
      <c r="L92" t="s">
        <v>28</v>
      </c>
      <c r="M92">
        <v>45</v>
      </c>
      <c r="N92">
        <v>2</v>
      </c>
      <c r="O92">
        <v>3</v>
      </c>
      <c r="P92">
        <v>0</v>
      </c>
      <c r="Q92">
        <v>3</v>
      </c>
    </row>
    <row r="93" spans="1:17" x14ac:dyDescent="0.25">
      <c r="A93" t="s">
        <v>371</v>
      </c>
      <c r="B93" t="s">
        <v>372</v>
      </c>
      <c r="C93" t="s">
        <v>373</v>
      </c>
      <c r="D93" t="s">
        <v>57</v>
      </c>
      <c r="E93" t="s">
        <v>21</v>
      </c>
      <c r="G93" s="2">
        <v>1435.46</v>
      </c>
      <c r="H93" t="s">
        <v>374</v>
      </c>
      <c r="J93" t="s">
        <v>23</v>
      </c>
      <c r="L93" t="s">
        <v>28</v>
      </c>
      <c r="M93">
        <v>241</v>
      </c>
      <c r="N93">
        <v>0</v>
      </c>
      <c r="O93">
        <v>3</v>
      </c>
      <c r="P93">
        <v>0</v>
      </c>
      <c r="Q93">
        <v>2</v>
      </c>
    </row>
    <row r="94" spans="1:17" x14ac:dyDescent="0.25">
      <c r="A94" t="s">
        <v>375</v>
      </c>
      <c r="B94" t="s">
        <v>376</v>
      </c>
      <c r="C94" t="s">
        <v>377</v>
      </c>
      <c r="D94" t="s">
        <v>57</v>
      </c>
      <c r="E94" t="s">
        <v>21</v>
      </c>
      <c r="G94">
        <v>0</v>
      </c>
      <c r="H94" t="s">
        <v>378</v>
      </c>
      <c r="J94" t="s">
        <v>23</v>
      </c>
      <c r="L94" t="s">
        <v>28</v>
      </c>
      <c r="M94">
        <v>4</v>
      </c>
      <c r="N94">
        <v>0</v>
      </c>
      <c r="O94">
        <v>3</v>
      </c>
      <c r="P94">
        <v>0</v>
      </c>
      <c r="Q94">
        <v>0</v>
      </c>
    </row>
    <row r="95" spans="1:17" x14ac:dyDescent="0.25">
      <c r="A95" t="s">
        <v>379</v>
      </c>
      <c r="B95" t="s">
        <v>380</v>
      </c>
      <c r="C95" t="s">
        <v>381</v>
      </c>
      <c r="D95" t="s">
        <v>57</v>
      </c>
      <c r="E95" t="s">
        <v>21</v>
      </c>
      <c r="G95">
        <v>19.72</v>
      </c>
      <c r="H95" t="s">
        <v>63</v>
      </c>
      <c r="J95" t="s">
        <v>276</v>
      </c>
      <c r="L95" t="s">
        <v>24</v>
      </c>
      <c r="M95">
        <v>17</v>
      </c>
      <c r="N95">
        <v>0</v>
      </c>
      <c r="O95">
        <v>6</v>
      </c>
      <c r="P95">
        <v>0</v>
      </c>
      <c r="Q95">
        <v>0</v>
      </c>
    </row>
    <row r="96" spans="1:17" x14ac:dyDescent="0.25">
      <c r="A96" t="s">
        <v>382</v>
      </c>
      <c r="B96" t="s">
        <v>383</v>
      </c>
      <c r="C96" t="s">
        <v>384</v>
      </c>
      <c r="D96" t="s">
        <v>57</v>
      </c>
      <c r="E96" t="s">
        <v>21</v>
      </c>
      <c r="G96">
        <v>80.98</v>
      </c>
      <c r="H96" t="s">
        <v>199</v>
      </c>
      <c r="J96" t="s">
        <v>23</v>
      </c>
      <c r="L96" t="s">
        <v>28</v>
      </c>
      <c r="M96">
        <v>7</v>
      </c>
      <c r="N96">
        <v>0</v>
      </c>
      <c r="O96">
        <v>3</v>
      </c>
      <c r="P96">
        <v>0</v>
      </c>
      <c r="Q96">
        <v>1</v>
      </c>
    </row>
    <row r="97" spans="1:17" x14ac:dyDescent="0.25">
      <c r="A97" t="s">
        <v>385</v>
      </c>
      <c r="B97" t="s">
        <v>386</v>
      </c>
      <c r="C97" t="s">
        <v>387</v>
      </c>
      <c r="D97" t="s">
        <v>57</v>
      </c>
      <c r="E97" t="s">
        <v>21</v>
      </c>
      <c r="G97" s="2">
        <v>2327679.5099999998</v>
      </c>
      <c r="H97" t="s">
        <v>388</v>
      </c>
      <c r="J97" t="s">
        <v>389</v>
      </c>
      <c r="K97" t="s">
        <v>53</v>
      </c>
      <c r="L97" t="s">
        <v>24</v>
      </c>
      <c r="M97" s="3">
        <v>1317017</v>
      </c>
      <c r="N97">
        <v>0</v>
      </c>
      <c r="O97" s="3">
        <v>2904</v>
      </c>
      <c r="P97">
        <v>0</v>
      </c>
      <c r="Q97">
        <v>0</v>
      </c>
    </row>
    <row r="98" spans="1:17" x14ac:dyDescent="0.25">
      <c r="A98" t="s">
        <v>390</v>
      </c>
      <c r="B98" t="s">
        <v>391</v>
      </c>
      <c r="C98" t="s">
        <v>392</v>
      </c>
      <c r="D98" t="s">
        <v>57</v>
      </c>
      <c r="E98" t="s">
        <v>21</v>
      </c>
      <c r="G98" s="2">
        <v>1564942.74</v>
      </c>
      <c r="H98" s="1">
        <v>45849</v>
      </c>
      <c r="J98" t="s">
        <v>393</v>
      </c>
      <c r="L98" t="s">
        <v>28</v>
      </c>
      <c r="M98" s="3">
        <v>1130442</v>
      </c>
      <c r="N98">
        <v>0</v>
      </c>
      <c r="O98" s="3">
        <v>2776</v>
      </c>
      <c r="P98">
        <v>0</v>
      </c>
      <c r="Q98">
        <v>0</v>
      </c>
    </row>
    <row r="99" spans="1:17" x14ac:dyDescent="0.25">
      <c r="A99" t="s">
        <v>394</v>
      </c>
      <c r="B99" t="s">
        <v>395</v>
      </c>
      <c r="C99" t="s">
        <v>396</v>
      </c>
      <c r="D99" t="s">
        <v>57</v>
      </c>
      <c r="E99" t="s">
        <v>21</v>
      </c>
      <c r="G99" s="2">
        <v>93390.78</v>
      </c>
      <c r="H99" s="1">
        <v>45758</v>
      </c>
      <c r="J99" t="s">
        <v>23</v>
      </c>
      <c r="L99" t="s">
        <v>28</v>
      </c>
      <c r="M99" s="3">
        <v>80188</v>
      </c>
      <c r="N99">
        <v>0</v>
      </c>
      <c r="O99">
        <v>7</v>
      </c>
      <c r="P99">
        <v>0</v>
      </c>
      <c r="Q99">
        <v>0</v>
      </c>
    </row>
    <row r="100" spans="1:17" x14ac:dyDescent="0.25">
      <c r="A100" t="s">
        <v>397</v>
      </c>
      <c r="B100" t="s">
        <v>398</v>
      </c>
      <c r="C100" t="s">
        <v>399</v>
      </c>
      <c r="D100" t="s">
        <v>57</v>
      </c>
      <c r="E100" t="s">
        <v>21</v>
      </c>
      <c r="F100">
        <v>487.31</v>
      </c>
      <c r="G100" s="2">
        <v>3389249.86</v>
      </c>
      <c r="H100" s="1">
        <v>44417</v>
      </c>
      <c r="J100" t="s">
        <v>400</v>
      </c>
      <c r="L100" t="s">
        <v>24</v>
      </c>
      <c r="M100" s="3">
        <v>1725210</v>
      </c>
      <c r="N100">
        <v>339</v>
      </c>
      <c r="O100" s="3">
        <v>3159</v>
      </c>
      <c r="P100">
        <v>0</v>
      </c>
      <c r="Q100">
        <v>0</v>
      </c>
    </row>
    <row r="101" spans="1:17" x14ac:dyDescent="0.25">
      <c r="A101" t="s">
        <v>401</v>
      </c>
      <c r="B101" t="s">
        <v>402</v>
      </c>
      <c r="C101" t="s">
        <v>403</v>
      </c>
      <c r="D101" t="s">
        <v>57</v>
      </c>
      <c r="E101" t="s">
        <v>21</v>
      </c>
      <c r="G101" s="3">
        <v>19378</v>
      </c>
      <c r="H101" s="1">
        <v>45571</v>
      </c>
      <c r="J101" t="s">
        <v>23</v>
      </c>
      <c r="L101" t="s">
        <v>28</v>
      </c>
      <c r="M101" s="3">
        <v>73906</v>
      </c>
      <c r="N101">
        <v>2</v>
      </c>
      <c r="O101">
        <v>3</v>
      </c>
      <c r="P101">
        <v>0</v>
      </c>
      <c r="Q101">
        <v>5</v>
      </c>
    </row>
    <row r="102" spans="1:17" x14ac:dyDescent="0.25">
      <c r="A102" t="s">
        <v>404</v>
      </c>
      <c r="B102" t="s">
        <v>405</v>
      </c>
      <c r="C102" t="s">
        <v>406</v>
      </c>
      <c r="D102" t="s">
        <v>57</v>
      </c>
      <c r="E102" t="s">
        <v>21</v>
      </c>
      <c r="G102" s="2">
        <v>23422.639999999999</v>
      </c>
      <c r="H102" t="s">
        <v>407</v>
      </c>
      <c r="J102" t="s">
        <v>23</v>
      </c>
      <c r="L102" t="s">
        <v>28</v>
      </c>
      <c r="M102" s="3">
        <v>5908</v>
      </c>
      <c r="N102">
        <v>0</v>
      </c>
      <c r="O102">
        <v>4</v>
      </c>
      <c r="P102">
        <v>4</v>
      </c>
      <c r="Q102">
        <v>0</v>
      </c>
    </row>
    <row r="103" spans="1:17" x14ac:dyDescent="0.25">
      <c r="A103" t="s">
        <v>408</v>
      </c>
      <c r="B103" t="s">
        <v>409</v>
      </c>
      <c r="C103" t="s">
        <v>410</v>
      </c>
      <c r="D103" t="s">
        <v>57</v>
      </c>
      <c r="E103" t="s">
        <v>21</v>
      </c>
      <c r="F103" s="2">
        <v>19531.919999999998</v>
      </c>
      <c r="G103" s="2">
        <v>3409425.92</v>
      </c>
      <c r="H103" s="1">
        <v>44450</v>
      </c>
      <c r="J103" t="s">
        <v>411</v>
      </c>
      <c r="K103" t="s">
        <v>53</v>
      </c>
      <c r="L103" t="s">
        <v>24</v>
      </c>
      <c r="M103" s="3">
        <v>1729005</v>
      </c>
      <c r="N103">
        <v>12</v>
      </c>
      <c r="O103" s="3">
        <v>3155</v>
      </c>
      <c r="P103">
        <v>14</v>
      </c>
      <c r="Q103">
        <v>1</v>
      </c>
    </row>
    <row r="104" spans="1:17" x14ac:dyDescent="0.25">
      <c r="A104" t="s">
        <v>412</v>
      </c>
      <c r="B104" t="s">
        <v>413</v>
      </c>
      <c r="C104" t="s">
        <v>414</v>
      </c>
      <c r="D104" t="s">
        <v>57</v>
      </c>
      <c r="E104" t="s">
        <v>21</v>
      </c>
      <c r="F104">
        <v>1.54</v>
      </c>
      <c r="G104">
        <v>21.26</v>
      </c>
      <c r="H104" s="1">
        <v>45963</v>
      </c>
      <c r="J104" t="s">
        <v>276</v>
      </c>
      <c r="L104" t="s">
        <v>24</v>
      </c>
      <c r="M104">
        <v>23</v>
      </c>
      <c r="N104">
        <v>6</v>
      </c>
      <c r="O104">
        <v>6</v>
      </c>
      <c r="P104">
        <v>0</v>
      </c>
      <c r="Q104">
        <v>0</v>
      </c>
    </row>
    <row r="105" spans="1:17" x14ac:dyDescent="0.25">
      <c r="A105" t="s">
        <v>415</v>
      </c>
      <c r="B105" t="s">
        <v>416</v>
      </c>
      <c r="C105" t="s">
        <v>417</v>
      </c>
      <c r="D105" t="s">
        <v>57</v>
      </c>
      <c r="E105" t="s">
        <v>21</v>
      </c>
      <c r="F105" s="2">
        <v>2874.73</v>
      </c>
      <c r="G105" s="2">
        <v>2874.73</v>
      </c>
      <c r="H105" t="s">
        <v>418</v>
      </c>
      <c r="J105" t="s">
        <v>23</v>
      </c>
      <c r="L105" t="s">
        <v>28</v>
      </c>
      <c r="M105">
        <v>610</v>
      </c>
      <c r="N105">
        <v>0</v>
      </c>
      <c r="O105">
        <v>3</v>
      </c>
      <c r="P105">
        <v>9</v>
      </c>
      <c r="Q105">
        <v>0</v>
      </c>
    </row>
    <row r="106" spans="1:17" x14ac:dyDescent="0.25">
      <c r="A106" t="s">
        <v>419</v>
      </c>
      <c r="B106" t="s">
        <v>420</v>
      </c>
      <c r="C106" t="s">
        <v>421</v>
      </c>
      <c r="D106" t="s">
        <v>57</v>
      </c>
      <c r="E106" t="s">
        <v>21</v>
      </c>
      <c r="F106">
        <v>332.41</v>
      </c>
      <c r="G106">
        <v>332.41</v>
      </c>
      <c r="H106" t="s">
        <v>422</v>
      </c>
      <c r="J106" t="s">
        <v>23</v>
      </c>
      <c r="L106" t="s">
        <v>24</v>
      </c>
      <c r="M106">
        <v>15</v>
      </c>
      <c r="N106">
        <v>0</v>
      </c>
      <c r="O106">
        <v>3</v>
      </c>
      <c r="P106">
        <v>1</v>
      </c>
      <c r="Q106">
        <v>4</v>
      </c>
    </row>
    <row r="107" spans="1:17" x14ac:dyDescent="0.25">
      <c r="A107" t="s">
        <v>423</v>
      </c>
      <c r="B107" t="s">
        <v>424</v>
      </c>
      <c r="C107" t="s">
        <v>425</v>
      </c>
      <c r="D107" t="s">
        <v>57</v>
      </c>
      <c r="E107" t="s">
        <v>21</v>
      </c>
      <c r="F107" s="2">
        <v>10688.46</v>
      </c>
      <c r="G107" s="2">
        <v>30000.06</v>
      </c>
      <c r="H107" t="s">
        <v>426</v>
      </c>
      <c r="J107" t="s">
        <v>427</v>
      </c>
      <c r="L107" t="s">
        <v>24</v>
      </c>
      <c r="M107" s="3">
        <v>22939</v>
      </c>
      <c r="N107" s="3">
        <v>5399</v>
      </c>
      <c r="O107">
        <v>13</v>
      </c>
      <c r="P107">
        <v>0</v>
      </c>
      <c r="Q107">
        <v>10</v>
      </c>
    </row>
    <row r="108" spans="1:17" x14ac:dyDescent="0.25">
      <c r="A108" t="s">
        <v>428</v>
      </c>
      <c r="B108" t="s">
        <v>429</v>
      </c>
      <c r="C108" t="s">
        <v>430</v>
      </c>
      <c r="D108" t="s">
        <v>57</v>
      </c>
      <c r="E108" t="s">
        <v>21</v>
      </c>
      <c r="G108">
        <v>19.72</v>
      </c>
      <c r="H108" t="s">
        <v>240</v>
      </c>
      <c r="J108" t="s">
        <v>276</v>
      </c>
      <c r="L108" t="s">
        <v>28</v>
      </c>
      <c r="M108">
        <v>17</v>
      </c>
      <c r="N108">
        <v>0</v>
      </c>
      <c r="O108">
        <v>6</v>
      </c>
      <c r="P108">
        <v>0</v>
      </c>
      <c r="Q108">
        <v>0</v>
      </c>
    </row>
    <row r="109" spans="1:17" x14ac:dyDescent="0.25">
      <c r="A109" t="s">
        <v>431</v>
      </c>
      <c r="B109" t="s">
        <v>432</v>
      </c>
      <c r="C109" t="s">
        <v>433</v>
      </c>
      <c r="D109" t="s">
        <v>57</v>
      </c>
      <c r="E109" t="s">
        <v>21</v>
      </c>
      <c r="G109" s="2">
        <v>1659269.83</v>
      </c>
      <c r="H109" t="s">
        <v>434</v>
      </c>
      <c r="J109" t="s">
        <v>359</v>
      </c>
      <c r="L109" t="s">
        <v>24</v>
      </c>
      <c r="M109" s="3">
        <v>829854</v>
      </c>
      <c r="N109">
        <v>0</v>
      </c>
      <c r="O109" s="3">
        <v>2605</v>
      </c>
      <c r="P109">
        <v>0</v>
      </c>
      <c r="Q109">
        <v>0</v>
      </c>
    </row>
    <row r="110" spans="1:17" x14ac:dyDescent="0.25">
      <c r="A110" t="s">
        <v>435</v>
      </c>
      <c r="B110" t="s">
        <v>436</v>
      </c>
      <c r="C110" t="s">
        <v>437</v>
      </c>
      <c r="D110" t="s">
        <v>57</v>
      </c>
      <c r="E110" t="s">
        <v>21</v>
      </c>
      <c r="F110" s="2">
        <v>3567.68</v>
      </c>
      <c r="G110" s="2">
        <v>4044200.87</v>
      </c>
      <c r="H110" t="s">
        <v>51</v>
      </c>
      <c r="J110" t="s">
        <v>438</v>
      </c>
      <c r="K110" t="s">
        <v>53</v>
      </c>
      <c r="L110" t="s">
        <v>28</v>
      </c>
      <c r="M110" s="3">
        <v>1858259</v>
      </c>
      <c r="N110" s="3">
        <v>1478</v>
      </c>
      <c r="O110" s="3">
        <v>3179</v>
      </c>
      <c r="P110">
        <v>0</v>
      </c>
      <c r="Q110">
        <v>6</v>
      </c>
    </row>
    <row r="111" spans="1:17" x14ac:dyDescent="0.25">
      <c r="A111" t="s">
        <v>439</v>
      </c>
      <c r="B111" t="s">
        <v>440</v>
      </c>
      <c r="C111" t="s">
        <v>441</v>
      </c>
      <c r="D111" t="s">
        <v>57</v>
      </c>
      <c r="E111" t="s">
        <v>21</v>
      </c>
      <c r="F111">
        <v>729.19</v>
      </c>
      <c r="G111" s="2">
        <v>3516502.04</v>
      </c>
      <c r="H111" t="s">
        <v>51</v>
      </c>
      <c r="J111" t="s">
        <v>442</v>
      </c>
      <c r="K111" t="s">
        <v>53</v>
      </c>
      <c r="L111" t="s">
        <v>24</v>
      </c>
      <c r="M111" s="3">
        <v>1830640</v>
      </c>
      <c r="N111">
        <v>240</v>
      </c>
      <c r="O111" s="3">
        <v>3172</v>
      </c>
      <c r="P111">
        <v>0</v>
      </c>
      <c r="Q111">
        <v>0</v>
      </c>
    </row>
    <row r="112" spans="1:17" x14ac:dyDescent="0.25">
      <c r="A112" t="s">
        <v>443</v>
      </c>
      <c r="B112" t="s">
        <v>444</v>
      </c>
      <c r="C112" t="s">
        <v>445</v>
      </c>
      <c r="D112" t="s">
        <v>57</v>
      </c>
      <c r="E112" t="s">
        <v>21</v>
      </c>
      <c r="G112" s="2">
        <v>2327679.5099999998</v>
      </c>
      <c r="H112" s="1">
        <v>45294</v>
      </c>
      <c r="J112" t="s">
        <v>446</v>
      </c>
      <c r="K112" t="s">
        <v>53</v>
      </c>
      <c r="L112" t="s">
        <v>28</v>
      </c>
      <c r="M112" s="3">
        <v>1317017</v>
      </c>
      <c r="N112">
        <v>0</v>
      </c>
      <c r="O112" s="3">
        <v>2904</v>
      </c>
      <c r="P112">
        <v>0</v>
      </c>
      <c r="Q112">
        <v>0</v>
      </c>
    </row>
    <row r="113" spans="1:17" x14ac:dyDescent="0.25">
      <c r="A113" t="s">
        <v>447</v>
      </c>
      <c r="B113" t="s">
        <v>448</v>
      </c>
      <c r="C113" t="s">
        <v>449</v>
      </c>
      <c r="D113" t="s">
        <v>57</v>
      </c>
      <c r="E113" t="s">
        <v>21</v>
      </c>
      <c r="F113">
        <v>6.37</v>
      </c>
      <c r="G113" s="2">
        <v>3388744.05</v>
      </c>
      <c r="H113" t="s">
        <v>450</v>
      </c>
      <c r="J113" t="s">
        <v>451</v>
      </c>
      <c r="K113" t="s">
        <v>53</v>
      </c>
      <c r="L113" t="s">
        <v>24</v>
      </c>
      <c r="M113" s="3">
        <v>1724379</v>
      </c>
      <c r="N113">
        <v>82</v>
      </c>
      <c r="O113" s="3">
        <v>3155</v>
      </c>
      <c r="P113">
        <v>0</v>
      </c>
      <c r="Q113">
        <v>0</v>
      </c>
    </row>
    <row r="114" spans="1:17" x14ac:dyDescent="0.25">
      <c r="A114" t="s">
        <v>452</v>
      </c>
      <c r="B114" t="s">
        <v>453</v>
      </c>
      <c r="C114" t="s">
        <v>454</v>
      </c>
      <c r="D114" t="s">
        <v>57</v>
      </c>
      <c r="E114" t="s">
        <v>21</v>
      </c>
      <c r="G114">
        <v>21.05</v>
      </c>
      <c r="H114" s="1">
        <v>45755</v>
      </c>
      <c r="J114" t="s">
        <v>23</v>
      </c>
      <c r="L114" t="s">
        <v>28</v>
      </c>
      <c r="M114">
        <v>80</v>
      </c>
      <c r="N114">
        <v>0</v>
      </c>
      <c r="O114">
        <v>3</v>
      </c>
      <c r="P114">
        <v>0</v>
      </c>
      <c r="Q114">
        <v>1</v>
      </c>
    </row>
    <row r="115" spans="1:17" x14ac:dyDescent="0.25">
      <c r="A115" t="s">
        <v>455</v>
      </c>
      <c r="B115" t="s">
        <v>456</v>
      </c>
      <c r="C115" t="s">
        <v>457</v>
      </c>
      <c r="D115" t="s">
        <v>57</v>
      </c>
      <c r="E115" t="s">
        <v>21</v>
      </c>
      <c r="F115">
        <v>995.45</v>
      </c>
      <c r="G115" s="2">
        <v>2130.7399999999998</v>
      </c>
      <c r="H115" t="s">
        <v>458</v>
      </c>
      <c r="J115" t="s">
        <v>23</v>
      </c>
      <c r="L115" t="s">
        <v>24</v>
      </c>
      <c r="M115">
        <v>434</v>
      </c>
      <c r="N115">
        <v>6</v>
      </c>
      <c r="O115">
        <v>4</v>
      </c>
      <c r="P115">
        <v>6</v>
      </c>
      <c r="Q115">
        <v>2</v>
      </c>
    </row>
    <row r="116" spans="1:17" x14ac:dyDescent="0.25">
      <c r="A116" t="s">
        <v>459</v>
      </c>
      <c r="B116" t="s">
        <v>460</v>
      </c>
      <c r="C116" t="s">
        <v>461</v>
      </c>
      <c r="D116" t="s">
        <v>57</v>
      </c>
      <c r="E116" t="s">
        <v>21</v>
      </c>
      <c r="G116">
        <v>19.71</v>
      </c>
      <c r="H116" t="s">
        <v>191</v>
      </c>
      <c r="J116" t="s">
        <v>23</v>
      </c>
      <c r="L116" t="s">
        <v>28</v>
      </c>
      <c r="M116">
        <v>15</v>
      </c>
      <c r="N116">
        <v>0</v>
      </c>
      <c r="O116">
        <v>5</v>
      </c>
      <c r="P116">
        <v>0</v>
      </c>
      <c r="Q116">
        <v>0</v>
      </c>
    </row>
    <row r="117" spans="1:17" x14ac:dyDescent="0.25">
      <c r="A117" t="s">
        <v>462</v>
      </c>
      <c r="B117" t="s">
        <v>463</v>
      </c>
      <c r="C117" t="s">
        <v>464</v>
      </c>
      <c r="D117" t="s">
        <v>57</v>
      </c>
      <c r="E117" t="s">
        <v>21</v>
      </c>
      <c r="F117">
        <v>23.64</v>
      </c>
      <c r="G117" s="2">
        <v>2327703.15</v>
      </c>
      <c r="H117" s="1">
        <v>46000</v>
      </c>
      <c r="J117" t="s">
        <v>465</v>
      </c>
      <c r="K117" t="s">
        <v>53</v>
      </c>
      <c r="L117" t="s">
        <v>28</v>
      </c>
      <c r="M117" s="3">
        <v>1317491</v>
      </c>
      <c r="N117">
        <v>474</v>
      </c>
      <c r="O117" s="3">
        <v>2904</v>
      </c>
      <c r="P117">
        <v>0</v>
      </c>
      <c r="Q117">
        <v>0</v>
      </c>
    </row>
    <row r="118" spans="1:17" x14ac:dyDescent="0.25">
      <c r="A118" t="s">
        <v>466</v>
      </c>
      <c r="B118" t="s">
        <v>467</v>
      </c>
      <c r="C118" t="s">
        <v>468</v>
      </c>
      <c r="D118" t="s">
        <v>57</v>
      </c>
      <c r="E118" t="s">
        <v>21</v>
      </c>
      <c r="G118">
        <v>0</v>
      </c>
      <c r="H118" s="1">
        <v>45695</v>
      </c>
      <c r="J118" t="s">
        <v>23</v>
      </c>
      <c r="L118" t="s">
        <v>28</v>
      </c>
      <c r="M118">
        <v>4</v>
      </c>
      <c r="N118">
        <v>0</v>
      </c>
      <c r="O118">
        <v>3</v>
      </c>
      <c r="P118">
        <v>0</v>
      </c>
      <c r="Q118">
        <v>0</v>
      </c>
    </row>
    <row r="119" spans="1:17" x14ac:dyDescent="0.25">
      <c r="A119" t="s">
        <v>469</v>
      </c>
      <c r="B119" t="s">
        <v>470</v>
      </c>
      <c r="C119" t="s">
        <v>471</v>
      </c>
      <c r="D119" t="s">
        <v>57</v>
      </c>
      <c r="E119" t="s">
        <v>21</v>
      </c>
      <c r="F119">
        <v>0.03</v>
      </c>
      <c r="G119" s="2">
        <v>3914867.89</v>
      </c>
      <c r="H119" t="s">
        <v>240</v>
      </c>
      <c r="J119" t="s">
        <v>472</v>
      </c>
      <c r="K119" t="s">
        <v>53</v>
      </c>
      <c r="L119" t="s">
        <v>28</v>
      </c>
      <c r="M119" s="3">
        <v>1750459</v>
      </c>
      <c r="N119">
        <v>12</v>
      </c>
      <c r="O119" s="3">
        <v>3159</v>
      </c>
      <c r="P119">
        <v>0</v>
      </c>
      <c r="Q119">
        <v>0</v>
      </c>
    </row>
    <row r="120" spans="1:17" x14ac:dyDescent="0.25">
      <c r="A120" t="s">
        <v>473</v>
      </c>
      <c r="B120" t="s">
        <v>474</v>
      </c>
      <c r="C120" t="s">
        <v>475</v>
      </c>
      <c r="D120" t="s">
        <v>57</v>
      </c>
      <c r="E120" t="s">
        <v>21</v>
      </c>
      <c r="G120" s="2">
        <v>1450700.84</v>
      </c>
      <c r="H120" s="1">
        <v>45638</v>
      </c>
      <c r="J120" t="s">
        <v>476</v>
      </c>
      <c r="L120" t="s">
        <v>28</v>
      </c>
      <c r="M120" s="3">
        <v>1101939</v>
      </c>
      <c r="N120">
        <v>0</v>
      </c>
      <c r="O120" s="3">
        <v>2725</v>
      </c>
      <c r="P120">
        <v>1</v>
      </c>
      <c r="Q120">
        <v>1</v>
      </c>
    </row>
    <row r="121" spans="1:17" x14ac:dyDescent="0.25">
      <c r="A121" t="s">
        <v>473</v>
      </c>
      <c r="B121" t="s">
        <v>477</v>
      </c>
      <c r="C121" t="s">
        <v>478</v>
      </c>
      <c r="D121" t="s">
        <v>57</v>
      </c>
      <c r="E121" t="s">
        <v>21</v>
      </c>
      <c r="F121" s="2">
        <v>1831.29</v>
      </c>
      <c r="G121" s="2">
        <v>1883.98</v>
      </c>
      <c r="H121" t="s">
        <v>479</v>
      </c>
      <c r="J121" t="s">
        <v>23</v>
      </c>
      <c r="L121" t="s">
        <v>24</v>
      </c>
      <c r="M121">
        <v>333</v>
      </c>
      <c r="N121">
        <v>63</v>
      </c>
      <c r="O121">
        <v>3</v>
      </c>
      <c r="P121">
        <v>3</v>
      </c>
      <c r="Q121">
        <v>4</v>
      </c>
    </row>
    <row r="122" spans="1:17" x14ac:dyDescent="0.25">
      <c r="A122" t="s">
        <v>480</v>
      </c>
      <c r="B122" t="s">
        <v>481</v>
      </c>
      <c r="C122" t="s">
        <v>482</v>
      </c>
      <c r="D122" t="s">
        <v>57</v>
      </c>
      <c r="E122" t="s">
        <v>21</v>
      </c>
      <c r="G122" s="2">
        <v>92893.2</v>
      </c>
      <c r="H122" t="s">
        <v>483</v>
      </c>
      <c r="J122" t="s">
        <v>23</v>
      </c>
      <c r="L122" t="s">
        <v>28</v>
      </c>
      <c r="M122" s="3">
        <v>79403</v>
      </c>
      <c r="N122">
        <v>0</v>
      </c>
      <c r="O122">
        <v>6</v>
      </c>
      <c r="P122">
        <v>0</v>
      </c>
      <c r="Q122">
        <v>0</v>
      </c>
    </row>
    <row r="123" spans="1:17" x14ac:dyDescent="0.25">
      <c r="A123" t="s">
        <v>484</v>
      </c>
      <c r="B123" t="s">
        <v>485</v>
      </c>
      <c r="C123" t="s">
        <v>486</v>
      </c>
      <c r="D123" t="s">
        <v>57</v>
      </c>
      <c r="E123" t="s">
        <v>21</v>
      </c>
      <c r="F123">
        <v>6.31</v>
      </c>
      <c r="G123">
        <v>414.78</v>
      </c>
      <c r="H123" t="s">
        <v>487</v>
      </c>
      <c r="J123" t="s">
        <v>23</v>
      </c>
      <c r="L123" t="s">
        <v>28</v>
      </c>
      <c r="M123">
        <v>241</v>
      </c>
      <c r="N123">
        <v>0</v>
      </c>
      <c r="O123">
        <v>3</v>
      </c>
      <c r="P123">
        <v>0</v>
      </c>
      <c r="Q123">
        <v>8</v>
      </c>
    </row>
    <row r="124" spans="1:17" x14ac:dyDescent="0.25">
      <c r="A124" t="s">
        <v>484</v>
      </c>
      <c r="B124" t="s">
        <v>488</v>
      </c>
      <c r="C124" t="s">
        <v>489</v>
      </c>
      <c r="D124" t="s">
        <v>57</v>
      </c>
      <c r="E124" t="s">
        <v>21</v>
      </c>
      <c r="F124">
        <v>83.11</v>
      </c>
      <c r="G124" s="2">
        <v>3914950.97</v>
      </c>
      <c r="H124" t="s">
        <v>490</v>
      </c>
      <c r="J124" t="s">
        <v>491</v>
      </c>
      <c r="K124" t="s">
        <v>53</v>
      </c>
      <c r="L124" t="s">
        <v>24</v>
      </c>
      <c r="M124" s="3">
        <v>1750570</v>
      </c>
      <c r="N124">
        <v>123</v>
      </c>
      <c r="O124" s="3">
        <v>3159</v>
      </c>
      <c r="P124">
        <v>0</v>
      </c>
      <c r="Q124">
        <v>0</v>
      </c>
    </row>
    <row r="125" spans="1:17" x14ac:dyDescent="0.25">
      <c r="A125" t="s">
        <v>492</v>
      </c>
      <c r="B125" t="s">
        <v>493</v>
      </c>
      <c r="C125" t="s">
        <v>494</v>
      </c>
      <c r="D125" t="s">
        <v>57</v>
      </c>
      <c r="E125" t="s">
        <v>21</v>
      </c>
      <c r="G125" s="3">
        <v>19378</v>
      </c>
      <c r="H125" s="1">
        <v>45700</v>
      </c>
      <c r="J125" t="s">
        <v>23</v>
      </c>
      <c r="L125" t="s">
        <v>28</v>
      </c>
      <c r="M125" s="3">
        <v>73902</v>
      </c>
      <c r="N125">
        <v>0</v>
      </c>
      <c r="O125">
        <v>3</v>
      </c>
      <c r="P125">
        <v>0</v>
      </c>
      <c r="Q125">
        <v>5</v>
      </c>
    </row>
    <row r="126" spans="1:17" x14ac:dyDescent="0.25">
      <c r="A126" t="s">
        <v>495</v>
      </c>
      <c r="B126" t="s">
        <v>496</v>
      </c>
      <c r="C126" t="s">
        <v>497</v>
      </c>
      <c r="D126" t="s">
        <v>57</v>
      </c>
      <c r="E126" t="s">
        <v>21</v>
      </c>
      <c r="F126" s="2">
        <v>1570.2</v>
      </c>
      <c r="G126" s="2">
        <v>3390307.88</v>
      </c>
      <c r="H126" t="s">
        <v>498</v>
      </c>
      <c r="J126" t="s">
        <v>499</v>
      </c>
      <c r="K126" t="s">
        <v>53</v>
      </c>
      <c r="L126" t="s">
        <v>28</v>
      </c>
      <c r="M126" s="3">
        <v>1724764</v>
      </c>
      <c r="N126">
        <v>467</v>
      </c>
      <c r="O126" s="3">
        <v>3155</v>
      </c>
      <c r="P126">
        <v>0</v>
      </c>
      <c r="Q126">
        <v>0</v>
      </c>
    </row>
    <row r="127" spans="1:17" x14ac:dyDescent="0.25">
      <c r="A127" t="s">
        <v>500</v>
      </c>
      <c r="B127" t="s">
        <v>405</v>
      </c>
      <c r="C127" t="s">
        <v>501</v>
      </c>
      <c r="D127" t="s">
        <v>57</v>
      </c>
      <c r="E127" t="s">
        <v>21</v>
      </c>
      <c r="G127" s="2">
        <v>417190.7</v>
      </c>
      <c r="H127" t="s">
        <v>502</v>
      </c>
      <c r="J127" t="s">
        <v>503</v>
      </c>
      <c r="L127" t="s">
        <v>28</v>
      </c>
      <c r="M127" s="3">
        <v>13706</v>
      </c>
      <c r="N127">
        <v>0</v>
      </c>
      <c r="O127">
        <v>15</v>
      </c>
      <c r="P127">
        <v>2</v>
      </c>
      <c r="Q127">
        <v>6</v>
      </c>
    </row>
    <row r="128" spans="1:17" x14ac:dyDescent="0.25">
      <c r="A128" t="s">
        <v>504</v>
      </c>
      <c r="B128" t="s">
        <v>505</v>
      </c>
      <c r="C128" t="s">
        <v>506</v>
      </c>
      <c r="D128" t="s">
        <v>57</v>
      </c>
      <c r="E128" t="s">
        <v>21</v>
      </c>
      <c r="F128">
        <v>22.76</v>
      </c>
      <c r="G128">
        <v>29.07</v>
      </c>
      <c r="H128" t="s">
        <v>507</v>
      </c>
      <c r="J128" t="s">
        <v>23</v>
      </c>
      <c r="L128" t="s">
        <v>28</v>
      </c>
      <c r="M128">
        <v>214</v>
      </c>
      <c r="N128">
        <v>0</v>
      </c>
      <c r="O128">
        <v>3</v>
      </c>
      <c r="P128">
        <v>1</v>
      </c>
      <c r="Q128">
        <v>1</v>
      </c>
    </row>
    <row r="129" spans="1:17" x14ac:dyDescent="0.25">
      <c r="A129" t="s">
        <v>508</v>
      </c>
      <c r="B129" t="s">
        <v>509</v>
      </c>
      <c r="C129" t="s">
        <v>510</v>
      </c>
      <c r="D129" t="s">
        <v>57</v>
      </c>
      <c r="E129" t="s">
        <v>21</v>
      </c>
      <c r="F129" s="2">
        <v>5456.69</v>
      </c>
      <c r="G129" s="2">
        <v>5456.69</v>
      </c>
      <c r="H129" s="1">
        <v>45147</v>
      </c>
      <c r="J129" t="s">
        <v>23</v>
      </c>
      <c r="L129" t="s">
        <v>24</v>
      </c>
      <c r="M129" s="3">
        <v>2409</v>
      </c>
      <c r="N129">
        <v>199</v>
      </c>
      <c r="O129">
        <v>3</v>
      </c>
      <c r="P129">
        <v>0</v>
      </c>
      <c r="Q129">
        <v>16</v>
      </c>
    </row>
    <row r="130" spans="1:17" x14ac:dyDescent="0.25">
      <c r="A130" t="s">
        <v>508</v>
      </c>
      <c r="B130" t="s">
        <v>511</v>
      </c>
      <c r="C130" t="s">
        <v>512</v>
      </c>
      <c r="D130" t="s">
        <v>57</v>
      </c>
      <c r="E130" t="s">
        <v>21</v>
      </c>
      <c r="F130">
        <v>27.37</v>
      </c>
      <c r="G130" s="2">
        <v>1801576.67</v>
      </c>
      <c r="H130" s="1">
        <v>43993</v>
      </c>
      <c r="J130" t="s">
        <v>513</v>
      </c>
      <c r="K130" t="s">
        <v>53</v>
      </c>
      <c r="L130" t="s">
        <v>28</v>
      </c>
      <c r="M130" s="3">
        <v>1291052</v>
      </c>
      <c r="N130">
        <v>200</v>
      </c>
      <c r="O130" s="3">
        <v>2899</v>
      </c>
      <c r="P130">
        <v>0</v>
      </c>
      <c r="Q130">
        <v>0</v>
      </c>
    </row>
    <row r="131" spans="1:17" x14ac:dyDescent="0.25">
      <c r="A131" t="s">
        <v>508</v>
      </c>
      <c r="B131" t="s">
        <v>514</v>
      </c>
      <c r="C131" t="s">
        <v>515</v>
      </c>
      <c r="D131" t="s">
        <v>57</v>
      </c>
      <c r="E131" t="s">
        <v>21</v>
      </c>
      <c r="F131">
        <v>0.02</v>
      </c>
      <c r="G131" s="2">
        <v>19649.68</v>
      </c>
      <c r="H131" s="1">
        <v>44442</v>
      </c>
      <c r="J131" t="s">
        <v>23</v>
      </c>
      <c r="L131" t="s">
        <v>28</v>
      </c>
      <c r="M131" s="3">
        <v>74038</v>
      </c>
      <c r="N131">
        <v>2</v>
      </c>
      <c r="O131">
        <v>3</v>
      </c>
      <c r="P131">
        <v>0</v>
      </c>
      <c r="Q131">
        <v>9</v>
      </c>
    </row>
    <row r="132" spans="1:17" x14ac:dyDescent="0.25">
      <c r="A132" t="s">
        <v>38</v>
      </c>
      <c r="B132" t="s">
        <v>516</v>
      </c>
      <c r="C132" t="s">
        <v>517</v>
      </c>
      <c r="D132" t="s">
        <v>57</v>
      </c>
      <c r="E132" t="s">
        <v>21</v>
      </c>
      <c r="F132" s="2">
        <v>33038.03</v>
      </c>
      <c r="G132" s="2">
        <v>33316.5</v>
      </c>
      <c r="H132" s="1">
        <v>45146</v>
      </c>
      <c r="J132" t="s">
        <v>23</v>
      </c>
      <c r="L132" t="s">
        <v>24</v>
      </c>
      <c r="M132" s="3">
        <v>40409</v>
      </c>
      <c r="N132">
        <v>813</v>
      </c>
      <c r="O132">
        <v>3</v>
      </c>
      <c r="P132">
        <v>3</v>
      </c>
      <c r="Q132">
        <v>1</v>
      </c>
    </row>
    <row r="133" spans="1:17" x14ac:dyDescent="0.25">
      <c r="A133" t="s">
        <v>518</v>
      </c>
      <c r="B133" t="s">
        <v>519</v>
      </c>
      <c r="C133" t="s">
        <v>520</v>
      </c>
      <c r="D133" t="s">
        <v>57</v>
      </c>
      <c r="E133" t="s">
        <v>21</v>
      </c>
      <c r="G133" s="2">
        <v>118956.09</v>
      </c>
      <c r="H133" s="1">
        <v>45964</v>
      </c>
      <c r="J133" t="s">
        <v>521</v>
      </c>
      <c r="L133" t="s">
        <v>28</v>
      </c>
      <c r="M133" s="3">
        <v>104092</v>
      </c>
      <c r="N133">
        <v>0</v>
      </c>
      <c r="O133">
        <v>18</v>
      </c>
      <c r="P133">
        <v>0</v>
      </c>
      <c r="Q133">
        <v>0</v>
      </c>
    </row>
    <row r="134" spans="1:17" x14ac:dyDescent="0.25">
      <c r="A134" t="s">
        <v>522</v>
      </c>
      <c r="B134" t="s">
        <v>523</v>
      </c>
      <c r="C134" t="s">
        <v>524</v>
      </c>
      <c r="D134" t="s">
        <v>57</v>
      </c>
      <c r="E134" t="s">
        <v>21</v>
      </c>
      <c r="F134">
        <v>44.36</v>
      </c>
      <c r="G134" s="2">
        <v>2330269.81</v>
      </c>
      <c r="H134" t="s">
        <v>99</v>
      </c>
      <c r="J134" t="s">
        <v>389</v>
      </c>
      <c r="K134" t="s">
        <v>53</v>
      </c>
      <c r="L134" t="s">
        <v>24</v>
      </c>
      <c r="M134" s="3">
        <v>1317225</v>
      </c>
      <c r="N134">
        <v>52</v>
      </c>
      <c r="O134" s="3">
        <v>2904</v>
      </c>
      <c r="P134">
        <v>0</v>
      </c>
      <c r="Q134">
        <v>1</v>
      </c>
    </row>
    <row r="135" spans="1:17" x14ac:dyDescent="0.25">
      <c r="A135" t="s">
        <v>525</v>
      </c>
      <c r="B135" t="s">
        <v>526</v>
      </c>
      <c r="C135" t="s">
        <v>527</v>
      </c>
      <c r="D135" t="s">
        <v>57</v>
      </c>
      <c r="E135" t="s">
        <v>21</v>
      </c>
      <c r="F135" s="2">
        <v>5583.44</v>
      </c>
      <c r="G135" s="2">
        <v>3516901.23</v>
      </c>
      <c r="H135" t="s">
        <v>51</v>
      </c>
      <c r="J135" t="s">
        <v>528</v>
      </c>
      <c r="K135" t="s">
        <v>53</v>
      </c>
      <c r="L135" t="s">
        <v>24</v>
      </c>
      <c r="M135" s="3">
        <v>1833870</v>
      </c>
      <c r="N135" s="3">
        <v>1674</v>
      </c>
      <c r="O135" s="3">
        <v>3171</v>
      </c>
      <c r="P135">
        <v>8</v>
      </c>
      <c r="Q135">
        <v>14</v>
      </c>
    </row>
    <row r="136" spans="1:17" x14ac:dyDescent="0.25">
      <c r="A136" t="s">
        <v>522</v>
      </c>
      <c r="B136" t="s">
        <v>529</v>
      </c>
      <c r="C136" t="s">
        <v>530</v>
      </c>
      <c r="D136" t="s">
        <v>57</v>
      </c>
      <c r="E136" t="s">
        <v>21</v>
      </c>
      <c r="F136">
        <v>2.9</v>
      </c>
      <c r="G136" s="2">
        <v>4035446.29</v>
      </c>
      <c r="H136" s="1">
        <v>44203</v>
      </c>
      <c r="J136" t="s">
        <v>531</v>
      </c>
      <c r="K136" t="s">
        <v>53</v>
      </c>
      <c r="L136" t="s">
        <v>24</v>
      </c>
      <c r="M136" s="3">
        <v>1854970</v>
      </c>
      <c r="N136">
        <v>42</v>
      </c>
      <c r="O136" s="3">
        <v>3179</v>
      </c>
      <c r="P136">
        <v>0</v>
      </c>
      <c r="Q136">
        <v>2</v>
      </c>
    </row>
    <row r="137" spans="1:17" x14ac:dyDescent="0.25">
      <c r="A137" t="s">
        <v>532</v>
      </c>
      <c r="B137" t="s">
        <v>533</v>
      </c>
      <c r="C137" t="s">
        <v>534</v>
      </c>
      <c r="D137" t="s">
        <v>57</v>
      </c>
      <c r="E137" t="s">
        <v>21</v>
      </c>
      <c r="F137">
        <v>1</v>
      </c>
      <c r="G137" s="2">
        <v>16832.86</v>
      </c>
      <c r="H137" s="1">
        <v>44993</v>
      </c>
      <c r="J137" t="s">
        <v>23</v>
      </c>
      <c r="L137" t="s">
        <v>28</v>
      </c>
      <c r="M137" s="3">
        <v>15022</v>
      </c>
      <c r="N137">
        <v>0</v>
      </c>
      <c r="O137">
        <v>3</v>
      </c>
      <c r="P137">
        <v>0</v>
      </c>
      <c r="Q137">
        <v>34</v>
      </c>
    </row>
    <row r="138" spans="1:17" x14ac:dyDescent="0.25">
      <c r="A138" t="s">
        <v>535</v>
      </c>
      <c r="B138" t="s">
        <v>536</v>
      </c>
      <c r="C138" t="s">
        <v>537</v>
      </c>
      <c r="D138" t="s">
        <v>57</v>
      </c>
      <c r="E138" t="s">
        <v>21</v>
      </c>
      <c r="F138">
        <v>0</v>
      </c>
      <c r="G138" s="2">
        <v>3478074.25</v>
      </c>
      <c r="H138" s="1">
        <v>45602</v>
      </c>
      <c r="J138" t="s">
        <v>538</v>
      </c>
      <c r="L138" t="s">
        <v>28</v>
      </c>
      <c r="M138" s="3">
        <v>1490196</v>
      </c>
      <c r="N138">
        <v>46</v>
      </c>
      <c r="O138" s="3">
        <v>2999</v>
      </c>
      <c r="P138">
        <v>0</v>
      </c>
      <c r="Q138">
        <v>0</v>
      </c>
    </row>
    <row r="139" spans="1:17" x14ac:dyDescent="0.25">
      <c r="A139" t="s">
        <v>539</v>
      </c>
      <c r="B139" t="s">
        <v>540</v>
      </c>
      <c r="C139" t="s">
        <v>541</v>
      </c>
      <c r="D139" t="s">
        <v>57</v>
      </c>
      <c r="E139" t="s">
        <v>21</v>
      </c>
      <c r="F139" s="2">
        <v>81355.600000000006</v>
      </c>
      <c r="G139" s="2">
        <v>3590551.52</v>
      </c>
      <c r="H139" t="s">
        <v>51</v>
      </c>
      <c r="J139" t="s">
        <v>542</v>
      </c>
      <c r="K139" t="s">
        <v>53</v>
      </c>
      <c r="L139" t="s">
        <v>28</v>
      </c>
      <c r="M139" s="3">
        <v>1830522</v>
      </c>
      <c r="N139" s="3">
        <v>1553</v>
      </c>
      <c r="O139" s="3">
        <v>3171</v>
      </c>
      <c r="P139">
        <v>3</v>
      </c>
      <c r="Q139">
        <v>4</v>
      </c>
    </row>
    <row r="140" spans="1:17" x14ac:dyDescent="0.25">
      <c r="A140" t="s">
        <v>539</v>
      </c>
      <c r="B140" t="s">
        <v>543</v>
      </c>
      <c r="C140" t="s">
        <v>544</v>
      </c>
      <c r="D140" t="s">
        <v>57</v>
      </c>
      <c r="E140" t="s">
        <v>21</v>
      </c>
      <c r="F140" s="2">
        <v>1356.91</v>
      </c>
      <c r="G140" s="2">
        <v>1746021.21</v>
      </c>
      <c r="H140" s="1">
        <v>44387</v>
      </c>
      <c r="J140" t="s">
        <v>545</v>
      </c>
      <c r="L140" t="s">
        <v>24</v>
      </c>
      <c r="M140" s="3">
        <v>920071</v>
      </c>
      <c r="N140" s="3">
        <v>1128</v>
      </c>
      <c r="O140" s="3">
        <v>2693</v>
      </c>
      <c r="P140">
        <v>0</v>
      </c>
      <c r="Q140">
        <v>0</v>
      </c>
    </row>
    <row r="141" spans="1:17" x14ac:dyDescent="0.25">
      <c r="A141" t="s">
        <v>539</v>
      </c>
      <c r="B141" t="s">
        <v>546</v>
      </c>
      <c r="C141" t="s">
        <v>547</v>
      </c>
      <c r="D141" t="s">
        <v>57</v>
      </c>
      <c r="E141" t="s">
        <v>21</v>
      </c>
      <c r="G141">
        <v>325.27999999999997</v>
      </c>
      <c r="H141" t="s">
        <v>199</v>
      </c>
      <c r="J141" t="s">
        <v>23</v>
      </c>
      <c r="L141" t="s">
        <v>28</v>
      </c>
      <c r="M141">
        <v>26</v>
      </c>
      <c r="N141">
        <v>0</v>
      </c>
      <c r="O141">
        <v>3</v>
      </c>
      <c r="P141">
        <v>1</v>
      </c>
      <c r="Q141">
        <v>1</v>
      </c>
    </row>
    <row r="142" spans="1:17" x14ac:dyDescent="0.25">
      <c r="A142" t="s">
        <v>539</v>
      </c>
      <c r="B142" t="s">
        <v>548</v>
      </c>
      <c r="C142" t="s">
        <v>549</v>
      </c>
      <c r="D142" t="s">
        <v>57</v>
      </c>
      <c r="E142" t="s">
        <v>21</v>
      </c>
      <c r="G142">
        <v>0</v>
      </c>
      <c r="H142" s="1">
        <v>45694</v>
      </c>
      <c r="J142" t="s">
        <v>23</v>
      </c>
      <c r="L142" t="s">
        <v>28</v>
      </c>
      <c r="M142">
        <v>4</v>
      </c>
      <c r="N142">
        <v>0</v>
      </c>
      <c r="O142">
        <v>3</v>
      </c>
      <c r="P142">
        <v>0</v>
      </c>
      <c r="Q142">
        <v>0</v>
      </c>
    </row>
    <row r="143" spans="1:17" x14ac:dyDescent="0.25">
      <c r="A143" t="s">
        <v>539</v>
      </c>
      <c r="B143" t="s">
        <v>550</v>
      </c>
      <c r="C143" t="s">
        <v>551</v>
      </c>
      <c r="D143" t="s">
        <v>57</v>
      </c>
      <c r="E143" t="s">
        <v>21</v>
      </c>
      <c r="F143">
        <v>343.31</v>
      </c>
      <c r="G143" s="2">
        <v>2328022.79</v>
      </c>
      <c r="H143" t="s">
        <v>350</v>
      </c>
      <c r="J143" t="s">
        <v>552</v>
      </c>
      <c r="K143" t="s">
        <v>53</v>
      </c>
      <c r="L143" t="s">
        <v>24</v>
      </c>
      <c r="M143" s="3">
        <v>1317152</v>
      </c>
      <c r="N143">
        <v>150</v>
      </c>
      <c r="O143" s="3">
        <v>2903</v>
      </c>
      <c r="P143">
        <v>0</v>
      </c>
      <c r="Q143">
        <v>0</v>
      </c>
    </row>
    <row r="144" spans="1:17" x14ac:dyDescent="0.25">
      <c r="A144" t="s">
        <v>553</v>
      </c>
      <c r="B144" t="s">
        <v>554</v>
      </c>
      <c r="C144" t="s">
        <v>555</v>
      </c>
      <c r="D144" t="s">
        <v>57</v>
      </c>
      <c r="E144" t="s">
        <v>21</v>
      </c>
      <c r="F144" s="2">
        <v>1563204.43</v>
      </c>
      <c r="G144" s="2">
        <v>4953759.38</v>
      </c>
      <c r="H144" t="s">
        <v>556</v>
      </c>
      <c r="J144" t="s">
        <v>557</v>
      </c>
      <c r="K144" t="s">
        <v>53</v>
      </c>
      <c r="L144" t="s">
        <v>24</v>
      </c>
      <c r="M144" s="3">
        <v>2213487</v>
      </c>
      <c r="N144" s="3">
        <v>485429</v>
      </c>
      <c r="O144" s="3">
        <v>3158</v>
      </c>
      <c r="P144">
        <v>0</v>
      </c>
      <c r="Q144">
        <v>0</v>
      </c>
    </row>
    <row r="145" spans="1:17" x14ac:dyDescent="0.25">
      <c r="A145" t="s">
        <v>558</v>
      </c>
      <c r="B145" t="s">
        <v>424</v>
      </c>
      <c r="C145" t="s">
        <v>559</v>
      </c>
      <c r="D145" t="s">
        <v>57</v>
      </c>
      <c r="E145" t="s">
        <v>21</v>
      </c>
      <c r="F145">
        <v>98.58</v>
      </c>
      <c r="G145" s="2">
        <v>28269.54</v>
      </c>
      <c r="H145" t="s">
        <v>560</v>
      </c>
      <c r="J145" t="s">
        <v>561</v>
      </c>
      <c r="L145" t="s">
        <v>28</v>
      </c>
      <c r="M145" s="3">
        <v>25634</v>
      </c>
      <c r="N145">
        <v>0</v>
      </c>
      <c r="O145">
        <v>7</v>
      </c>
      <c r="P145">
        <v>9</v>
      </c>
      <c r="Q145">
        <v>53</v>
      </c>
    </row>
    <row r="146" spans="1:17" x14ac:dyDescent="0.25">
      <c r="A146" t="s">
        <v>562</v>
      </c>
      <c r="B146" t="s">
        <v>563</v>
      </c>
      <c r="C146" t="s">
        <v>564</v>
      </c>
      <c r="D146" t="s">
        <v>57</v>
      </c>
      <c r="E146" t="s">
        <v>21</v>
      </c>
      <c r="G146" s="3">
        <v>19378</v>
      </c>
      <c r="H146" t="s">
        <v>565</v>
      </c>
      <c r="J146" t="s">
        <v>23</v>
      </c>
      <c r="L146" t="s">
        <v>28</v>
      </c>
      <c r="M146" s="3">
        <v>73904</v>
      </c>
      <c r="N146">
        <v>0</v>
      </c>
      <c r="O146">
        <v>3</v>
      </c>
      <c r="P146">
        <v>0</v>
      </c>
      <c r="Q146">
        <v>5</v>
      </c>
    </row>
    <row r="147" spans="1:17" x14ac:dyDescent="0.25">
      <c r="A147" t="s">
        <v>562</v>
      </c>
      <c r="B147" t="s">
        <v>566</v>
      </c>
      <c r="C147" t="s">
        <v>567</v>
      </c>
      <c r="D147" t="s">
        <v>57</v>
      </c>
      <c r="E147" t="s">
        <v>21</v>
      </c>
      <c r="F147">
        <v>87.61</v>
      </c>
      <c r="G147" s="2">
        <v>3389083.11</v>
      </c>
      <c r="H147" t="s">
        <v>568</v>
      </c>
      <c r="J147" t="s">
        <v>569</v>
      </c>
      <c r="K147" t="s">
        <v>53</v>
      </c>
      <c r="L147" t="s">
        <v>24</v>
      </c>
      <c r="M147" s="3">
        <v>1724783</v>
      </c>
      <c r="N147">
        <v>256</v>
      </c>
      <c r="O147" s="3">
        <v>3156</v>
      </c>
      <c r="P147">
        <v>0</v>
      </c>
      <c r="Q147">
        <v>0</v>
      </c>
    </row>
    <row r="148" spans="1:17" x14ac:dyDescent="0.25">
      <c r="A148" t="s">
        <v>570</v>
      </c>
      <c r="B148" t="s">
        <v>571</v>
      </c>
      <c r="C148" t="s">
        <v>572</v>
      </c>
      <c r="D148" t="s">
        <v>57</v>
      </c>
      <c r="E148" t="s">
        <v>21</v>
      </c>
      <c r="F148" s="2">
        <v>43834.19</v>
      </c>
      <c r="G148" s="2">
        <v>43999.31</v>
      </c>
      <c r="H148" s="1">
        <v>44113</v>
      </c>
      <c r="J148" t="s">
        <v>23</v>
      </c>
      <c r="L148" t="s">
        <v>28</v>
      </c>
      <c r="M148" s="3">
        <v>137271</v>
      </c>
      <c r="N148" s="3">
        <v>62718</v>
      </c>
      <c r="O148">
        <v>3</v>
      </c>
      <c r="P148">
        <v>0</v>
      </c>
      <c r="Q148">
        <v>16</v>
      </c>
    </row>
    <row r="149" spans="1:17" x14ac:dyDescent="0.25">
      <c r="A149" t="s">
        <v>573</v>
      </c>
      <c r="B149" t="s">
        <v>574</v>
      </c>
      <c r="C149" t="s">
        <v>575</v>
      </c>
      <c r="D149" t="s">
        <v>57</v>
      </c>
      <c r="E149" t="s">
        <v>21</v>
      </c>
      <c r="F149">
        <v>612.26</v>
      </c>
      <c r="G149" s="2">
        <v>3508812.79</v>
      </c>
      <c r="H149" s="1">
        <v>44563</v>
      </c>
      <c r="J149" t="s">
        <v>576</v>
      </c>
      <c r="K149" t="s">
        <v>53</v>
      </c>
      <c r="L149" t="s">
        <v>24</v>
      </c>
      <c r="M149" s="3">
        <v>1829314</v>
      </c>
      <c r="N149">
        <v>305</v>
      </c>
      <c r="O149" s="3">
        <v>3177</v>
      </c>
      <c r="P149">
        <v>0</v>
      </c>
      <c r="Q149">
        <v>0</v>
      </c>
    </row>
    <row r="150" spans="1:17" x14ac:dyDescent="0.25">
      <c r="A150" t="s">
        <v>577</v>
      </c>
      <c r="B150" t="s">
        <v>578</v>
      </c>
      <c r="C150" t="s">
        <v>579</v>
      </c>
      <c r="D150" t="s">
        <v>57</v>
      </c>
      <c r="E150" t="s">
        <v>21</v>
      </c>
      <c r="F150" s="2">
        <v>14028.45</v>
      </c>
      <c r="G150" s="2">
        <v>20889.64</v>
      </c>
      <c r="H150" t="s">
        <v>580</v>
      </c>
      <c r="J150" t="s">
        <v>23</v>
      </c>
      <c r="L150" t="s">
        <v>24</v>
      </c>
      <c r="M150" s="3">
        <v>18031</v>
      </c>
      <c r="N150">
        <v>200</v>
      </c>
      <c r="O150">
        <v>3</v>
      </c>
      <c r="P150">
        <v>3</v>
      </c>
      <c r="Q150">
        <v>52</v>
      </c>
    </row>
    <row r="151" spans="1:17" x14ac:dyDescent="0.25">
      <c r="A151" t="s">
        <v>581</v>
      </c>
      <c r="B151" t="s">
        <v>582</v>
      </c>
      <c r="C151" t="s">
        <v>583</v>
      </c>
      <c r="D151" t="s">
        <v>57</v>
      </c>
      <c r="E151" t="s">
        <v>21</v>
      </c>
      <c r="F151" s="2">
        <v>3897.09</v>
      </c>
      <c r="G151" s="2">
        <v>5994.02</v>
      </c>
      <c r="H151" t="s">
        <v>584</v>
      </c>
      <c r="J151" t="s">
        <v>23</v>
      </c>
      <c r="L151" t="s">
        <v>24</v>
      </c>
      <c r="M151" s="3">
        <v>1836</v>
      </c>
      <c r="N151">
        <v>0</v>
      </c>
      <c r="O151">
        <v>3</v>
      </c>
      <c r="P151">
        <v>10</v>
      </c>
      <c r="Q151">
        <v>0</v>
      </c>
    </row>
    <row r="152" spans="1:17" x14ac:dyDescent="0.25">
      <c r="A152" t="s">
        <v>585</v>
      </c>
      <c r="B152" t="s">
        <v>586</v>
      </c>
      <c r="C152" t="s">
        <v>587</v>
      </c>
      <c r="D152" t="s">
        <v>57</v>
      </c>
      <c r="E152" t="s">
        <v>21</v>
      </c>
      <c r="G152" s="2">
        <v>6340.89</v>
      </c>
      <c r="H152" s="1">
        <v>45421</v>
      </c>
      <c r="J152" t="s">
        <v>276</v>
      </c>
      <c r="L152" t="s">
        <v>28</v>
      </c>
      <c r="M152" s="3">
        <v>7848</v>
      </c>
      <c r="N152">
        <v>0</v>
      </c>
      <c r="O152">
        <v>6</v>
      </c>
      <c r="P152">
        <v>0</v>
      </c>
      <c r="Q152">
        <v>2</v>
      </c>
    </row>
    <row r="153" spans="1:17" x14ac:dyDescent="0.25">
      <c r="A153" t="s">
        <v>588</v>
      </c>
      <c r="B153" t="s">
        <v>589</v>
      </c>
      <c r="C153" t="s">
        <v>590</v>
      </c>
      <c r="D153" t="s">
        <v>57</v>
      </c>
      <c r="E153" t="s">
        <v>21</v>
      </c>
      <c r="F153">
        <v>732.34</v>
      </c>
      <c r="G153" s="2">
        <v>3389691.46</v>
      </c>
      <c r="H153" s="1">
        <v>44837</v>
      </c>
      <c r="J153" t="s">
        <v>591</v>
      </c>
      <c r="L153" t="s">
        <v>28</v>
      </c>
      <c r="M153" s="3">
        <v>1725151</v>
      </c>
      <c r="N153">
        <v>293</v>
      </c>
      <c r="O153" s="3">
        <v>3161</v>
      </c>
      <c r="P153">
        <v>0</v>
      </c>
      <c r="Q153">
        <v>0</v>
      </c>
    </row>
    <row r="154" spans="1:17" x14ac:dyDescent="0.25">
      <c r="A154" t="s">
        <v>592</v>
      </c>
      <c r="B154" t="s">
        <v>593</v>
      </c>
      <c r="C154" t="s">
        <v>594</v>
      </c>
      <c r="D154" t="s">
        <v>57</v>
      </c>
      <c r="E154" t="s">
        <v>21</v>
      </c>
      <c r="F154">
        <v>281.67</v>
      </c>
      <c r="G154">
        <v>281.67</v>
      </c>
      <c r="H154" t="s">
        <v>595</v>
      </c>
      <c r="J154" t="s">
        <v>23</v>
      </c>
      <c r="L154" t="s">
        <v>28</v>
      </c>
      <c r="M154">
        <v>18</v>
      </c>
      <c r="N154">
        <v>0</v>
      </c>
      <c r="O154">
        <v>3</v>
      </c>
      <c r="P154">
        <v>1</v>
      </c>
      <c r="Q154">
        <v>0</v>
      </c>
    </row>
    <row r="155" spans="1:17" x14ac:dyDescent="0.25">
      <c r="A155" t="s">
        <v>596</v>
      </c>
      <c r="B155" t="s">
        <v>597</v>
      </c>
      <c r="C155" t="s">
        <v>598</v>
      </c>
      <c r="D155" t="s">
        <v>57</v>
      </c>
      <c r="E155" t="s">
        <v>21</v>
      </c>
      <c r="F155">
        <v>634.95000000000005</v>
      </c>
      <c r="G155" s="2">
        <v>3779909.93</v>
      </c>
      <c r="H155" s="1">
        <v>44898</v>
      </c>
      <c r="J155" t="s">
        <v>599</v>
      </c>
      <c r="K155" t="s">
        <v>53</v>
      </c>
      <c r="L155" t="s">
        <v>28</v>
      </c>
      <c r="M155" s="3">
        <v>1706020</v>
      </c>
      <c r="N155">
        <v>604</v>
      </c>
      <c r="O155" s="3">
        <v>3141</v>
      </c>
      <c r="P155">
        <v>0</v>
      </c>
      <c r="Q155">
        <v>2</v>
      </c>
    </row>
    <row r="156" spans="1:17" x14ac:dyDescent="0.25">
      <c r="A156" t="s">
        <v>600</v>
      </c>
      <c r="B156" t="s">
        <v>601</v>
      </c>
      <c r="C156" t="s">
        <v>602</v>
      </c>
      <c r="D156" t="s">
        <v>57</v>
      </c>
      <c r="E156" t="s">
        <v>21</v>
      </c>
      <c r="F156" s="2">
        <v>7244.75</v>
      </c>
      <c r="G156" s="3">
        <v>7291</v>
      </c>
      <c r="H156" t="s">
        <v>94</v>
      </c>
      <c r="J156" t="s">
        <v>23</v>
      </c>
      <c r="L156" t="s">
        <v>28</v>
      </c>
      <c r="M156" s="3">
        <v>3991</v>
      </c>
      <c r="N156">
        <v>209</v>
      </c>
      <c r="O156">
        <v>3</v>
      </c>
      <c r="P156">
        <v>3</v>
      </c>
      <c r="Q156">
        <v>14</v>
      </c>
    </row>
    <row r="157" spans="1:17" x14ac:dyDescent="0.25">
      <c r="A157" t="s">
        <v>603</v>
      </c>
      <c r="B157" t="s">
        <v>604</v>
      </c>
      <c r="C157" t="s">
        <v>605</v>
      </c>
      <c r="D157" t="s">
        <v>57</v>
      </c>
      <c r="E157" t="s">
        <v>21</v>
      </c>
      <c r="F157">
        <v>81.14</v>
      </c>
      <c r="G157">
        <v>362.09</v>
      </c>
      <c r="H157" s="1">
        <v>45906</v>
      </c>
      <c r="J157" t="s">
        <v>23</v>
      </c>
      <c r="L157" t="s">
        <v>24</v>
      </c>
      <c r="M157">
        <v>50</v>
      </c>
      <c r="N157">
        <v>0</v>
      </c>
      <c r="O157">
        <v>3</v>
      </c>
      <c r="P157">
        <v>3</v>
      </c>
      <c r="Q157">
        <v>3</v>
      </c>
    </row>
    <row r="158" spans="1:17" x14ac:dyDescent="0.25">
      <c r="A158" t="s">
        <v>606</v>
      </c>
      <c r="B158" t="s">
        <v>607</v>
      </c>
      <c r="C158" t="s">
        <v>608</v>
      </c>
      <c r="D158" t="s">
        <v>57</v>
      </c>
      <c r="E158" t="s">
        <v>21</v>
      </c>
      <c r="G158">
        <v>0</v>
      </c>
      <c r="H158" t="s">
        <v>378</v>
      </c>
      <c r="J158" t="s">
        <v>23</v>
      </c>
      <c r="L158" t="s">
        <v>28</v>
      </c>
      <c r="M158">
        <v>4</v>
      </c>
      <c r="N158">
        <v>0</v>
      </c>
      <c r="O158">
        <v>3</v>
      </c>
      <c r="P158">
        <v>0</v>
      </c>
      <c r="Q158">
        <v>0</v>
      </c>
    </row>
    <row r="159" spans="1:17" x14ac:dyDescent="0.25">
      <c r="A159" t="s">
        <v>609</v>
      </c>
      <c r="B159" t="s">
        <v>610</v>
      </c>
      <c r="C159" t="s">
        <v>611</v>
      </c>
      <c r="D159" t="s">
        <v>57</v>
      </c>
      <c r="E159" t="s">
        <v>21</v>
      </c>
      <c r="F159">
        <v>206.94</v>
      </c>
      <c r="G159">
        <v>267.42</v>
      </c>
      <c r="H159" s="1">
        <v>45910</v>
      </c>
      <c r="J159" t="s">
        <v>23</v>
      </c>
      <c r="L159" t="s">
        <v>28</v>
      </c>
      <c r="M159">
        <v>34</v>
      </c>
      <c r="N159">
        <v>9</v>
      </c>
      <c r="O159">
        <v>3</v>
      </c>
      <c r="P159">
        <v>2</v>
      </c>
      <c r="Q159">
        <v>0</v>
      </c>
    </row>
    <row r="160" spans="1:17" x14ac:dyDescent="0.25">
      <c r="A160" t="s">
        <v>612</v>
      </c>
      <c r="B160" t="s">
        <v>566</v>
      </c>
      <c r="C160" t="s">
        <v>613</v>
      </c>
      <c r="D160" t="s">
        <v>57</v>
      </c>
      <c r="E160" t="s">
        <v>21</v>
      </c>
      <c r="F160" s="2">
        <v>1028.6600000000001</v>
      </c>
      <c r="G160" s="2">
        <v>3916141.74</v>
      </c>
      <c r="H160" t="s">
        <v>614</v>
      </c>
      <c r="J160" t="s">
        <v>615</v>
      </c>
      <c r="L160" t="s">
        <v>24</v>
      </c>
      <c r="M160" s="3">
        <v>1751177</v>
      </c>
      <c r="N160">
        <v>500</v>
      </c>
      <c r="O160" s="3">
        <v>3160</v>
      </c>
      <c r="P160">
        <v>0</v>
      </c>
      <c r="Q160">
        <v>0</v>
      </c>
    </row>
    <row r="161" spans="1:17" x14ac:dyDescent="0.25">
      <c r="A161" t="s">
        <v>616</v>
      </c>
      <c r="B161" t="s">
        <v>617</v>
      </c>
      <c r="C161" t="s">
        <v>618</v>
      </c>
      <c r="D161" t="s">
        <v>57</v>
      </c>
      <c r="E161" t="s">
        <v>21</v>
      </c>
      <c r="F161">
        <v>0.52</v>
      </c>
      <c r="G161" s="2">
        <v>1744664.82</v>
      </c>
      <c r="H161" t="s">
        <v>619</v>
      </c>
      <c r="J161" t="s">
        <v>545</v>
      </c>
      <c r="K161" t="s">
        <v>53</v>
      </c>
      <c r="L161" t="s">
        <v>24</v>
      </c>
      <c r="M161" s="3">
        <v>918945</v>
      </c>
      <c r="N161">
        <v>2</v>
      </c>
      <c r="O161" s="3">
        <v>2693</v>
      </c>
      <c r="P161">
        <v>0</v>
      </c>
      <c r="Q161">
        <v>0</v>
      </c>
    </row>
    <row r="162" spans="1:17" x14ac:dyDescent="0.25">
      <c r="A162" t="s">
        <v>620</v>
      </c>
      <c r="B162" t="s">
        <v>621</v>
      </c>
      <c r="C162" t="s">
        <v>622</v>
      </c>
      <c r="D162" t="s">
        <v>57</v>
      </c>
      <c r="E162" t="s">
        <v>21</v>
      </c>
      <c r="G162">
        <v>0</v>
      </c>
      <c r="H162" t="s">
        <v>623</v>
      </c>
      <c r="J162" t="s">
        <v>23</v>
      </c>
      <c r="L162" t="s">
        <v>28</v>
      </c>
      <c r="M162">
        <v>4</v>
      </c>
      <c r="N162">
        <v>0</v>
      </c>
      <c r="O162">
        <v>3</v>
      </c>
      <c r="P162">
        <v>0</v>
      </c>
      <c r="Q162">
        <v>0</v>
      </c>
    </row>
    <row r="163" spans="1:17" x14ac:dyDescent="0.25">
      <c r="A163" t="s">
        <v>624</v>
      </c>
      <c r="B163" t="s">
        <v>625</v>
      </c>
      <c r="C163" t="s">
        <v>626</v>
      </c>
      <c r="D163" t="s">
        <v>57</v>
      </c>
      <c r="E163" t="s">
        <v>21</v>
      </c>
      <c r="G163" s="2">
        <v>3048886.83</v>
      </c>
      <c r="H163" t="s">
        <v>627</v>
      </c>
      <c r="J163" t="s">
        <v>628</v>
      </c>
      <c r="L163" t="s">
        <v>24</v>
      </c>
      <c r="M163" s="3">
        <v>1542964</v>
      </c>
      <c r="N163">
        <v>0</v>
      </c>
      <c r="O163" s="3">
        <v>3046</v>
      </c>
      <c r="P163">
        <v>0</v>
      </c>
      <c r="Q163">
        <v>0</v>
      </c>
    </row>
    <row r="164" spans="1:17" x14ac:dyDescent="0.25">
      <c r="A164" t="s">
        <v>629</v>
      </c>
      <c r="B164" t="s">
        <v>630</v>
      </c>
      <c r="C164" t="s">
        <v>631</v>
      </c>
      <c r="D164" t="s">
        <v>57</v>
      </c>
      <c r="E164" t="s">
        <v>21</v>
      </c>
      <c r="F164">
        <v>954.22</v>
      </c>
      <c r="G164">
        <v>954.22</v>
      </c>
      <c r="H164" t="s">
        <v>632</v>
      </c>
      <c r="J164" t="s">
        <v>23</v>
      </c>
      <c r="L164" t="s">
        <v>28</v>
      </c>
      <c r="M164">
        <v>115</v>
      </c>
      <c r="N164">
        <v>2</v>
      </c>
      <c r="O164">
        <v>3</v>
      </c>
      <c r="P164">
        <v>2</v>
      </c>
      <c r="Q164">
        <v>0</v>
      </c>
    </row>
    <row r="165" spans="1:17" x14ac:dyDescent="0.25">
      <c r="A165" t="s">
        <v>633</v>
      </c>
      <c r="C165" t="s">
        <v>634</v>
      </c>
      <c r="D165" t="s">
        <v>57</v>
      </c>
      <c r="E165" t="s">
        <v>21</v>
      </c>
      <c r="G165">
        <v>19.71</v>
      </c>
      <c r="H165" t="s">
        <v>191</v>
      </c>
      <c r="J165" t="s">
        <v>23</v>
      </c>
      <c r="L165" t="s">
        <v>24</v>
      </c>
      <c r="M165">
        <v>15</v>
      </c>
      <c r="N165">
        <v>0</v>
      </c>
      <c r="O165">
        <v>5</v>
      </c>
      <c r="P165">
        <v>0</v>
      </c>
      <c r="Q165">
        <v>0</v>
      </c>
    </row>
    <row r="166" spans="1:17" x14ac:dyDescent="0.25">
      <c r="A166" t="s">
        <v>635</v>
      </c>
      <c r="B166" t="s">
        <v>636</v>
      </c>
      <c r="C166" t="s">
        <v>637</v>
      </c>
      <c r="D166" t="s">
        <v>57</v>
      </c>
      <c r="E166" t="s">
        <v>21</v>
      </c>
      <c r="F166">
        <v>22.35</v>
      </c>
      <c r="G166" s="2">
        <v>3915148.04</v>
      </c>
      <c r="H166" t="s">
        <v>638</v>
      </c>
      <c r="J166" t="s">
        <v>639</v>
      </c>
      <c r="K166" t="s">
        <v>53</v>
      </c>
      <c r="L166" t="s">
        <v>24</v>
      </c>
      <c r="M166" s="3">
        <v>1750705</v>
      </c>
      <c r="N166">
        <v>28</v>
      </c>
      <c r="O166" s="3">
        <v>3160</v>
      </c>
      <c r="P166">
        <v>0</v>
      </c>
      <c r="Q166">
        <v>0</v>
      </c>
    </row>
    <row r="167" spans="1:17" x14ac:dyDescent="0.25">
      <c r="A167" t="s">
        <v>640</v>
      </c>
      <c r="B167" t="s">
        <v>641</v>
      </c>
      <c r="C167" t="s">
        <v>642</v>
      </c>
      <c r="D167" t="s">
        <v>57</v>
      </c>
      <c r="E167" t="s">
        <v>21</v>
      </c>
      <c r="F167">
        <v>627.21</v>
      </c>
      <c r="G167" s="2">
        <v>1132.25</v>
      </c>
      <c r="H167" t="s">
        <v>643</v>
      </c>
      <c r="J167" t="s">
        <v>23</v>
      </c>
      <c r="L167" t="s">
        <v>24</v>
      </c>
      <c r="M167">
        <v>189</v>
      </c>
      <c r="N167">
        <v>12</v>
      </c>
      <c r="O167">
        <v>3</v>
      </c>
      <c r="P167">
        <v>2</v>
      </c>
      <c r="Q167">
        <v>9</v>
      </c>
    </row>
    <row r="168" spans="1:17" x14ac:dyDescent="0.25">
      <c r="A168" t="s">
        <v>644</v>
      </c>
      <c r="B168" t="s">
        <v>645</v>
      </c>
      <c r="C168" t="s">
        <v>646</v>
      </c>
      <c r="D168" t="s">
        <v>57</v>
      </c>
      <c r="E168" t="s">
        <v>21</v>
      </c>
      <c r="F168">
        <v>7.75</v>
      </c>
      <c r="G168">
        <v>7.75</v>
      </c>
      <c r="H168" t="s">
        <v>647</v>
      </c>
      <c r="J168" t="s">
        <v>23</v>
      </c>
      <c r="L168" t="s">
        <v>28</v>
      </c>
      <c r="M168">
        <v>20</v>
      </c>
      <c r="N168">
        <v>16</v>
      </c>
      <c r="O168">
        <v>3</v>
      </c>
      <c r="P168">
        <v>0</v>
      </c>
      <c r="Q168">
        <v>0</v>
      </c>
    </row>
    <row r="169" spans="1:17" x14ac:dyDescent="0.25">
      <c r="A169" t="s">
        <v>648</v>
      </c>
      <c r="B169" t="s">
        <v>649</v>
      </c>
      <c r="C169" t="s">
        <v>650</v>
      </c>
      <c r="D169" t="s">
        <v>57</v>
      </c>
      <c r="E169" t="s">
        <v>21</v>
      </c>
      <c r="F169">
        <v>17.600000000000001</v>
      </c>
      <c r="G169" s="2">
        <v>3394806.3</v>
      </c>
      <c r="H169" t="s">
        <v>651</v>
      </c>
      <c r="J169" t="s">
        <v>652</v>
      </c>
      <c r="K169" t="s">
        <v>53</v>
      </c>
      <c r="L169" t="s">
        <v>24</v>
      </c>
      <c r="M169" s="3">
        <v>1725880</v>
      </c>
      <c r="N169">
        <v>72</v>
      </c>
      <c r="O169" s="3">
        <v>3156</v>
      </c>
      <c r="P169">
        <v>0</v>
      </c>
      <c r="Q169">
        <v>0</v>
      </c>
    </row>
    <row r="170" spans="1:17" x14ac:dyDescent="0.25">
      <c r="A170" t="s">
        <v>653</v>
      </c>
      <c r="B170" t="s">
        <v>654</v>
      </c>
      <c r="C170" t="s">
        <v>655</v>
      </c>
      <c r="D170" t="s">
        <v>57</v>
      </c>
      <c r="E170" t="s">
        <v>21</v>
      </c>
      <c r="F170" s="2">
        <v>67655.360000000001</v>
      </c>
      <c r="G170" s="2">
        <v>67655.360000000001</v>
      </c>
      <c r="H170" s="1">
        <v>45547</v>
      </c>
      <c r="J170" t="s">
        <v>23</v>
      </c>
      <c r="L170" t="s">
        <v>28</v>
      </c>
      <c r="M170" s="3">
        <v>1702</v>
      </c>
      <c r="N170">
        <v>4</v>
      </c>
      <c r="O170">
        <v>3</v>
      </c>
      <c r="P170">
        <v>3</v>
      </c>
      <c r="Q170">
        <v>1</v>
      </c>
    </row>
    <row r="171" spans="1:17" x14ac:dyDescent="0.25">
      <c r="A171" t="s">
        <v>656</v>
      </c>
      <c r="B171" t="s">
        <v>657</v>
      </c>
      <c r="C171" t="s">
        <v>658</v>
      </c>
      <c r="D171" t="s">
        <v>57</v>
      </c>
      <c r="E171" t="s">
        <v>21</v>
      </c>
      <c r="F171">
        <v>0.21</v>
      </c>
      <c r="G171">
        <v>0.21</v>
      </c>
      <c r="H171" s="1">
        <v>45664</v>
      </c>
      <c r="J171" t="s">
        <v>23</v>
      </c>
      <c r="L171" t="s">
        <v>24</v>
      </c>
      <c r="M171">
        <v>5</v>
      </c>
      <c r="N171">
        <v>1</v>
      </c>
      <c r="O171">
        <v>3</v>
      </c>
      <c r="P171">
        <v>0</v>
      </c>
      <c r="Q171">
        <v>0</v>
      </c>
    </row>
    <row r="172" spans="1:17" x14ac:dyDescent="0.25">
      <c r="A172" t="s">
        <v>659</v>
      </c>
      <c r="C172" t="s">
        <v>660</v>
      </c>
      <c r="D172" t="s">
        <v>57</v>
      </c>
      <c r="E172" t="s">
        <v>21</v>
      </c>
      <c r="G172">
        <v>19.71</v>
      </c>
      <c r="H172" t="s">
        <v>199</v>
      </c>
      <c r="J172" t="s">
        <v>23</v>
      </c>
      <c r="L172" t="s">
        <v>24</v>
      </c>
      <c r="M172">
        <v>15</v>
      </c>
      <c r="N172">
        <v>0</v>
      </c>
      <c r="O172">
        <v>5</v>
      </c>
      <c r="P172">
        <v>0</v>
      </c>
      <c r="Q172">
        <v>0</v>
      </c>
    </row>
    <row r="173" spans="1:17" x14ac:dyDescent="0.25">
      <c r="A173" t="s">
        <v>661</v>
      </c>
      <c r="B173" t="s">
        <v>662</v>
      </c>
      <c r="C173" t="s">
        <v>663</v>
      </c>
      <c r="D173" t="s">
        <v>57</v>
      </c>
      <c r="E173" t="s">
        <v>21</v>
      </c>
      <c r="F173" s="2">
        <v>2965.3</v>
      </c>
      <c r="G173" s="2">
        <v>3917833.16</v>
      </c>
      <c r="H173" t="s">
        <v>664</v>
      </c>
      <c r="J173" t="s">
        <v>665</v>
      </c>
      <c r="K173" t="s">
        <v>53</v>
      </c>
      <c r="L173" t="s">
        <v>24</v>
      </c>
      <c r="M173" s="3">
        <v>1750872</v>
      </c>
      <c r="N173">
        <v>425</v>
      </c>
      <c r="O173" s="3">
        <v>3159</v>
      </c>
      <c r="P173">
        <v>0</v>
      </c>
      <c r="Q173">
        <v>0</v>
      </c>
    </row>
    <row r="174" spans="1:17" x14ac:dyDescent="0.25">
      <c r="A174" t="s">
        <v>666</v>
      </c>
      <c r="B174" t="s">
        <v>667</v>
      </c>
      <c r="C174" t="s">
        <v>668</v>
      </c>
      <c r="D174" t="s">
        <v>57</v>
      </c>
      <c r="E174" t="s">
        <v>21</v>
      </c>
      <c r="F174">
        <v>8.01</v>
      </c>
      <c r="G174">
        <v>8.01</v>
      </c>
      <c r="H174" t="s">
        <v>378</v>
      </c>
      <c r="J174" t="s">
        <v>23</v>
      </c>
      <c r="L174" t="s">
        <v>28</v>
      </c>
      <c r="M174">
        <v>5</v>
      </c>
      <c r="N174">
        <v>1</v>
      </c>
      <c r="O174">
        <v>3</v>
      </c>
      <c r="P174">
        <v>0</v>
      </c>
      <c r="Q174">
        <v>0</v>
      </c>
    </row>
    <row r="175" spans="1:17" x14ac:dyDescent="0.25">
      <c r="A175" t="s">
        <v>669</v>
      </c>
      <c r="B175" t="s">
        <v>509</v>
      </c>
      <c r="C175" t="s">
        <v>670</v>
      </c>
      <c r="D175" t="s">
        <v>57</v>
      </c>
      <c r="E175" t="s">
        <v>21</v>
      </c>
      <c r="G175" s="2">
        <v>3388737.68</v>
      </c>
      <c r="H175" t="s">
        <v>643</v>
      </c>
      <c r="J175" t="s">
        <v>671</v>
      </c>
      <c r="K175" t="s">
        <v>53</v>
      </c>
      <c r="L175" t="s">
        <v>28</v>
      </c>
      <c r="M175" s="3">
        <v>1724297</v>
      </c>
      <c r="N175">
        <v>0</v>
      </c>
      <c r="O175" s="3">
        <v>3155</v>
      </c>
      <c r="P175">
        <v>0</v>
      </c>
      <c r="Q175">
        <v>0</v>
      </c>
    </row>
    <row r="176" spans="1:17" x14ac:dyDescent="0.25">
      <c r="A176" t="s">
        <v>672</v>
      </c>
      <c r="B176" t="s">
        <v>673</v>
      </c>
      <c r="C176" t="s">
        <v>674</v>
      </c>
      <c r="D176" t="s">
        <v>57</v>
      </c>
      <c r="E176" t="s">
        <v>21</v>
      </c>
      <c r="F176">
        <v>910.57</v>
      </c>
      <c r="G176" s="2">
        <v>1086.99</v>
      </c>
      <c r="H176" t="s">
        <v>675</v>
      </c>
      <c r="J176" t="s">
        <v>23</v>
      </c>
      <c r="L176" t="s">
        <v>28</v>
      </c>
      <c r="M176">
        <v>127</v>
      </c>
      <c r="N176">
        <v>0</v>
      </c>
      <c r="O176">
        <v>3</v>
      </c>
      <c r="P176">
        <v>3</v>
      </c>
      <c r="Q176">
        <v>2</v>
      </c>
    </row>
    <row r="177" spans="1:17" x14ac:dyDescent="0.25">
      <c r="A177" t="s">
        <v>676</v>
      </c>
      <c r="B177" t="s">
        <v>677</v>
      </c>
      <c r="C177" t="s">
        <v>678</v>
      </c>
      <c r="D177" t="s">
        <v>57</v>
      </c>
      <c r="E177" t="s">
        <v>21</v>
      </c>
      <c r="F177">
        <v>175.25</v>
      </c>
      <c r="G177" s="2">
        <v>3915241.27</v>
      </c>
      <c r="H177" t="s">
        <v>679</v>
      </c>
      <c r="J177" t="s">
        <v>680</v>
      </c>
      <c r="K177" t="s">
        <v>53</v>
      </c>
      <c r="L177" t="s">
        <v>28</v>
      </c>
      <c r="M177" s="3">
        <v>1751445</v>
      </c>
      <c r="N177">
        <v>416</v>
      </c>
      <c r="O177" s="3">
        <v>3163</v>
      </c>
      <c r="P177">
        <v>0</v>
      </c>
      <c r="Q177">
        <v>0</v>
      </c>
    </row>
    <row r="178" spans="1:17" x14ac:dyDescent="0.25">
      <c r="A178" t="s">
        <v>681</v>
      </c>
      <c r="B178" t="s">
        <v>682</v>
      </c>
      <c r="C178" t="s">
        <v>683</v>
      </c>
      <c r="D178" t="s">
        <v>57</v>
      </c>
      <c r="E178" t="s">
        <v>21</v>
      </c>
      <c r="F178" s="2">
        <v>2557.0100000000002</v>
      </c>
      <c r="G178" s="2">
        <v>2557.0100000000002</v>
      </c>
      <c r="H178" t="s">
        <v>684</v>
      </c>
      <c r="J178" t="s">
        <v>23</v>
      </c>
      <c r="L178" t="s">
        <v>28</v>
      </c>
      <c r="M178">
        <v>476</v>
      </c>
      <c r="N178">
        <v>0</v>
      </c>
      <c r="O178">
        <v>3</v>
      </c>
      <c r="P178">
        <v>3</v>
      </c>
      <c r="Q178">
        <v>0</v>
      </c>
    </row>
    <row r="179" spans="1:17" x14ac:dyDescent="0.25">
      <c r="A179" t="s">
        <v>685</v>
      </c>
      <c r="B179" t="s">
        <v>686</v>
      </c>
      <c r="C179" t="s">
        <v>687</v>
      </c>
      <c r="D179" t="s">
        <v>57</v>
      </c>
      <c r="E179" t="s">
        <v>21</v>
      </c>
      <c r="F179" s="2">
        <v>23422.639999999999</v>
      </c>
      <c r="G179" s="2">
        <v>23422.639999999999</v>
      </c>
      <c r="H179" t="s">
        <v>688</v>
      </c>
      <c r="J179" t="s">
        <v>23</v>
      </c>
      <c r="L179" t="s">
        <v>28</v>
      </c>
      <c r="M179" s="3">
        <v>5910</v>
      </c>
      <c r="N179">
        <v>0</v>
      </c>
      <c r="O179">
        <v>4</v>
      </c>
      <c r="P179">
        <v>4</v>
      </c>
      <c r="Q179">
        <v>0</v>
      </c>
    </row>
    <row r="180" spans="1:17" x14ac:dyDescent="0.25">
      <c r="A180" t="s">
        <v>689</v>
      </c>
      <c r="B180" t="s">
        <v>690</v>
      </c>
      <c r="C180" t="s">
        <v>691</v>
      </c>
      <c r="D180" t="s">
        <v>57</v>
      </c>
      <c r="E180" t="s">
        <v>21</v>
      </c>
      <c r="F180">
        <v>324.02</v>
      </c>
      <c r="G180">
        <v>324.02</v>
      </c>
      <c r="H180" t="s">
        <v>692</v>
      </c>
      <c r="J180" t="s">
        <v>23</v>
      </c>
      <c r="L180" t="s">
        <v>28</v>
      </c>
      <c r="M180">
        <v>15</v>
      </c>
      <c r="N180">
        <v>11</v>
      </c>
      <c r="O180">
        <v>3</v>
      </c>
      <c r="P180">
        <v>0</v>
      </c>
      <c r="Q180">
        <v>0</v>
      </c>
    </row>
    <row r="181" spans="1:17" x14ac:dyDescent="0.25">
      <c r="A181" t="s">
        <v>693</v>
      </c>
      <c r="B181" t="s">
        <v>694</v>
      </c>
      <c r="C181" t="s">
        <v>695</v>
      </c>
      <c r="D181" t="s">
        <v>57</v>
      </c>
      <c r="E181" t="s">
        <v>21</v>
      </c>
      <c r="F181">
        <v>911.06</v>
      </c>
      <c r="G181" s="2">
        <v>3389648.74</v>
      </c>
      <c r="H181" s="1">
        <v>44409</v>
      </c>
      <c r="J181" t="s">
        <v>696</v>
      </c>
      <c r="K181" t="s">
        <v>53</v>
      </c>
      <c r="L181" t="s">
        <v>28</v>
      </c>
      <c r="M181" s="3">
        <v>1724936</v>
      </c>
      <c r="N181">
        <v>639</v>
      </c>
      <c r="O181" s="3">
        <v>3155</v>
      </c>
      <c r="P181">
        <v>0</v>
      </c>
      <c r="Q181">
        <v>0</v>
      </c>
    </row>
    <row r="182" spans="1:17" x14ac:dyDescent="0.25">
      <c r="A182" t="s">
        <v>697</v>
      </c>
      <c r="B182" t="s">
        <v>698</v>
      </c>
      <c r="C182" t="s">
        <v>699</v>
      </c>
      <c r="D182" t="s">
        <v>57</v>
      </c>
      <c r="E182" t="s">
        <v>21</v>
      </c>
      <c r="F182" s="2">
        <v>94123.38</v>
      </c>
      <c r="G182" s="2">
        <v>4138998.76</v>
      </c>
      <c r="H182" t="s">
        <v>51</v>
      </c>
      <c r="J182" t="s">
        <v>700</v>
      </c>
      <c r="K182" t="s">
        <v>53</v>
      </c>
      <c r="L182" t="s">
        <v>28</v>
      </c>
      <c r="M182" s="3">
        <v>1910248</v>
      </c>
      <c r="N182">
        <v>762</v>
      </c>
      <c r="O182" s="3">
        <v>3180</v>
      </c>
      <c r="P182">
        <v>5</v>
      </c>
      <c r="Q182">
        <v>30</v>
      </c>
    </row>
    <row r="183" spans="1:17" x14ac:dyDescent="0.25">
      <c r="A183" t="s">
        <v>701</v>
      </c>
      <c r="B183" t="s">
        <v>702</v>
      </c>
      <c r="C183" t="s">
        <v>703</v>
      </c>
      <c r="D183" t="s">
        <v>57</v>
      </c>
      <c r="E183" t="s">
        <v>21</v>
      </c>
      <c r="G183" s="2">
        <v>1421184.28</v>
      </c>
      <c r="H183" t="s">
        <v>704</v>
      </c>
      <c r="J183" t="s">
        <v>705</v>
      </c>
      <c r="L183" t="s">
        <v>24</v>
      </c>
      <c r="M183" s="3">
        <v>977590</v>
      </c>
      <c r="N183">
        <v>0</v>
      </c>
      <c r="O183" s="3">
        <v>2708</v>
      </c>
      <c r="P183">
        <v>0</v>
      </c>
      <c r="Q183">
        <v>0</v>
      </c>
    </row>
    <row r="184" spans="1:17" x14ac:dyDescent="0.25">
      <c r="A184" t="s">
        <v>706</v>
      </c>
      <c r="B184" t="s">
        <v>707</v>
      </c>
      <c r="C184" t="s">
        <v>708</v>
      </c>
      <c r="D184" t="s">
        <v>57</v>
      </c>
      <c r="E184" t="s">
        <v>21</v>
      </c>
      <c r="F184">
        <v>251.81</v>
      </c>
      <c r="G184" s="2">
        <v>1801801.11</v>
      </c>
      <c r="H184" s="1">
        <v>44357</v>
      </c>
      <c r="J184" t="s">
        <v>182</v>
      </c>
      <c r="L184" t="s">
        <v>24</v>
      </c>
      <c r="M184" s="3">
        <v>1291549</v>
      </c>
      <c r="N184">
        <v>696</v>
      </c>
      <c r="O184" s="3">
        <v>2899</v>
      </c>
      <c r="P184">
        <v>0</v>
      </c>
      <c r="Q184">
        <v>1</v>
      </c>
    </row>
    <row r="185" spans="1:17" x14ac:dyDescent="0.25">
      <c r="A185" t="s">
        <v>706</v>
      </c>
      <c r="B185" t="s">
        <v>709</v>
      </c>
      <c r="C185" t="s">
        <v>710</v>
      </c>
      <c r="D185" t="s">
        <v>57</v>
      </c>
      <c r="E185" t="s">
        <v>21</v>
      </c>
      <c r="F185" s="2">
        <v>1423.65</v>
      </c>
      <c r="G185" s="2">
        <v>3512553.77</v>
      </c>
      <c r="H185" t="s">
        <v>711</v>
      </c>
      <c r="J185" t="s">
        <v>712</v>
      </c>
      <c r="K185" t="s">
        <v>53</v>
      </c>
      <c r="L185" t="s">
        <v>24</v>
      </c>
      <c r="M185" s="3">
        <v>1830649</v>
      </c>
      <c r="N185">
        <v>933</v>
      </c>
      <c r="O185" s="3">
        <v>3171</v>
      </c>
      <c r="P185">
        <v>0</v>
      </c>
      <c r="Q185">
        <v>3</v>
      </c>
    </row>
    <row r="186" spans="1:17" x14ac:dyDescent="0.25">
      <c r="A186" t="s">
        <v>706</v>
      </c>
      <c r="B186" t="s">
        <v>713</v>
      </c>
      <c r="C186" t="s">
        <v>714</v>
      </c>
      <c r="D186" t="s">
        <v>57</v>
      </c>
      <c r="E186" t="s">
        <v>21</v>
      </c>
      <c r="F186" s="2">
        <v>23545.759999999998</v>
      </c>
      <c r="G186" s="2">
        <v>3938658.84</v>
      </c>
      <c r="H186" t="s">
        <v>715</v>
      </c>
      <c r="J186" t="s">
        <v>716</v>
      </c>
      <c r="L186" t="s">
        <v>24</v>
      </c>
      <c r="M186" s="3">
        <v>1853971</v>
      </c>
      <c r="N186" s="3">
        <v>99318</v>
      </c>
      <c r="O186" s="3">
        <v>3160</v>
      </c>
      <c r="P186">
        <v>0</v>
      </c>
      <c r="Q186">
        <v>1</v>
      </c>
    </row>
    <row r="187" spans="1:17" x14ac:dyDescent="0.25">
      <c r="A187" t="s">
        <v>706</v>
      </c>
      <c r="B187" t="s">
        <v>717</v>
      </c>
      <c r="C187" t="s">
        <v>718</v>
      </c>
      <c r="D187" t="s">
        <v>57</v>
      </c>
      <c r="E187" t="s">
        <v>21</v>
      </c>
      <c r="G187">
        <v>180.13</v>
      </c>
      <c r="H187" s="1">
        <v>45667</v>
      </c>
      <c r="J187" t="s">
        <v>23</v>
      </c>
      <c r="L187" t="s">
        <v>28</v>
      </c>
      <c r="M187">
        <v>6</v>
      </c>
      <c r="N187">
        <v>0</v>
      </c>
      <c r="O187">
        <v>3</v>
      </c>
      <c r="P187">
        <v>0</v>
      </c>
      <c r="Q187">
        <v>1</v>
      </c>
    </row>
    <row r="188" spans="1:17" x14ac:dyDescent="0.25">
      <c r="A188" t="s">
        <v>719</v>
      </c>
      <c r="B188" t="s">
        <v>720</v>
      </c>
      <c r="C188" t="s">
        <v>721</v>
      </c>
      <c r="D188" t="s">
        <v>57</v>
      </c>
      <c r="E188" t="s">
        <v>21</v>
      </c>
      <c r="F188">
        <v>188.47</v>
      </c>
      <c r="G188" s="2">
        <v>2075411.11</v>
      </c>
      <c r="H188" t="s">
        <v>722</v>
      </c>
      <c r="J188" t="s">
        <v>723</v>
      </c>
      <c r="L188" t="s">
        <v>24</v>
      </c>
      <c r="M188" s="3">
        <v>1136213</v>
      </c>
      <c r="N188">
        <v>293</v>
      </c>
      <c r="O188" s="3">
        <v>2799</v>
      </c>
      <c r="P188">
        <v>0</v>
      </c>
      <c r="Q188">
        <v>0</v>
      </c>
    </row>
    <row r="189" spans="1:17" x14ac:dyDescent="0.25">
      <c r="A189" t="s">
        <v>724</v>
      </c>
      <c r="B189" t="s">
        <v>725</v>
      </c>
      <c r="C189" t="s">
        <v>726</v>
      </c>
      <c r="D189" t="s">
        <v>57</v>
      </c>
      <c r="E189" t="s">
        <v>21</v>
      </c>
      <c r="F189">
        <v>409.2</v>
      </c>
      <c r="G189" s="2">
        <v>3915780.11</v>
      </c>
      <c r="H189" t="s">
        <v>727</v>
      </c>
      <c r="J189" t="s">
        <v>728</v>
      </c>
      <c r="K189" t="s">
        <v>53</v>
      </c>
      <c r="L189" t="s">
        <v>24</v>
      </c>
      <c r="M189" s="3">
        <v>1751135</v>
      </c>
      <c r="N189">
        <v>228</v>
      </c>
      <c r="O189" s="3">
        <v>3161</v>
      </c>
      <c r="P189">
        <v>0</v>
      </c>
      <c r="Q189">
        <v>0</v>
      </c>
    </row>
    <row r="190" spans="1:17" x14ac:dyDescent="0.25">
      <c r="A190" t="s">
        <v>729</v>
      </c>
      <c r="C190" t="s">
        <v>730</v>
      </c>
      <c r="D190" t="s">
        <v>57</v>
      </c>
      <c r="E190" t="s">
        <v>21</v>
      </c>
      <c r="G190" s="2">
        <v>980233.32</v>
      </c>
      <c r="H190" t="s">
        <v>731</v>
      </c>
      <c r="J190" t="s">
        <v>359</v>
      </c>
      <c r="K190" t="s">
        <v>53</v>
      </c>
      <c r="L190" t="s">
        <v>24</v>
      </c>
      <c r="M190" s="3">
        <v>675372</v>
      </c>
      <c r="N190">
        <v>0</v>
      </c>
      <c r="O190" s="3">
        <v>2559</v>
      </c>
      <c r="P190">
        <v>0</v>
      </c>
      <c r="Q190">
        <v>0</v>
      </c>
    </row>
    <row r="191" spans="1:17" x14ac:dyDescent="0.25">
      <c r="A191" t="s">
        <v>732</v>
      </c>
      <c r="B191" t="s">
        <v>733</v>
      </c>
      <c r="C191" t="s">
        <v>734</v>
      </c>
      <c r="D191" t="s">
        <v>57</v>
      </c>
      <c r="E191" t="s">
        <v>21</v>
      </c>
      <c r="G191">
        <v>0</v>
      </c>
      <c r="H191" t="s">
        <v>735</v>
      </c>
      <c r="J191" t="s">
        <v>23</v>
      </c>
      <c r="L191" t="s">
        <v>28</v>
      </c>
      <c r="M191">
        <v>6</v>
      </c>
      <c r="N191">
        <v>2</v>
      </c>
      <c r="O191">
        <v>3</v>
      </c>
      <c r="P191">
        <v>0</v>
      </c>
      <c r="Q191">
        <v>0</v>
      </c>
    </row>
    <row r="192" spans="1:17" x14ac:dyDescent="0.25">
      <c r="A192" t="s">
        <v>732</v>
      </c>
      <c r="B192" t="s">
        <v>481</v>
      </c>
      <c r="C192" t="s">
        <v>736</v>
      </c>
      <c r="D192" t="s">
        <v>57</v>
      </c>
      <c r="E192" t="s">
        <v>21</v>
      </c>
      <c r="F192" s="2">
        <v>2352.5700000000002</v>
      </c>
      <c r="G192" s="2">
        <v>3391091.31</v>
      </c>
      <c r="H192" t="s">
        <v>51</v>
      </c>
      <c r="J192" t="s">
        <v>737</v>
      </c>
      <c r="K192" t="s">
        <v>53</v>
      </c>
      <c r="L192" t="s">
        <v>24</v>
      </c>
      <c r="M192" s="3">
        <v>1728438</v>
      </c>
      <c r="N192" s="3">
        <v>4139</v>
      </c>
      <c r="O192" s="3">
        <v>3155</v>
      </c>
      <c r="P192">
        <v>0</v>
      </c>
      <c r="Q192">
        <v>1</v>
      </c>
    </row>
    <row r="193" spans="1:17" x14ac:dyDescent="0.25">
      <c r="A193" t="s">
        <v>732</v>
      </c>
      <c r="B193" t="s">
        <v>738</v>
      </c>
      <c r="C193" t="s">
        <v>739</v>
      </c>
      <c r="D193" t="s">
        <v>57</v>
      </c>
      <c r="E193" t="s">
        <v>21</v>
      </c>
      <c r="G193">
        <v>19.72</v>
      </c>
      <c r="H193" t="s">
        <v>63</v>
      </c>
      <c r="J193" t="s">
        <v>276</v>
      </c>
      <c r="L193" t="s">
        <v>28</v>
      </c>
      <c r="M193">
        <v>18</v>
      </c>
      <c r="N193">
        <v>0</v>
      </c>
      <c r="O193">
        <v>6</v>
      </c>
      <c r="P193">
        <v>0</v>
      </c>
      <c r="Q193">
        <v>1</v>
      </c>
    </row>
    <row r="194" spans="1:17" x14ac:dyDescent="0.25">
      <c r="A194" t="s">
        <v>740</v>
      </c>
      <c r="C194" t="s">
        <v>741</v>
      </c>
      <c r="D194" t="s">
        <v>57</v>
      </c>
      <c r="E194" t="s">
        <v>21</v>
      </c>
      <c r="G194" s="2">
        <v>1115099.04</v>
      </c>
      <c r="H194" t="s">
        <v>742</v>
      </c>
      <c r="J194" t="s">
        <v>743</v>
      </c>
      <c r="L194" t="s">
        <v>24</v>
      </c>
      <c r="M194" s="3">
        <v>775593</v>
      </c>
      <c r="N194">
        <v>0</v>
      </c>
      <c r="O194" s="3">
        <v>2618</v>
      </c>
      <c r="P194">
        <v>0</v>
      </c>
      <c r="Q194">
        <v>0</v>
      </c>
    </row>
    <row r="195" spans="1:17" x14ac:dyDescent="0.25">
      <c r="A195" t="s">
        <v>744</v>
      </c>
      <c r="B195" t="s">
        <v>745</v>
      </c>
      <c r="C195" t="s">
        <v>746</v>
      </c>
      <c r="D195" t="s">
        <v>57</v>
      </c>
      <c r="E195" t="s">
        <v>21</v>
      </c>
      <c r="F195">
        <v>814.11</v>
      </c>
      <c r="G195" s="2">
        <v>1769951.51</v>
      </c>
      <c r="H195" s="1">
        <v>44541</v>
      </c>
      <c r="J195" t="s">
        <v>747</v>
      </c>
      <c r="K195" t="s">
        <v>53</v>
      </c>
      <c r="L195" t="s">
        <v>24</v>
      </c>
      <c r="M195" s="3">
        <v>934833</v>
      </c>
      <c r="N195">
        <v>910</v>
      </c>
      <c r="O195" s="3">
        <v>2709</v>
      </c>
      <c r="P195">
        <v>0</v>
      </c>
      <c r="Q195">
        <v>0</v>
      </c>
    </row>
    <row r="196" spans="1:17" x14ac:dyDescent="0.25">
      <c r="A196" t="s">
        <v>748</v>
      </c>
      <c r="B196" t="s">
        <v>749</v>
      </c>
      <c r="C196" t="s">
        <v>750</v>
      </c>
      <c r="D196" t="s">
        <v>57</v>
      </c>
      <c r="E196" t="s">
        <v>21</v>
      </c>
      <c r="F196" s="2">
        <v>82550.17</v>
      </c>
      <c r="G196" s="2">
        <v>149284.38</v>
      </c>
      <c r="H196" t="s">
        <v>751</v>
      </c>
      <c r="J196" t="s">
        <v>23</v>
      </c>
      <c r="L196" t="s">
        <v>28</v>
      </c>
      <c r="M196" s="3">
        <v>3300</v>
      </c>
      <c r="N196" s="3">
        <v>1297</v>
      </c>
      <c r="O196">
        <v>3</v>
      </c>
      <c r="P196">
        <v>5</v>
      </c>
      <c r="Q196">
        <v>3</v>
      </c>
    </row>
    <row r="197" spans="1:17" x14ac:dyDescent="0.25">
      <c r="A197" t="s">
        <v>752</v>
      </c>
      <c r="B197" t="s">
        <v>753</v>
      </c>
      <c r="C197" t="s">
        <v>754</v>
      </c>
      <c r="D197" t="s">
        <v>57</v>
      </c>
      <c r="E197" t="s">
        <v>21</v>
      </c>
      <c r="F197">
        <v>12.65</v>
      </c>
      <c r="G197" s="2">
        <v>3389302.44</v>
      </c>
      <c r="H197" t="s">
        <v>51</v>
      </c>
      <c r="J197" t="s">
        <v>755</v>
      </c>
      <c r="K197" t="s">
        <v>53</v>
      </c>
      <c r="L197" t="s">
        <v>24</v>
      </c>
      <c r="M197" s="3">
        <v>1724906</v>
      </c>
      <c r="N197">
        <v>91</v>
      </c>
      <c r="O197" s="3">
        <v>3159</v>
      </c>
      <c r="P197">
        <v>2</v>
      </c>
      <c r="Q197">
        <v>3</v>
      </c>
    </row>
    <row r="198" spans="1:17" x14ac:dyDescent="0.25">
      <c r="A198" t="s">
        <v>756</v>
      </c>
      <c r="B198" t="s">
        <v>757</v>
      </c>
      <c r="C198" t="s">
        <v>758</v>
      </c>
      <c r="D198" t="s">
        <v>57</v>
      </c>
      <c r="E198" t="s">
        <v>21</v>
      </c>
      <c r="F198">
        <v>0</v>
      </c>
      <c r="G198" s="2">
        <v>92893.2</v>
      </c>
      <c r="H198" t="s">
        <v>759</v>
      </c>
      <c r="J198" t="s">
        <v>23</v>
      </c>
      <c r="L198" t="s">
        <v>28</v>
      </c>
      <c r="M198" s="3">
        <v>79404</v>
      </c>
      <c r="N198">
        <v>1</v>
      </c>
      <c r="O198">
        <v>6</v>
      </c>
      <c r="P198">
        <v>0</v>
      </c>
      <c r="Q198">
        <v>0</v>
      </c>
    </row>
    <row r="199" spans="1:17" x14ac:dyDescent="0.25">
      <c r="A199" t="s">
        <v>760</v>
      </c>
      <c r="B199" t="s">
        <v>761</v>
      </c>
      <c r="C199" t="s">
        <v>762</v>
      </c>
      <c r="D199" t="s">
        <v>57</v>
      </c>
      <c r="E199" t="s">
        <v>21</v>
      </c>
      <c r="G199">
        <v>0</v>
      </c>
      <c r="H199" s="1">
        <v>45845</v>
      </c>
      <c r="J199" t="s">
        <v>23</v>
      </c>
      <c r="L199" t="s">
        <v>28</v>
      </c>
      <c r="M199">
        <v>5</v>
      </c>
      <c r="N199">
        <v>0</v>
      </c>
      <c r="O199">
        <v>3</v>
      </c>
      <c r="P199">
        <v>1</v>
      </c>
      <c r="Q199">
        <v>0</v>
      </c>
    </row>
    <row r="200" spans="1:17" x14ac:dyDescent="0.25">
      <c r="A200" t="s">
        <v>763</v>
      </c>
      <c r="C200" t="s">
        <v>764</v>
      </c>
      <c r="D200" t="s">
        <v>57</v>
      </c>
      <c r="E200" t="s">
        <v>21</v>
      </c>
      <c r="G200" s="2">
        <v>84467.44</v>
      </c>
      <c r="H200" t="s">
        <v>731</v>
      </c>
      <c r="J200" t="s">
        <v>23</v>
      </c>
      <c r="K200" t="s">
        <v>53</v>
      </c>
      <c r="L200" t="s">
        <v>24</v>
      </c>
      <c r="M200" s="3">
        <v>75062</v>
      </c>
      <c r="N200">
        <v>0</v>
      </c>
      <c r="O200">
        <v>5</v>
      </c>
      <c r="P200">
        <v>0</v>
      </c>
      <c r="Q200">
        <v>0</v>
      </c>
    </row>
    <row r="201" spans="1:17" x14ac:dyDescent="0.25">
      <c r="A201" t="s">
        <v>765</v>
      </c>
      <c r="B201" t="s">
        <v>216</v>
      </c>
      <c r="C201" t="s">
        <v>766</v>
      </c>
      <c r="D201" t="s">
        <v>57</v>
      </c>
      <c r="E201" t="s">
        <v>21</v>
      </c>
      <c r="F201">
        <v>35.97</v>
      </c>
      <c r="G201" s="2">
        <v>3507729.75</v>
      </c>
      <c r="H201" s="1">
        <v>44471</v>
      </c>
      <c r="J201" t="s">
        <v>767</v>
      </c>
      <c r="K201" t="s">
        <v>53</v>
      </c>
      <c r="L201" t="s">
        <v>28</v>
      </c>
      <c r="M201" s="3">
        <v>1828442</v>
      </c>
      <c r="N201">
        <v>57</v>
      </c>
      <c r="O201" s="3">
        <v>3170</v>
      </c>
      <c r="P201">
        <v>0</v>
      </c>
      <c r="Q201">
        <v>0</v>
      </c>
    </row>
    <row r="202" spans="1:17" x14ac:dyDescent="0.25">
      <c r="A202" t="s">
        <v>768</v>
      </c>
      <c r="B202" t="s">
        <v>769</v>
      </c>
      <c r="C202" t="s">
        <v>770</v>
      </c>
      <c r="D202" t="s">
        <v>57</v>
      </c>
      <c r="E202" t="s">
        <v>21</v>
      </c>
      <c r="G202">
        <v>0</v>
      </c>
      <c r="H202" s="1">
        <v>45698</v>
      </c>
      <c r="J202" t="s">
        <v>23</v>
      </c>
      <c r="L202" t="s">
        <v>28</v>
      </c>
      <c r="M202">
        <v>4</v>
      </c>
      <c r="N202">
        <v>0</v>
      </c>
      <c r="O202">
        <v>3</v>
      </c>
      <c r="P202">
        <v>0</v>
      </c>
      <c r="Q202">
        <v>0</v>
      </c>
    </row>
    <row r="203" spans="1:17" x14ac:dyDescent="0.25">
      <c r="A203" t="s">
        <v>771</v>
      </c>
      <c r="B203" t="s">
        <v>772</v>
      </c>
      <c r="C203" t="s">
        <v>773</v>
      </c>
      <c r="D203" t="s">
        <v>57</v>
      </c>
      <c r="E203" t="s">
        <v>21</v>
      </c>
      <c r="F203" s="2">
        <v>41026.480000000003</v>
      </c>
      <c r="G203" s="2">
        <v>235829.05</v>
      </c>
      <c r="H203" t="s">
        <v>774</v>
      </c>
      <c r="J203" t="s">
        <v>775</v>
      </c>
      <c r="K203" t="s">
        <v>776</v>
      </c>
      <c r="L203" t="s">
        <v>28</v>
      </c>
      <c r="M203" s="3">
        <v>183157</v>
      </c>
      <c r="N203" s="3">
        <v>1451</v>
      </c>
      <c r="O203">
        <v>81</v>
      </c>
      <c r="P203">
        <v>14</v>
      </c>
      <c r="Q203">
        <v>65</v>
      </c>
    </row>
    <row r="204" spans="1:17" x14ac:dyDescent="0.25">
      <c r="A204" t="s">
        <v>777</v>
      </c>
      <c r="B204" t="s">
        <v>778</v>
      </c>
      <c r="C204" t="s">
        <v>779</v>
      </c>
      <c r="D204" t="s">
        <v>57</v>
      </c>
      <c r="E204" t="s">
        <v>21</v>
      </c>
      <c r="G204" s="3">
        <v>19378</v>
      </c>
      <c r="H204" t="s">
        <v>780</v>
      </c>
      <c r="J204" t="s">
        <v>23</v>
      </c>
      <c r="L204" t="s">
        <v>28</v>
      </c>
      <c r="M204" s="3">
        <v>73904</v>
      </c>
      <c r="N204">
        <v>0</v>
      </c>
      <c r="O204">
        <v>3</v>
      </c>
      <c r="P204">
        <v>0</v>
      </c>
      <c r="Q204">
        <v>5</v>
      </c>
    </row>
    <row r="205" spans="1:17" x14ac:dyDescent="0.25">
      <c r="A205" t="s">
        <v>777</v>
      </c>
      <c r="B205" t="s">
        <v>781</v>
      </c>
      <c r="C205" t="s">
        <v>782</v>
      </c>
      <c r="D205" t="s">
        <v>57</v>
      </c>
      <c r="E205" t="s">
        <v>21</v>
      </c>
      <c r="G205" s="2">
        <v>1731691.87</v>
      </c>
      <c r="H205" s="1">
        <v>45662</v>
      </c>
      <c r="J205" t="s">
        <v>783</v>
      </c>
      <c r="L205" t="s">
        <v>28</v>
      </c>
      <c r="M205" s="3">
        <v>902508</v>
      </c>
      <c r="N205">
        <v>0</v>
      </c>
      <c r="O205" s="3">
        <v>2653</v>
      </c>
      <c r="P205">
        <v>0</v>
      </c>
      <c r="Q205">
        <v>0</v>
      </c>
    </row>
    <row r="206" spans="1:17" x14ac:dyDescent="0.25">
      <c r="A206" t="s">
        <v>777</v>
      </c>
      <c r="B206" t="s">
        <v>784</v>
      </c>
      <c r="C206" t="s">
        <v>785</v>
      </c>
      <c r="D206" t="s">
        <v>57</v>
      </c>
      <c r="E206" t="s">
        <v>21</v>
      </c>
      <c r="G206">
        <v>228.42</v>
      </c>
      <c r="H206" t="s">
        <v>786</v>
      </c>
      <c r="J206" t="s">
        <v>23</v>
      </c>
      <c r="L206" t="s">
        <v>28</v>
      </c>
      <c r="M206">
        <v>135</v>
      </c>
      <c r="N206">
        <v>0</v>
      </c>
      <c r="O206">
        <v>3</v>
      </c>
      <c r="P206">
        <v>4</v>
      </c>
      <c r="Q206">
        <v>0</v>
      </c>
    </row>
    <row r="207" spans="1:17" x14ac:dyDescent="0.25">
      <c r="A207" t="s">
        <v>787</v>
      </c>
      <c r="B207" t="s">
        <v>509</v>
      </c>
      <c r="C207" t="s">
        <v>788</v>
      </c>
      <c r="D207" t="s">
        <v>57</v>
      </c>
      <c r="E207" t="s">
        <v>21</v>
      </c>
      <c r="G207">
        <v>0</v>
      </c>
      <c r="H207" t="s">
        <v>789</v>
      </c>
      <c r="J207" t="s">
        <v>23</v>
      </c>
      <c r="L207" t="s">
        <v>28</v>
      </c>
      <c r="M207">
        <v>4</v>
      </c>
      <c r="N207">
        <v>0</v>
      </c>
      <c r="O207">
        <v>3</v>
      </c>
      <c r="P207">
        <v>0</v>
      </c>
      <c r="Q207">
        <v>0</v>
      </c>
    </row>
    <row r="208" spans="1:17" x14ac:dyDescent="0.25">
      <c r="A208" t="s">
        <v>790</v>
      </c>
      <c r="B208" t="s">
        <v>791</v>
      </c>
      <c r="C208" t="s">
        <v>792</v>
      </c>
      <c r="D208" t="s">
        <v>57</v>
      </c>
      <c r="E208" t="s">
        <v>21</v>
      </c>
      <c r="G208">
        <v>19.71</v>
      </c>
      <c r="H208" t="s">
        <v>191</v>
      </c>
      <c r="J208" t="s">
        <v>23</v>
      </c>
      <c r="L208" t="s">
        <v>28</v>
      </c>
      <c r="M208">
        <v>15</v>
      </c>
      <c r="N208">
        <v>0</v>
      </c>
      <c r="O208">
        <v>5</v>
      </c>
      <c r="P208">
        <v>0</v>
      </c>
      <c r="Q208">
        <v>0</v>
      </c>
    </row>
    <row r="209" spans="1:17" x14ac:dyDescent="0.25">
      <c r="A209" t="s">
        <v>790</v>
      </c>
      <c r="B209" t="s">
        <v>713</v>
      </c>
      <c r="C209" t="s">
        <v>793</v>
      </c>
      <c r="D209" t="s">
        <v>57</v>
      </c>
      <c r="E209" t="s">
        <v>21</v>
      </c>
      <c r="F209">
        <v>556.37</v>
      </c>
      <c r="G209" s="2">
        <v>2328481.0699999998</v>
      </c>
      <c r="H209" s="1">
        <v>44563</v>
      </c>
      <c r="J209" t="s">
        <v>794</v>
      </c>
      <c r="K209" t="s">
        <v>53</v>
      </c>
      <c r="L209" t="s">
        <v>24</v>
      </c>
      <c r="M209" s="3">
        <v>1317753</v>
      </c>
      <c r="N209">
        <v>521</v>
      </c>
      <c r="O209" s="3">
        <v>2904</v>
      </c>
      <c r="P209">
        <v>0</v>
      </c>
      <c r="Q209">
        <v>0</v>
      </c>
    </row>
    <row r="210" spans="1:17" x14ac:dyDescent="0.25">
      <c r="A210" t="s">
        <v>790</v>
      </c>
      <c r="B210" t="s">
        <v>795</v>
      </c>
      <c r="C210" t="s">
        <v>796</v>
      </c>
      <c r="D210" t="s">
        <v>57</v>
      </c>
      <c r="E210" t="s">
        <v>21</v>
      </c>
      <c r="F210" s="2">
        <v>6811.95</v>
      </c>
      <c r="G210" s="2">
        <v>183656.37</v>
      </c>
      <c r="H210" s="1">
        <v>45118</v>
      </c>
      <c r="J210" t="s">
        <v>797</v>
      </c>
      <c r="L210" t="s">
        <v>24</v>
      </c>
      <c r="M210" s="3">
        <v>67191</v>
      </c>
      <c r="N210">
        <v>2</v>
      </c>
      <c r="O210">
        <v>33</v>
      </c>
      <c r="P210">
        <v>4</v>
      </c>
      <c r="Q210">
        <v>1</v>
      </c>
    </row>
    <row r="211" spans="1:17" x14ac:dyDescent="0.25">
      <c r="A211" t="s">
        <v>798</v>
      </c>
      <c r="B211" t="s">
        <v>799</v>
      </c>
      <c r="C211" t="s">
        <v>800</v>
      </c>
      <c r="D211" t="s">
        <v>57</v>
      </c>
      <c r="E211" t="s">
        <v>21</v>
      </c>
      <c r="F211">
        <v>0.21</v>
      </c>
      <c r="G211" s="2">
        <v>2317867.69</v>
      </c>
      <c r="H211" t="s">
        <v>388</v>
      </c>
      <c r="J211" t="s">
        <v>801</v>
      </c>
      <c r="K211" t="s">
        <v>53</v>
      </c>
      <c r="L211" t="s">
        <v>24</v>
      </c>
      <c r="M211" s="3">
        <v>1304621</v>
      </c>
      <c r="N211">
        <v>32</v>
      </c>
      <c r="O211" s="3">
        <v>2843</v>
      </c>
      <c r="P211">
        <v>0</v>
      </c>
      <c r="Q211">
        <v>0</v>
      </c>
    </row>
    <row r="212" spans="1:17" x14ac:dyDescent="0.25">
      <c r="A212" t="s">
        <v>798</v>
      </c>
      <c r="B212" t="s">
        <v>802</v>
      </c>
      <c r="C212" t="s">
        <v>803</v>
      </c>
      <c r="D212" t="s">
        <v>57</v>
      </c>
      <c r="E212" t="s">
        <v>21</v>
      </c>
      <c r="G212">
        <v>0</v>
      </c>
      <c r="H212" t="s">
        <v>804</v>
      </c>
      <c r="J212" t="s">
        <v>23</v>
      </c>
      <c r="L212" t="s">
        <v>28</v>
      </c>
      <c r="M212">
        <v>4</v>
      </c>
      <c r="N212">
        <v>0</v>
      </c>
      <c r="O212">
        <v>3</v>
      </c>
      <c r="P212">
        <v>0</v>
      </c>
      <c r="Q212">
        <v>0</v>
      </c>
    </row>
    <row r="213" spans="1:17" x14ac:dyDescent="0.25">
      <c r="A213" t="s">
        <v>805</v>
      </c>
      <c r="B213" t="s">
        <v>806</v>
      </c>
      <c r="C213" t="s">
        <v>807</v>
      </c>
      <c r="D213" t="s">
        <v>57</v>
      </c>
      <c r="E213" t="s">
        <v>21</v>
      </c>
      <c r="F213">
        <v>2.9</v>
      </c>
      <c r="G213" s="2">
        <v>1920760.26</v>
      </c>
      <c r="H213" s="1">
        <v>45180</v>
      </c>
      <c r="J213" t="s">
        <v>808</v>
      </c>
      <c r="K213" t="s">
        <v>53</v>
      </c>
      <c r="L213" t="s">
        <v>28</v>
      </c>
      <c r="M213" s="3">
        <v>1395086</v>
      </c>
      <c r="N213">
        <v>12</v>
      </c>
      <c r="O213" s="3">
        <v>2914</v>
      </c>
      <c r="P213">
        <v>0</v>
      </c>
      <c r="Q213">
        <v>1</v>
      </c>
    </row>
    <row r="214" spans="1:17" x14ac:dyDescent="0.25">
      <c r="A214" t="s">
        <v>809</v>
      </c>
      <c r="B214" t="s">
        <v>810</v>
      </c>
      <c r="C214" t="s">
        <v>811</v>
      </c>
      <c r="D214" t="s">
        <v>57</v>
      </c>
      <c r="E214" t="s">
        <v>21</v>
      </c>
      <c r="F214">
        <v>1.67</v>
      </c>
      <c r="G214" s="2">
        <v>7678.3</v>
      </c>
      <c r="H214" s="1">
        <v>45879</v>
      </c>
      <c r="J214" t="s">
        <v>23</v>
      </c>
      <c r="L214" t="s">
        <v>28</v>
      </c>
      <c r="M214" s="3">
        <v>10066</v>
      </c>
      <c r="N214">
        <v>5</v>
      </c>
      <c r="O214">
        <v>13</v>
      </c>
      <c r="P214">
        <v>0</v>
      </c>
      <c r="Q214">
        <v>0</v>
      </c>
    </row>
    <row r="215" spans="1:17" x14ac:dyDescent="0.25">
      <c r="A215" t="s">
        <v>809</v>
      </c>
      <c r="B215" t="s">
        <v>812</v>
      </c>
      <c r="C215" t="s">
        <v>813</v>
      </c>
      <c r="D215" t="s">
        <v>57</v>
      </c>
      <c r="E215" t="s">
        <v>21</v>
      </c>
      <c r="G215">
        <v>0</v>
      </c>
      <c r="H215" t="s">
        <v>623</v>
      </c>
      <c r="J215" t="s">
        <v>23</v>
      </c>
      <c r="L215" t="s">
        <v>24</v>
      </c>
      <c r="M215">
        <v>4</v>
      </c>
      <c r="N215">
        <v>0</v>
      </c>
      <c r="O215">
        <v>3</v>
      </c>
      <c r="P215">
        <v>0</v>
      </c>
      <c r="Q215">
        <v>0</v>
      </c>
    </row>
    <row r="216" spans="1:17" x14ac:dyDescent="0.25">
      <c r="A216" t="s">
        <v>814</v>
      </c>
      <c r="B216" t="s">
        <v>815</v>
      </c>
      <c r="C216" t="s">
        <v>816</v>
      </c>
      <c r="D216" t="s">
        <v>57</v>
      </c>
      <c r="E216" t="s">
        <v>21</v>
      </c>
      <c r="G216">
        <v>19.72</v>
      </c>
      <c r="H216" t="s">
        <v>378</v>
      </c>
      <c r="J216" t="s">
        <v>276</v>
      </c>
      <c r="L216" t="s">
        <v>28</v>
      </c>
      <c r="M216">
        <v>17</v>
      </c>
      <c r="N216">
        <v>0</v>
      </c>
      <c r="O216">
        <v>6</v>
      </c>
      <c r="P216">
        <v>0</v>
      </c>
      <c r="Q216">
        <v>0</v>
      </c>
    </row>
    <row r="217" spans="1:17" x14ac:dyDescent="0.25">
      <c r="A217" t="s">
        <v>817</v>
      </c>
      <c r="B217" t="s">
        <v>818</v>
      </c>
      <c r="C217" t="s">
        <v>819</v>
      </c>
      <c r="D217" t="s">
        <v>57</v>
      </c>
      <c r="E217" t="s">
        <v>21</v>
      </c>
      <c r="F217">
        <v>577.29999999999995</v>
      </c>
      <c r="G217" s="2">
        <v>3389314.98</v>
      </c>
      <c r="H217" t="s">
        <v>820</v>
      </c>
      <c r="J217" t="s">
        <v>821</v>
      </c>
      <c r="L217" t="s">
        <v>24</v>
      </c>
      <c r="M217" s="3">
        <v>1724723</v>
      </c>
      <c r="N217">
        <v>426</v>
      </c>
      <c r="O217" s="3">
        <v>3155</v>
      </c>
      <c r="P217">
        <v>0</v>
      </c>
      <c r="Q217">
        <v>0</v>
      </c>
    </row>
    <row r="218" spans="1:17" x14ac:dyDescent="0.25">
      <c r="A218" t="s">
        <v>822</v>
      </c>
      <c r="B218" t="s">
        <v>823</v>
      </c>
      <c r="C218" t="s">
        <v>824</v>
      </c>
      <c r="D218" t="s">
        <v>57</v>
      </c>
      <c r="E218" t="s">
        <v>21</v>
      </c>
      <c r="F218">
        <v>234.88</v>
      </c>
      <c r="G218" s="2">
        <v>3389042.45</v>
      </c>
      <c r="H218" t="s">
        <v>825</v>
      </c>
      <c r="J218" t="s">
        <v>826</v>
      </c>
      <c r="K218" t="s">
        <v>53</v>
      </c>
      <c r="L218" t="s">
        <v>24</v>
      </c>
      <c r="M218" s="3">
        <v>1725144</v>
      </c>
      <c r="N218">
        <v>99</v>
      </c>
      <c r="O218" s="3">
        <v>3159</v>
      </c>
      <c r="P218">
        <v>0</v>
      </c>
      <c r="Q218">
        <v>0</v>
      </c>
    </row>
    <row r="219" spans="1:17" x14ac:dyDescent="0.25">
      <c r="A219" t="s">
        <v>827</v>
      </c>
      <c r="B219" t="s">
        <v>828</v>
      </c>
      <c r="C219" t="s">
        <v>829</v>
      </c>
      <c r="D219" t="s">
        <v>57</v>
      </c>
      <c r="E219" t="s">
        <v>21</v>
      </c>
      <c r="F219">
        <v>8.01</v>
      </c>
      <c r="G219">
        <v>8.01</v>
      </c>
      <c r="H219" t="s">
        <v>378</v>
      </c>
      <c r="J219" t="s">
        <v>23</v>
      </c>
      <c r="L219" t="s">
        <v>24</v>
      </c>
      <c r="M219">
        <v>5</v>
      </c>
      <c r="N219">
        <v>1</v>
      </c>
      <c r="O219">
        <v>3</v>
      </c>
      <c r="P219">
        <v>0</v>
      </c>
      <c r="Q219">
        <v>0</v>
      </c>
    </row>
    <row r="220" spans="1:17" x14ac:dyDescent="0.25">
      <c r="A220" t="s">
        <v>830</v>
      </c>
      <c r="B220" t="s">
        <v>831</v>
      </c>
      <c r="C220" t="s">
        <v>832</v>
      </c>
      <c r="D220" t="s">
        <v>57</v>
      </c>
      <c r="E220" t="s">
        <v>21</v>
      </c>
      <c r="F220" s="2">
        <v>22944.42</v>
      </c>
      <c r="G220" s="2">
        <v>2341566.84</v>
      </c>
      <c r="H220" t="s">
        <v>51</v>
      </c>
      <c r="J220" t="s">
        <v>833</v>
      </c>
      <c r="K220" t="s">
        <v>53</v>
      </c>
      <c r="L220" t="s">
        <v>28</v>
      </c>
      <c r="M220" s="3">
        <v>1311463</v>
      </c>
      <c r="N220" s="3">
        <v>9220</v>
      </c>
      <c r="O220" s="3">
        <v>2842</v>
      </c>
      <c r="P220">
        <v>9</v>
      </c>
      <c r="Q220">
        <v>10</v>
      </c>
    </row>
    <row r="221" spans="1:17" x14ac:dyDescent="0.25">
      <c r="A221" t="s">
        <v>834</v>
      </c>
      <c r="B221" t="s">
        <v>835</v>
      </c>
      <c r="C221" t="s">
        <v>836</v>
      </c>
      <c r="D221" t="s">
        <v>57</v>
      </c>
      <c r="E221" t="s">
        <v>21</v>
      </c>
      <c r="F221">
        <v>9.0299999999999994</v>
      </c>
      <c r="G221" s="2">
        <v>1769146.43</v>
      </c>
      <c r="H221" s="1">
        <v>45511</v>
      </c>
      <c r="J221" t="s">
        <v>837</v>
      </c>
      <c r="K221" t="s">
        <v>53</v>
      </c>
      <c r="L221" t="s">
        <v>28</v>
      </c>
      <c r="M221" s="3">
        <v>934059</v>
      </c>
      <c r="N221">
        <v>136</v>
      </c>
      <c r="O221" s="3">
        <v>2709</v>
      </c>
      <c r="P221">
        <v>0</v>
      </c>
      <c r="Q221">
        <v>0</v>
      </c>
    </row>
    <row r="222" spans="1:17" x14ac:dyDescent="0.25">
      <c r="A222" t="s">
        <v>838</v>
      </c>
      <c r="B222" t="s">
        <v>839</v>
      </c>
      <c r="C222" t="s">
        <v>840</v>
      </c>
      <c r="D222" t="s">
        <v>57</v>
      </c>
      <c r="E222" t="s">
        <v>21</v>
      </c>
      <c r="F222">
        <v>1.56</v>
      </c>
      <c r="G222">
        <v>1.56</v>
      </c>
      <c r="H222" t="s">
        <v>378</v>
      </c>
      <c r="J222" t="s">
        <v>23</v>
      </c>
      <c r="L222" t="s">
        <v>28</v>
      </c>
      <c r="M222">
        <v>5</v>
      </c>
      <c r="N222">
        <v>1</v>
      </c>
      <c r="O222">
        <v>3</v>
      </c>
      <c r="P222">
        <v>0</v>
      </c>
      <c r="Q222">
        <v>0</v>
      </c>
    </row>
    <row r="223" spans="1:17" x14ac:dyDescent="0.25">
      <c r="A223" t="s">
        <v>838</v>
      </c>
      <c r="B223" t="s">
        <v>173</v>
      </c>
      <c r="C223" t="s">
        <v>841</v>
      </c>
      <c r="D223" t="s">
        <v>57</v>
      </c>
      <c r="E223" t="s">
        <v>21</v>
      </c>
      <c r="F223">
        <v>1.17</v>
      </c>
      <c r="G223" s="2">
        <v>1801590.1</v>
      </c>
      <c r="H223" s="1">
        <v>44289</v>
      </c>
      <c r="J223" t="s">
        <v>842</v>
      </c>
      <c r="K223" t="s">
        <v>53</v>
      </c>
      <c r="L223" t="s">
        <v>24</v>
      </c>
      <c r="M223" s="3">
        <v>1290953</v>
      </c>
      <c r="N223">
        <v>50</v>
      </c>
      <c r="O223" s="3">
        <v>2899</v>
      </c>
      <c r="P223">
        <v>2</v>
      </c>
      <c r="Q223">
        <v>0</v>
      </c>
    </row>
    <row r="224" spans="1:17" x14ac:dyDescent="0.25">
      <c r="A224" t="s">
        <v>838</v>
      </c>
      <c r="B224" t="s">
        <v>30</v>
      </c>
      <c r="C224" t="s">
        <v>843</v>
      </c>
      <c r="D224" t="s">
        <v>57</v>
      </c>
      <c r="E224" t="s">
        <v>21</v>
      </c>
      <c r="F224">
        <v>34.049999999999997</v>
      </c>
      <c r="G224" s="2">
        <v>2333807.0099999998</v>
      </c>
      <c r="H224" t="s">
        <v>844</v>
      </c>
      <c r="J224" t="s">
        <v>845</v>
      </c>
      <c r="L224" t="s">
        <v>24</v>
      </c>
      <c r="M224" s="3">
        <v>1318586</v>
      </c>
      <c r="N224">
        <v>50</v>
      </c>
      <c r="O224" s="3">
        <v>2905</v>
      </c>
      <c r="P224">
        <v>3</v>
      </c>
      <c r="Q224">
        <v>0</v>
      </c>
    </row>
    <row r="225" spans="1:17" x14ac:dyDescent="0.25">
      <c r="A225" t="s">
        <v>838</v>
      </c>
      <c r="B225" t="s">
        <v>846</v>
      </c>
      <c r="C225" t="s">
        <v>847</v>
      </c>
      <c r="D225" t="s">
        <v>57</v>
      </c>
      <c r="E225" t="s">
        <v>21</v>
      </c>
      <c r="F225" s="2">
        <v>12434.81</v>
      </c>
      <c r="G225" s="2">
        <v>1757099.11</v>
      </c>
      <c r="H225" t="s">
        <v>51</v>
      </c>
      <c r="J225" t="s">
        <v>848</v>
      </c>
      <c r="K225" t="s">
        <v>53</v>
      </c>
      <c r="L225" t="s">
        <v>24</v>
      </c>
      <c r="M225" s="3">
        <v>927350</v>
      </c>
      <c r="N225" s="3">
        <v>8407</v>
      </c>
      <c r="O225" s="3">
        <v>2693</v>
      </c>
      <c r="P225">
        <v>0</v>
      </c>
      <c r="Q225">
        <v>0</v>
      </c>
    </row>
    <row r="226" spans="1:17" x14ac:dyDescent="0.25">
      <c r="A226" t="s">
        <v>849</v>
      </c>
      <c r="B226" t="s">
        <v>850</v>
      </c>
      <c r="C226" t="s">
        <v>851</v>
      </c>
      <c r="D226" t="s">
        <v>57</v>
      </c>
      <c r="E226" t="s">
        <v>21</v>
      </c>
      <c r="F226">
        <v>77.709999999999994</v>
      </c>
      <c r="G226" s="2">
        <v>2446713.2799999998</v>
      </c>
      <c r="H226" t="s">
        <v>852</v>
      </c>
      <c r="J226" t="s">
        <v>853</v>
      </c>
      <c r="K226" t="s">
        <v>53</v>
      </c>
      <c r="L226" t="s">
        <v>24</v>
      </c>
      <c r="M226" s="3">
        <v>1421174</v>
      </c>
      <c r="N226">
        <v>84</v>
      </c>
      <c r="O226" s="3">
        <v>2918</v>
      </c>
      <c r="P226">
        <v>0</v>
      </c>
      <c r="Q226">
        <v>0</v>
      </c>
    </row>
    <row r="227" spans="1:17" x14ac:dyDescent="0.25">
      <c r="A227" t="s">
        <v>849</v>
      </c>
      <c r="B227" t="s">
        <v>854</v>
      </c>
      <c r="C227" t="s">
        <v>855</v>
      </c>
      <c r="D227" t="s">
        <v>57</v>
      </c>
      <c r="E227" t="s">
        <v>21</v>
      </c>
      <c r="G227" s="2">
        <v>8064.44</v>
      </c>
      <c r="H227" t="s">
        <v>856</v>
      </c>
      <c r="J227" t="s">
        <v>23</v>
      </c>
      <c r="L227" t="s">
        <v>28</v>
      </c>
      <c r="M227">
        <v>27</v>
      </c>
      <c r="N227">
        <v>0</v>
      </c>
      <c r="O227">
        <v>5</v>
      </c>
      <c r="P227">
        <v>0</v>
      </c>
      <c r="Q227">
        <v>1</v>
      </c>
    </row>
    <row r="228" spans="1:17" x14ac:dyDescent="0.25">
      <c r="A228" t="s">
        <v>857</v>
      </c>
      <c r="B228" t="s">
        <v>858</v>
      </c>
      <c r="C228" t="s">
        <v>859</v>
      </c>
      <c r="D228" t="s">
        <v>57</v>
      </c>
      <c r="E228" t="s">
        <v>21</v>
      </c>
      <c r="G228" s="2">
        <v>2320898.06</v>
      </c>
      <c r="H228" t="s">
        <v>860</v>
      </c>
      <c r="J228" t="s">
        <v>861</v>
      </c>
      <c r="L228" t="s">
        <v>24</v>
      </c>
      <c r="M228" s="3">
        <v>1309974</v>
      </c>
      <c r="N228">
        <v>5</v>
      </c>
      <c r="O228" s="3">
        <v>2837</v>
      </c>
      <c r="P228">
        <v>0</v>
      </c>
      <c r="Q228">
        <v>0</v>
      </c>
    </row>
    <row r="229" spans="1:17" x14ac:dyDescent="0.25">
      <c r="A229" t="s">
        <v>857</v>
      </c>
      <c r="B229" t="s">
        <v>862</v>
      </c>
      <c r="C229" t="s">
        <v>863</v>
      </c>
      <c r="D229" t="s">
        <v>57</v>
      </c>
      <c r="E229" t="s">
        <v>21</v>
      </c>
      <c r="G229" s="2">
        <v>1892401.75</v>
      </c>
      <c r="H229" s="1">
        <v>44937</v>
      </c>
      <c r="J229" t="s">
        <v>864</v>
      </c>
      <c r="K229" t="s">
        <v>53</v>
      </c>
      <c r="L229" t="s">
        <v>24</v>
      </c>
      <c r="M229" s="3">
        <v>1069332</v>
      </c>
      <c r="N229">
        <v>0</v>
      </c>
      <c r="O229" s="3">
        <v>2686</v>
      </c>
      <c r="P229">
        <v>0</v>
      </c>
      <c r="Q229">
        <v>0</v>
      </c>
    </row>
    <row r="230" spans="1:17" x14ac:dyDescent="0.25">
      <c r="A230" t="s">
        <v>865</v>
      </c>
      <c r="B230" t="s">
        <v>866</v>
      </c>
      <c r="C230" t="s">
        <v>867</v>
      </c>
      <c r="D230" t="s">
        <v>57</v>
      </c>
      <c r="E230" t="s">
        <v>21</v>
      </c>
      <c r="F230">
        <v>165.63</v>
      </c>
      <c r="G230" s="2">
        <v>2682975.46</v>
      </c>
      <c r="H230" t="s">
        <v>868</v>
      </c>
      <c r="J230" t="s">
        <v>869</v>
      </c>
      <c r="K230" t="s">
        <v>53</v>
      </c>
      <c r="L230" t="s">
        <v>28</v>
      </c>
      <c r="M230" s="3">
        <v>1308797</v>
      </c>
      <c r="N230">
        <v>1</v>
      </c>
      <c r="O230" s="3">
        <v>2909</v>
      </c>
      <c r="P230">
        <v>2</v>
      </c>
      <c r="Q230">
        <v>6</v>
      </c>
    </row>
    <row r="231" spans="1:17" x14ac:dyDescent="0.25">
      <c r="A231" t="s">
        <v>870</v>
      </c>
      <c r="B231" t="b">
        <v>1</v>
      </c>
      <c r="C231" t="s">
        <v>871</v>
      </c>
      <c r="D231" t="s">
        <v>57</v>
      </c>
      <c r="E231" t="s">
        <v>21</v>
      </c>
      <c r="G231" s="2">
        <v>1731691.87</v>
      </c>
      <c r="H231" t="s">
        <v>872</v>
      </c>
      <c r="J231" t="s">
        <v>873</v>
      </c>
      <c r="L231" t="s">
        <v>24</v>
      </c>
      <c r="M231" s="3">
        <v>902508</v>
      </c>
      <c r="N231">
        <v>0</v>
      </c>
      <c r="O231" s="3">
        <v>2653</v>
      </c>
      <c r="P231">
        <v>0</v>
      </c>
      <c r="Q231">
        <v>0</v>
      </c>
    </row>
    <row r="232" spans="1:17" x14ac:dyDescent="0.25">
      <c r="A232" t="s">
        <v>874</v>
      </c>
      <c r="B232" t="s">
        <v>875</v>
      </c>
      <c r="C232" t="s">
        <v>876</v>
      </c>
      <c r="D232" t="s">
        <v>57</v>
      </c>
      <c r="E232" t="s">
        <v>21</v>
      </c>
      <c r="F232">
        <v>33.72</v>
      </c>
      <c r="G232" s="2">
        <v>3388771.4</v>
      </c>
      <c r="H232" t="s">
        <v>727</v>
      </c>
      <c r="J232" t="s">
        <v>877</v>
      </c>
      <c r="K232" t="s">
        <v>53</v>
      </c>
      <c r="L232" t="s">
        <v>24</v>
      </c>
      <c r="M232" s="3">
        <v>1724470</v>
      </c>
      <c r="N232">
        <v>173</v>
      </c>
      <c r="O232" s="3">
        <v>3155</v>
      </c>
      <c r="P232">
        <v>0</v>
      </c>
      <c r="Q232">
        <v>0</v>
      </c>
    </row>
    <row r="233" spans="1:17" x14ac:dyDescent="0.25">
      <c r="A233" t="s">
        <v>878</v>
      </c>
      <c r="B233" t="s">
        <v>879</v>
      </c>
      <c r="C233" t="s">
        <v>880</v>
      </c>
      <c r="D233" t="s">
        <v>57</v>
      </c>
      <c r="E233" t="s">
        <v>21</v>
      </c>
      <c r="G233">
        <v>19.71</v>
      </c>
      <c r="H233" t="s">
        <v>881</v>
      </c>
      <c r="J233" t="s">
        <v>23</v>
      </c>
      <c r="L233" t="s">
        <v>28</v>
      </c>
      <c r="M233">
        <v>15</v>
      </c>
      <c r="N233">
        <v>0</v>
      </c>
      <c r="O233">
        <v>5</v>
      </c>
      <c r="P233">
        <v>0</v>
      </c>
      <c r="Q233">
        <v>0</v>
      </c>
    </row>
    <row r="234" spans="1:17" x14ac:dyDescent="0.25">
      <c r="A234" t="s">
        <v>882</v>
      </c>
      <c r="B234" t="s">
        <v>883</v>
      </c>
      <c r="C234" t="s">
        <v>884</v>
      </c>
      <c r="D234" t="s">
        <v>57</v>
      </c>
      <c r="E234" t="s">
        <v>21</v>
      </c>
      <c r="G234" s="2">
        <v>3342313.58</v>
      </c>
      <c r="H234" s="1">
        <v>44876</v>
      </c>
      <c r="J234" t="s">
        <v>885</v>
      </c>
      <c r="L234" t="s">
        <v>24</v>
      </c>
      <c r="M234" s="3">
        <v>1387998</v>
      </c>
      <c r="N234">
        <v>0</v>
      </c>
      <c r="O234" s="3">
        <v>2925</v>
      </c>
      <c r="P234">
        <v>0</v>
      </c>
      <c r="Q234">
        <v>0</v>
      </c>
    </row>
    <row r="235" spans="1:17" x14ac:dyDescent="0.25">
      <c r="A235" t="s">
        <v>886</v>
      </c>
      <c r="B235" t="s">
        <v>887</v>
      </c>
      <c r="C235" t="s">
        <v>888</v>
      </c>
      <c r="D235" t="s">
        <v>57</v>
      </c>
      <c r="E235" t="s">
        <v>21</v>
      </c>
      <c r="F235">
        <v>541.17999999999995</v>
      </c>
      <c r="G235" s="2">
        <v>3915409.04</v>
      </c>
      <c r="H235" t="s">
        <v>889</v>
      </c>
      <c r="J235" t="s">
        <v>890</v>
      </c>
      <c r="K235" t="s">
        <v>53</v>
      </c>
      <c r="L235" t="s">
        <v>24</v>
      </c>
      <c r="M235" s="3">
        <v>1751098</v>
      </c>
      <c r="N235">
        <v>651</v>
      </c>
      <c r="O235" s="3">
        <v>3159</v>
      </c>
      <c r="P235">
        <v>0</v>
      </c>
      <c r="Q235">
        <v>0</v>
      </c>
    </row>
    <row r="236" spans="1:17" x14ac:dyDescent="0.25">
      <c r="A236" t="s">
        <v>886</v>
      </c>
      <c r="B236" t="s">
        <v>891</v>
      </c>
      <c r="C236" t="s">
        <v>892</v>
      </c>
      <c r="D236" t="s">
        <v>57</v>
      </c>
      <c r="E236" t="s">
        <v>21</v>
      </c>
      <c r="G236">
        <v>21.05</v>
      </c>
      <c r="H236" t="s">
        <v>274</v>
      </c>
      <c r="J236" t="s">
        <v>23</v>
      </c>
      <c r="L236" t="s">
        <v>28</v>
      </c>
      <c r="M236">
        <v>80</v>
      </c>
      <c r="N236">
        <v>0</v>
      </c>
      <c r="O236">
        <v>3</v>
      </c>
      <c r="P236">
        <v>0</v>
      </c>
      <c r="Q236">
        <v>1</v>
      </c>
    </row>
    <row r="237" spans="1:17" x14ac:dyDescent="0.25">
      <c r="A237" t="s">
        <v>886</v>
      </c>
      <c r="B237" t="s">
        <v>893</v>
      </c>
      <c r="C237" t="s">
        <v>894</v>
      </c>
      <c r="D237" t="s">
        <v>57</v>
      </c>
      <c r="E237" t="s">
        <v>21</v>
      </c>
      <c r="F237" s="2">
        <v>4528.87</v>
      </c>
      <c r="G237" s="2">
        <v>15375.39</v>
      </c>
      <c r="H237" t="s">
        <v>895</v>
      </c>
      <c r="J237" t="s">
        <v>23</v>
      </c>
      <c r="L237" t="s">
        <v>28</v>
      </c>
      <c r="M237" s="3">
        <v>10955</v>
      </c>
      <c r="N237">
        <v>319</v>
      </c>
      <c r="O237">
        <v>3</v>
      </c>
      <c r="P237">
        <v>3</v>
      </c>
      <c r="Q237">
        <v>53</v>
      </c>
    </row>
    <row r="238" spans="1:17" x14ac:dyDescent="0.25">
      <c r="A238" t="s">
        <v>886</v>
      </c>
      <c r="B238" t="s">
        <v>896</v>
      </c>
      <c r="C238" t="s">
        <v>897</v>
      </c>
      <c r="D238" t="s">
        <v>57</v>
      </c>
      <c r="E238" t="s">
        <v>21</v>
      </c>
      <c r="G238">
        <v>320.77999999999997</v>
      </c>
      <c r="H238" t="s">
        <v>898</v>
      </c>
      <c r="J238" t="s">
        <v>23</v>
      </c>
      <c r="L238" t="s">
        <v>28</v>
      </c>
      <c r="M238">
        <v>17</v>
      </c>
      <c r="N238">
        <v>0</v>
      </c>
      <c r="O238">
        <v>3</v>
      </c>
      <c r="P238">
        <v>0</v>
      </c>
      <c r="Q238">
        <v>1</v>
      </c>
    </row>
    <row r="239" spans="1:17" x14ac:dyDescent="0.25">
      <c r="A239" t="s">
        <v>899</v>
      </c>
      <c r="C239" t="s">
        <v>900</v>
      </c>
      <c r="D239" t="s">
        <v>57</v>
      </c>
      <c r="E239" t="s">
        <v>21</v>
      </c>
      <c r="G239" s="2">
        <v>980233.32</v>
      </c>
      <c r="H239" t="s">
        <v>901</v>
      </c>
      <c r="J239" t="s">
        <v>359</v>
      </c>
      <c r="K239" t="s">
        <v>53</v>
      </c>
      <c r="L239" t="s">
        <v>24</v>
      </c>
      <c r="M239" s="3">
        <v>675372</v>
      </c>
      <c r="N239">
        <v>0</v>
      </c>
      <c r="O239" s="3">
        <v>2559</v>
      </c>
      <c r="P239">
        <v>0</v>
      </c>
      <c r="Q239">
        <v>0</v>
      </c>
    </row>
    <row r="240" spans="1:17" x14ac:dyDescent="0.25">
      <c r="A240" t="s">
        <v>902</v>
      </c>
      <c r="B240" t="s">
        <v>903</v>
      </c>
      <c r="C240" t="s">
        <v>904</v>
      </c>
      <c r="D240" t="s">
        <v>57</v>
      </c>
      <c r="E240" t="s">
        <v>21</v>
      </c>
      <c r="G240" s="2">
        <v>2317867.48</v>
      </c>
      <c r="H240" s="1">
        <v>45845</v>
      </c>
      <c r="J240" t="s">
        <v>59</v>
      </c>
      <c r="K240" t="s">
        <v>53</v>
      </c>
      <c r="L240" t="s">
        <v>28</v>
      </c>
      <c r="M240" s="3">
        <v>1304589</v>
      </c>
      <c r="N240">
        <v>0</v>
      </c>
      <c r="O240" s="3">
        <v>2843</v>
      </c>
      <c r="P240">
        <v>0</v>
      </c>
      <c r="Q240">
        <v>0</v>
      </c>
    </row>
    <row r="241" spans="1:17" x14ac:dyDescent="0.25">
      <c r="A241" t="s">
        <v>902</v>
      </c>
      <c r="B241" t="s">
        <v>905</v>
      </c>
      <c r="C241" t="s">
        <v>906</v>
      </c>
      <c r="D241" t="s">
        <v>57</v>
      </c>
      <c r="E241" t="s">
        <v>21</v>
      </c>
      <c r="F241">
        <v>9.52</v>
      </c>
      <c r="G241" s="2">
        <v>980242.85</v>
      </c>
      <c r="H241" t="s">
        <v>907</v>
      </c>
      <c r="J241" t="s">
        <v>359</v>
      </c>
      <c r="L241" t="s">
        <v>28</v>
      </c>
      <c r="M241" s="3">
        <v>675397</v>
      </c>
      <c r="N241">
        <v>25</v>
      </c>
      <c r="O241" s="3">
        <v>2559</v>
      </c>
      <c r="P241">
        <v>0</v>
      </c>
      <c r="Q241">
        <v>0</v>
      </c>
    </row>
    <row r="242" spans="1:17" x14ac:dyDescent="0.25">
      <c r="A242" t="s">
        <v>908</v>
      </c>
      <c r="B242" t="s">
        <v>909</v>
      </c>
      <c r="C242" t="s">
        <v>910</v>
      </c>
      <c r="D242" t="s">
        <v>57</v>
      </c>
      <c r="E242" t="s">
        <v>21</v>
      </c>
      <c r="F242">
        <v>36.32</v>
      </c>
      <c r="G242" s="3">
        <v>3388774</v>
      </c>
      <c r="H242" t="s">
        <v>911</v>
      </c>
      <c r="J242" t="s">
        <v>912</v>
      </c>
      <c r="K242" t="s">
        <v>53</v>
      </c>
      <c r="L242" t="s">
        <v>24</v>
      </c>
      <c r="M242" s="3">
        <v>1724364</v>
      </c>
      <c r="N242">
        <v>67</v>
      </c>
      <c r="O242" s="3">
        <v>3155</v>
      </c>
      <c r="P242">
        <v>0</v>
      </c>
      <c r="Q242">
        <v>0</v>
      </c>
    </row>
    <row r="243" spans="1:17" x14ac:dyDescent="0.25">
      <c r="A243" t="s">
        <v>913</v>
      </c>
      <c r="B243" t="s">
        <v>914</v>
      </c>
      <c r="C243" t="s">
        <v>915</v>
      </c>
      <c r="D243" t="s">
        <v>57</v>
      </c>
      <c r="E243" t="s">
        <v>21</v>
      </c>
      <c r="F243" s="2">
        <v>1056.78</v>
      </c>
      <c r="G243" s="2">
        <v>2328736.2599999998</v>
      </c>
      <c r="H243" t="s">
        <v>916</v>
      </c>
      <c r="J243" t="s">
        <v>917</v>
      </c>
      <c r="K243" t="s">
        <v>53</v>
      </c>
      <c r="L243" t="s">
        <v>24</v>
      </c>
      <c r="M243" s="3">
        <v>1317543</v>
      </c>
      <c r="N243">
        <v>540</v>
      </c>
      <c r="O243" s="3">
        <v>2903</v>
      </c>
      <c r="P243">
        <v>0</v>
      </c>
      <c r="Q243">
        <v>1</v>
      </c>
    </row>
    <row r="244" spans="1:17" x14ac:dyDescent="0.25">
      <c r="A244" t="s">
        <v>918</v>
      </c>
      <c r="B244" t="s">
        <v>919</v>
      </c>
      <c r="C244" t="s">
        <v>920</v>
      </c>
      <c r="D244" t="s">
        <v>57</v>
      </c>
      <c r="E244" t="s">
        <v>21</v>
      </c>
      <c r="G244">
        <v>0</v>
      </c>
      <c r="H244" s="1">
        <v>46002</v>
      </c>
      <c r="J244" t="s">
        <v>23</v>
      </c>
      <c r="L244" t="s">
        <v>28</v>
      </c>
      <c r="M244">
        <v>4</v>
      </c>
      <c r="N244">
        <v>0</v>
      </c>
      <c r="O244">
        <v>3</v>
      </c>
      <c r="P244">
        <v>0</v>
      </c>
      <c r="Q244">
        <v>0</v>
      </c>
    </row>
    <row r="245" spans="1:17" x14ac:dyDescent="0.25">
      <c r="A245" t="s">
        <v>921</v>
      </c>
      <c r="B245" t="s">
        <v>922</v>
      </c>
      <c r="C245" t="s">
        <v>923</v>
      </c>
      <c r="D245" t="s">
        <v>57</v>
      </c>
      <c r="E245" t="s">
        <v>21</v>
      </c>
      <c r="G245" s="2">
        <v>3914867.86</v>
      </c>
      <c r="H245" s="1">
        <v>45481</v>
      </c>
      <c r="J245" t="s">
        <v>924</v>
      </c>
      <c r="K245" t="s">
        <v>53</v>
      </c>
      <c r="L245" t="s">
        <v>24</v>
      </c>
      <c r="M245" s="3">
        <v>1750448</v>
      </c>
      <c r="N245">
        <v>1</v>
      </c>
      <c r="O245" s="3">
        <v>3159</v>
      </c>
      <c r="P245">
        <v>0</v>
      </c>
      <c r="Q245">
        <v>0</v>
      </c>
    </row>
    <row r="246" spans="1:17" x14ac:dyDescent="0.25">
      <c r="A246" t="s">
        <v>925</v>
      </c>
      <c r="B246" t="s">
        <v>926</v>
      </c>
      <c r="C246" t="s">
        <v>927</v>
      </c>
      <c r="D246" t="s">
        <v>57</v>
      </c>
      <c r="E246" t="s">
        <v>21</v>
      </c>
      <c r="G246">
        <v>0</v>
      </c>
      <c r="H246" t="s">
        <v>928</v>
      </c>
      <c r="J246" t="s">
        <v>23</v>
      </c>
      <c r="L246" t="s">
        <v>28</v>
      </c>
      <c r="M246">
        <v>6</v>
      </c>
      <c r="N246">
        <v>2</v>
      </c>
      <c r="O246">
        <v>3</v>
      </c>
      <c r="P246">
        <v>0</v>
      </c>
      <c r="Q246">
        <v>0</v>
      </c>
    </row>
    <row r="247" spans="1:17" x14ac:dyDescent="0.25">
      <c r="A247" t="s">
        <v>929</v>
      </c>
      <c r="B247" t="s">
        <v>930</v>
      </c>
      <c r="C247" t="s">
        <v>931</v>
      </c>
      <c r="D247" t="s">
        <v>57</v>
      </c>
      <c r="E247" t="s">
        <v>21</v>
      </c>
      <c r="F247">
        <v>9.56</v>
      </c>
      <c r="G247" s="2">
        <v>3388747.24</v>
      </c>
      <c r="H247" t="s">
        <v>932</v>
      </c>
      <c r="J247" t="s">
        <v>933</v>
      </c>
      <c r="K247" t="s">
        <v>53</v>
      </c>
      <c r="L247" t="s">
        <v>28</v>
      </c>
      <c r="M247" s="3">
        <v>1724458</v>
      </c>
      <c r="N247">
        <v>161</v>
      </c>
      <c r="O247" s="3">
        <v>3155</v>
      </c>
      <c r="P247">
        <v>0</v>
      </c>
      <c r="Q247">
        <v>0</v>
      </c>
    </row>
    <row r="248" spans="1:17" x14ac:dyDescent="0.25">
      <c r="A248" t="s">
        <v>934</v>
      </c>
      <c r="B248" t="s">
        <v>935</v>
      </c>
      <c r="C248" t="s">
        <v>936</v>
      </c>
      <c r="D248" t="s">
        <v>57</v>
      </c>
      <c r="E248" t="s">
        <v>21</v>
      </c>
      <c r="G248" s="3">
        <v>19378</v>
      </c>
      <c r="H248" t="s">
        <v>179</v>
      </c>
      <c r="J248" t="s">
        <v>23</v>
      </c>
      <c r="L248" t="s">
        <v>28</v>
      </c>
      <c r="M248" s="3">
        <v>73904</v>
      </c>
      <c r="N248">
        <v>0</v>
      </c>
      <c r="O248">
        <v>3</v>
      </c>
      <c r="P248">
        <v>0</v>
      </c>
      <c r="Q248">
        <v>5</v>
      </c>
    </row>
    <row r="249" spans="1:17" x14ac:dyDescent="0.25">
      <c r="A249" t="s">
        <v>937</v>
      </c>
      <c r="C249" t="s">
        <v>938</v>
      </c>
      <c r="D249" t="s">
        <v>57</v>
      </c>
      <c r="E249" t="s">
        <v>21</v>
      </c>
      <c r="G249">
        <v>19.71</v>
      </c>
      <c r="H249" t="s">
        <v>191</v>
      </c>
      <c r="J249" t="s">
        <v>23</v>
      </c>
      <c r="L249" t="s">
        <v>24</v>
      </c>
      <c r="M249">
        <v>15</v>
      </c>
      <c r="N249">
        <v>0</v>
      </c>
      <c r="O249">
        <v>5</v>
      </c>
      <c r="P249">
        <v>0</v>
      </c>
      <c r="Q249">
        <v>0</v>
      </c>
    </row>
    <row r="250" spans="1:17" x14ac:dyDescent="0.25">
      <c r="A250" t="s">
        <v>939</v>
      </c>
      <c r="B250" t="s">
        <v>940</v>
      </c>
      <c r="C250" t="s">
        <v>941</v>
      </c>
      <c r="D250" t="s">
        <v>57</v>
      </c>
      <c r="E250" t="s">
        <v>21</v>
      </c>
      <c r="F250">
        <v>3.12</v>
      </c>
      <c r="G250" s="2">
        <v>3518948.81</v>
      </c>
      <c r="H250" t="s">
        <v>942</v>
      </c>
      <c r="J250" t="s">
        <v>943</v>
      </c>
      <c r="K250" t="s">
        <v>53</v>
      </c>
      <c r="L250" t="s">
        <v>24</v>
      </c>
      <c r="M250" s="3">
        <v>1838981</v>
      </c>
      <c r="N250">
        <v>15</v>
      </c>
      <c r="O250" s="3">
        <v>3172</v>
      </c>
      <c r="P250">
        <v>0</v>
      </c>
      <c r="Q250">
        <v>3</v>
      </c>
    </row>
    <row r="251" spans="1:17" x14ac:dyDescent="0.25">
      <c r="A251" t="s">
        <v>944</v>
      </c>
      <c r="B251" t="s">
        <v>317</v>
      </c>
      <c r="C251" t="s">
        <v>945</v>
      </c>
      <c r="D251" t="s">
        <v>57</v>
      </c>
      <c r="E251" t="s">
        <v>21</v>
      </c>
      <c r="F251">
        <v>3.58</v>
      </c>
      <c r="G251" s="2">
        <v>4040425.87</v>
      </c>
      <c r="H251" t="s">
        <v>51</v>
      </c>
      <c r="J251" t="s">
        <v>946</v>
      </c>
      <c r="K251" t="s">
        <v>53</v>
      </c>
      <c r="L251" t="s">
        <v>28</v>
      </c>
      <c r="M251" s="3">
        <v>1857745</v>
      </c>
      <c r="N251">
        <v>38</v>
      </c>
      <c r="O251" s="3">
        <v>3185</v>
      </c>
      <c r="P251">
        <v>0</v>
      </c>
      <c r="Q251">
        <v>0</v>
      </c>
    </row>
    <row r="252" spans="1:17" x14ac:dyDescent="0.25">
      <c r="A252" t="s">
        <v>947</v>
      </c>
      <c r="B252" t="s">
        <v>948</v>
      </c>
      <c r="C252" t="s">
        <v>949</v>
      </c>
      <c r="D252" t="s">
        <v>57</v>
      </c>
      <c r="E252" t="s">
        <v>21</v>
      </c>
      <c r="G252">
        <v>0</v>
      </c>
      <c r="H252" t="s">
        <v>378</v>
      </c>
      <c r="J252" t="s">
        <v>23</v>
      </c>
      <c r="L252" t="s">
        <v>28</v>
      </c>
      <c r="M252">
        <v>4</v>
      </c>
      <c r="N252">
        <v>0</v>
      </c>
      <c r="O252">
        <v>3</v>
      </c>
      <c r="P252">
        <v>0</v>
      </c>
      <c r="Q252">
        <v>0</v>
      </c>
    </row>
    <row r="253" spans="1:17" x14ac:dyDescent="0.25">
      <c r="A253" t="s">
        <v>947</v>
      </c>
      <c r="B253" t="s">
        <v>950</v>
      </c>
      <c r="C253" t="s">
        <v>951</v>
      </c>
      <c r="D253" t="s">
        <v>57</v>
      </c>
      <c r="E253" t="s">
        <v>21</v>
      </c>
      <c r="F253" s="2">
        <v>2442.9</v>
      </c>
      <c r="G253" s="3">
        <v>11653</v>
      </c>
      <c r="H253" t="s">
        <v>952</v>
      </c>
      <c r="J253" t="s">
        <v>953</v>
      </c>
      <c r="L253" t="s">
        <v>28</v>
      </c>
      <c r="M253" s="3">
        <v>9284</v>
      </c>
      <c r="N253">
        <v>2</v>
      </c>
      <c r="O253">
        <v>9</v>
      </c>
      <c r="P253">
        <v>2</v>
      </c>
      <c r="Q253">
        <v>29</v>
      </c>
    </row>
    <row r="254" spans="1:17" x14ac:dyDescent="0.25">
      <c r="A254" t="s">
        <v>947</v>
      </c>
      <c r="B254" t="s">
        <v>954</v>
      </c>
      <c r="C254" t="s">
        <v>955</v>
      </c>
      <c r="D254" t="s">
        <v>57</v>
      </c>
      <c r="E254" t="s">
        <v>21</v>
      </c>
      <c r="G254" s="2">
        <v>84467.44</v>
      </c>
      <c r="H254" t="s">
        <v>731</v>
      </c>
      <c r="J254" t="s">
        <v>23</v>
      </c>
      <c r="K254" t="s">
        <v>53</v>
      </c>
      <c r="L254" t="s">
        <v>28</v>
      </c>
      <c r="M254" s="3">
        <v>75062</v>
      </c>
      <c r="N254">
        <v>0</v>
      </c>
      <c r="O254">
        <v>5</v>
      </c>
      <c r="P254">
        <v>0</v>
      </c>
      <c r="Q254">
        <v>0</v>
      </c>
    </row>
    <row r="255" spans="1:17" x14ac:dyDescent="0.25">
      <c r="A255" t="s">
        <v>956</v>
      </c>
      <c r="B255" t="s">
        <v>957</v>
      </c>
      <c r="C255" t="s">
        <v>958</v>
      </c>
      <c r="D255" t="s">
        <v>57</v>
      </c>
      <c r="E255" t="s">
        <v>21</v>
      </c>
      <c r="G255">
        <v>34.33</v>
      </c>
      <c r="H255" t="s">
        <v>291</v>
      </c>
      <c r="J255" t="s">
        <v>23</v>
      </c>
      <c r="L255" t="s">
        <v>24</v>
      </c>
      <c r="M255">
        <v>6</v>
      </c>
      <c r="N255">
        <v>0</v>
      </c>
      <c r="O255">
        <v>3</v>
      </c>
      <c r="P255">
        <v>1</v>
      </c>
      <c r="Q255">
        <v>0</v>
      </c>
    </row>
    <row r="256" spans="1:17" x14ac:dyDescent="0.25">
      <c r="A256" t="s">
        <v>959</v>
      </c>
      <c r="B256" t="s">
        <v>960</v>
      </c>
      <c r="C256" t="s">
        <v>961</v>
      </c>
      <c r="D256" t="s">
        <v>57</v>
      </c>
      <c r="E256" t="s">
        <v>21</v>
      </c>
      <c r="F256">
        <v>14.94</v>
      </c>
      <c r="G256" s="2">
        <v>3388918.2</v>
      </c>
      <c r="H256" t="s">
        <v>962</v>
      </c>
      <c r="J256" t="s">
        <v>963</v>
      </c>
      <c r="K256" t="s">
        <v>53</v>
      </c>
      <c r="L256" t="s">
        <v>24</v>
      </c>
      <c r="M256" s="3">
        <v>1724917</v>
      </c>
      <c r="N256">
        <v>178</v>
      </c>
      <c r="O256" s="3">
        <v>3156</v>
      </c>
      <c r="P256">
        <v>0</v>
      </c>
      <c r="Q256">
        <v>0</v>
      </c>
    </row>
    <row r="257" spans="1:17" x14ac:dyDescent="0.25">
      <c r="A257" t="s">
        <v>964</v>
      </c>
      <c r="B257" t="s">
        <v>965</v>
      </c>
      <c r="C257" t="s">
        <v>966</v>
      </c>
      <c r="D257" t="s">
        <v>57</v>
      </c>
      <c r="E257" t="s">
        <v>21</v>
      </c>
      <c r="F257">
        <v>137.22</v>
      </c>
      <c r="G257">
        <v>137.22</v>
      </c>
      <c r="H257" t="s">
        <v>967</v>
      </c>
      <c r="J257" t="s">
        <v>23</v>
      </c>
      <c r="L257" t="s">
        <v>28</v>
      </c>
      <c r="M257">
        <v>10</v>
      </c>
      <c r="N257">
        <v>0</v>
      </c>
      <c r="O257">
        <v>3</v>
      </c>
      <c r="P257">
        <v>1</v>
      </c>
      <c r="Q257">
        <v>0</v>
      </c>
    </row>
    <row r="258" spans="1:17" x14ac:dyDescent="0.25">
      <c r="A258" t="s">
        <v>968</v>
      </c>
      <c r="B258" t="s">
        <v>969</v>
      </c>
      <c r="C258" t="s">
        <v>970</v>
      </c>
      <c r="D258" t="s">
        <v>57</v>
      </c>
      <c r="E258" t="s">
        <v>21</v>
      </c>
      <c r="G258">
        <v>19.71</v>
      </c>
      <c r="H258" t="s">
        <v>483</v>
      </c>
      <c r="J258" t="s">
        <v>23</v>
      </c>
      <c r="L258" t="s">
        <v>28</v>
      </c>
      <c r="M258">
        <v>15</v>
      </c>
      <c r="N258">
        <v>0</v>
      </c>
      <c r="O258">
        <v>5</v>
      </c>
      <c r="P258">
        <v>0</v>
      </c>
      <c r="Q258">
        <v>0</v>
      </c>
    </row>
    <row r="259" spans="1:17" x14ac:dyDescent="0.25">
      <c r="A259" t="s">
        <v>971</v>
      </c>
      <c r="B259" t="s">
        <v>972</v>
      </c>
      <c r="C259" t="s">
        <v>973</v>
      </c>
      <c r="D259" t="s">
        <v>57</v>
      </c>
      <c r="E259" t="s">
        <v>21</v>
      </c>
      <c r="G259">
        <v>634.99</v>
      </c>
      <c r="H259" s="1">
        <v>45785</v>
      </c>
      <c r="J259" t="s">
        <v>23</v>
      </c>
      <c r="L259" t="s">
        <v>28</v>
      </c>
      <c r="M259">
        <v>195</v>
      </c>
      <c r="N259">
        <v>0</v>
      </c>
      <c r="O259">
        <v>3</v>
      </c>
      <c r="P259">
        <v>0</v>
      </c>
      <c r="Q259">
        <v>2</v>
      </c>
    </row>
    <row r="260" spans="1:17" x14ac:dyDescent="0.25">
      <c r="A260" t="s">
        <v>974</v>
      </c>
      <c r="B260" t="s">
        <v>975</v>
      </c>
      <c r="C260" t="s">
        <v>976</v>
      </c>
      <c r="D260" t="s">
        <v>57</v>
      </c>
      <c r="E260" t="s">
        <v>21</v>
      </c>
      <c r="F260">
        <v>4.1399999999999997</v>
      </c>
      <c r="G260" s="2">
        <v>2446639.71</v>
      </c>
      <c r="H260" t="s">
        <v>977</v>
      </c>
      <c r="J260" t="s">
        <v>978</v>
      </c>
      <c r="K260" t="s">
        <v>53</v>
      </c>
      <c r="L260" t="s">
        <v>24</v>
      </c>
      <c r="M260" s="3">
        <v>1421132</v>
      </c>
      <c r="N260">
        <v>42</v>
      </c>
      <c r="O260" s="3">
        <v>2918</v>
      </c>
      <c r="P260">
        <v>0</v>
      </c>
      <c r="Q260">
        <v>0</v>
      </c>
    </row>
    <row r="261" spans="1:17" x14ac:dyDescent="0.25">
      <c r="A261" t="s">
        <v>979</v>
      </c>
      <c r="B261" t="s">
        <v>980</v>
      </c>
      <c r="C261" t="s">
        <v>981</v>
      </c>
      <c r="D261" t="s">
        <v>57</v>
      </c>
      <c r="E261" t="s">
        <v>21</v>
      </c>
      <c r="G261" s="3">
        <v>19378</v>
      </c>
      <c r="H261" t="s">
        <v>982</v>
      </c>
      <c r="J261" t="s">
        <v>23</v>
      </c>
      <c r="L261" t="s">
        <v>24</v>
      </c>
      <c r="M261" s="3">
        <v>73902</v>
      </c>
      <c r="N261">
        <v>0</v>
      </c>
      <c r="O261">
        <v>3</v>
      </c>
      <c r="P261">
        <v>0</v>
      </c>
      <c r="Q261">
        <v>5</v>
      </c>
    </row>
    <row r="262" spans="1:17" x14ac:dyDescent="0.25">
      <c r="A262" t="s">
        <v>983</v>
      </c>
      <c r="B262" t="s">
        <v>984</v>
      </c>
      <c r="C262" t="s">
        <v>985</v>
      </c>
      <c r="D262" t="s">
        <v>57</v>
      </c>
      <c r="E262" t="s">
        <v>21</v>
      </c>
      <c r="G262">
        <v>0</v>
      </c>
      <c r="H262" t="s">
        <v>986</v>
      </c>
      <c r="J262" t="s">
        <v>23</v>
      </c>
      <c r="L262" t="s">
        <v>28</v>
      </c>
      <c r="M262">
        <v>4</v>
      </c>
      <c r="N262">
        <v>0</v>
      </c>
      <c r="O262">
        <v>3</v>
      </c>
      <c r="P262">
        <v>0</v>
      </c>
      <c r="Q262">
        <v>0</v>
      </c>
    </row>
    <row r="263" spans="1:17" x14ac:dyDescent="0.25">
      <c r="A263" t="s">
        <v>987</v>
      </c>
      <c r="B263" t="s">
        <v>988</v>
      </c>
      <c r="C263" t="s">
        <v>989</v>
      </c>
      <c r="D263" t="s">
        <v>57</v>
      </c>
      <c r="E263" t="s">
        <v>21</v>
      </c>
      <c r="F263">
        <v>0.02</v>
      </c>
      <c r="G263" s="2">
        <v>131685.87</v>
      </c>
      <c r="H263" s="1">
        <v>45575</v>
      </c>
      <c r="J263" t="s">
        <v>990</v>
      </c>
      <c r="L263" t="s">
        <v>24</v>
      </c>
      <c r="M263" s="3">
        <v>42561</v>
      </c>
      <c r="N263">
        <v>2</v>
      </c>
      <c r="O263">
        <v>19</v>
      </c>
      <c r="P263">
        <v>0</v>
      </c>
      <c r="Q263">
        <v>0</v>
      </c>
    </row>
    <row r="264" spans="1:17" x14ac:dyDescent="0.25">
      <c r="A264" t="s">
        <v>991</v>
      </c>
      <c r="B264" t="s">
        <v>992</v>
      </c>
      <c r="C264" t="s">
        <v>993</v>
      </c>
      <c r="D264" t="s">
        <v>57</v>
      </c>
      <c r="E264" t="s">
        <v>21</v>
      </c>
      <c r="F264" s="2">
        <v>5014.0600000000004</v>
      </c>
      <c r="G264" s="2">
        <v>103121.01</v>
      </c>
      <c r="H264" s="1">
        <v>45845</v>
      </c>
      <c r="J264" t="s">
        <v>33</v>
      </c>
      <c r="L264" t="s">
        <v>28</v>
      </c>
      <c r="M264" s="3">
        <v>238025</v>
      </c>
      <c r="N264" s="3">
        <v>53476</v>
      </c>
      <c r="O264">
        <v>11</v>
      </c>
      <c r="P264">
        <v>0</v>
      </c>
      <c r="Q264">
        <v>0</v>
      </c>
    </row>
    <row r="265" spans="1:17" x14ac:dyDescent="0.25">
      <c r="A265" t="s">
        <v>994</v>
      </c>
      <c r="B265" t="s">
        <v>995</v>
      </c>
      <c r="C265" t="s">
        <v>996</v>
      </c>
      <c r="D265" t="s">
        <v>57</v>
      </c>
      <c r="E265" t="s">
        <v>21</v>
      </c>
      <c r="F265" s="2">
        <v>19038.22</v>
      </c>
      <c r="G265" s="2">
        <v>20785.53</v>
      </c>
      <c r="H265" t="s">
        <v>997</v>
      </c>
      <c r="J265" t="s">
        <v>23</v>
      </c>
      <c r="L265" t="s">
        <v>24</v>
      </c>
      <c r="M265" s="3">
        <v>6821</v>
      </c>
      <c r="N265">
        <v>0</v>
      </c>
      <c r="O265">
        <v>4</v>
      </c>
      <c r="P265">
        <v>1</v>
      </c>
      <c r="Q265">
        <v>2</v>
      </c>
    </row>
    <row r="266" spans="1:17" x14ac:dyDescent="0.25">
      <c r="A266" t="s">
        <v>998</v>
      </c>
      <c r="B266" t="s">
        <v>999</v>
      </c>
      <c r="C266" t="s">
        <v>1000</v>
      </c>
      <c r="D266" t="s">
        <v>57</v>
      </c>
      <c r="E266" t="s">
        <v>21</v>
      </c>
      <c r="F266">
        <v>305.58999999999997</v>
      </c>
      <c r="G266" s="2">
        <v>1744969.89</v>
      </c>
      <c r="H266" t="s">
        <v>366</v>
      </c>
      <c r="J266" t="s">
        <v>76</v>
      </c>
      <c r="K266" t="s">
        <v>53</v>
      </c>
      <c r="L266" t="s">
        <v>24</v>
      </c>
      <c r="M266" s="3">
        <v>919566</v>
      </c>
      <c r="N266">
        <v>623</v>
      </c>
      <c r="O266" s="3">
        <v>2693</v>
      </c>
      <c r="P266">
        <v>0</v>
      </c>
      <c r="Q266">
        <v>0</v>
      </c>
    </row>
    <row r="267" spans="1:17" x14ac:dyDescent="0.25">
      <c r="A267" t="s">
        <v>1001</v>
      </c>
      <c r="B267" t="s">
        <v>1002</v>
      </c>
      <c r="C267" t="s">
        <v>1003</v>
      </c>
      <c r="D267" t="s">
        <v>57</v>
      </c>
      <c r="E267" t="s">
        <v>21</v>
      </c>
      <c r="F267" s="2">
        <v>10895.18</v>
      </c>
      <c r="G267" s="2">
        <v>3402542.86</v>
      </c>
      <c r="H267" t="s">
        <v>51</v>
      </c>
      <c r="J267" t="s">
        <v>1004</v>
      </c>
      <c r="K267" t="s">
        <v>53</v>
      </c>
      <c r="L267" t="s">
        <v>28</v>
      </c>
      <c r="M267" s="3">
        <v>1727762</v>
      </c>
      <c r="N267" s="3">
        <v>2479</v>
      </c>
      <c r="O267" s="3">
        <v>3157</v>
      </c>
      <c r="P267">
        <v>8</v>
      </c>
      <c r="Q267">
        <v>7</v>
      </c>
    </row>
    <row r="268" spans="1:17" x14ac:dyDescent="0.25">
      <c r="A268" t="s">
        <v>1001</v>
      </c>
      <c r="B268" t="s">
        <v>1005</v>
      </c>
      <c r="C268" t="s">
        <v>1006</v>
      </c>
      <c r="D268" t="s">
        <v>57</v>
      </c>
      <c r="E268" t="s">
        <v>21</v>
      </c>
      <c r="F268" s="2">
        <v>6499.99</v>
      </c>
      <c r="G268" s="2">
        <v>11589.79</v>
      </c>
      <c r="H268" s="1">
        <v>44532</v>
      </c>
      <c r="J268" t="s">
        <v>23</v>
      </c>
      <c r="L268" t="s">
        <v>24</v>
      </c>
      <c r="M268" s="3">
        <v>10674</v>
      </c>
      <c r="N268">
        <v>5</v>
      </c>
      <c r="O268">
        <v>3</v>
      </c>
      <c r="P268">
        <v>14</v>
      </c>
      <c r="Q268">
        <v>19</v>
      </c>
    </row>
    <row r="269" spans="1:17" x14ac:dyDescent="0.25">
      <c r="A269" t="s">
        <v>1007</v>
      </c>
      <c r="B269" t="s">
        <v>1008</v>
      </c>
      <c r="C269" t="s">
        <v>1009</v>
      </c>
      <c r="D269" t="s">
        <v>57</v>
      </c>
      <c r="E269" t="s">
        <v>21</v>
      </c>
      <c r="F269">
        <v>1.45</v>
      </c>
      <c r="G269" s="2">
        <v>3388739.13</v>
      </c>
      <c r="H269" s="1">
        <v>45483</v>
      </c>
      <c r="J269" t="s">
        <v>1010</v>
      </c>
      <c r="K269" t="s">
        <v>53</v>
      </c>
      <c r="L269" t="s">
        <v>28</v>
      </c>
      <c r="M269" s="3">
        <v>1724338</v>
      </c>
      <c r="N269">
        <v>41</v>
      </c>
      <c r="O269" s="3">
        <v>3155</v>
      </c>
      <c r="P269">
        <v>0</v>
      </c>
      <c r="Q269">
        <v>0</v>
      </c>
    </row>
    <row r="270" spans="1:17" x14ac:dyDescent="0.25">
      <c r="A270" t="s">
        <v>1011</v>
      </c>
      <c r="B270" t="s">
        <v>1012</v>
      </c>
      <c r="C270" t="s">
        <v>1013</v>
      </c>
      <c r="D270" t="s">
        <v>57</v>
      </c>
      <c r="E270" t="s">
        <v>21</v>
      </c>
      <c r="F270" s="2">
        <v>2278.61</v>
      </c>
      <c r="G270" s="2">
        <v>2314.59</v>
      </c>
      <c r="H270" s="1">
        <v>45024</v>
      </c>
      <c r="J270" t="s">
        <v>23</v>
      </c>
      <c r="L270" t="s">
        <v>24</v>
      </c>
      <c r="M270">
        <v>702</v>
      </c>
      <c r="N270">
        <v>522</v>
      </c>
      <c r="O270">
        <v>3</v>
      </c>
      <c r="P270">
        <v>2</v>
      </c>
      <c r="Q270">
        <v>4</v>
      </c>
    </row>
    <row r="271" spans="1:17" x14ac:dyDescent="0.25">
      <c r="A271" t="s">
        <v>1014</v>
      </c>
      <c r="B271" t="s">
        <v>1015</v>
      </c>
      <c r="C271" t="s">
        <v>1016</v>
      </c>
      <c r="D271" t="s">
        <v>57</v>
      </c>
      <c r="E271" t="s">
        <v>21</v>
      </c>
      <c r="F271">
        <v>51.45</v>
      </c>
      <c r="G271" s="2">
        <v>1781.09</v>
      </c>
      <c r="H271" t="s">
        <v>1017</v>
      </c>
      <c r="J271" t="s">
        <v>23</v>
      </c>
      <c r="L271" t="s">
        <v>28</v>
      </c>
      <c r="M271">
        <v>275</v>
      </c>
      <c r="N271">
        <v>25</v>
      </c>
      <c r="O271">
        <v>3</v>
      </c>
      <c r="P271">
        <v>0</v>
      </c>
      <c r="Q271">
        <v>4</v>
      </c>
    </row>
    <row r="272" spans="1:17" x14ac:dyDescent="0.25">
      <c r="A272" t="s">
        <v>1018</v>
      </c>
      <c r="B272" t="s">
        <v>1019</v>
      </c>
      <c r="C272" t="s">
        <v>1020</v>
      </c>
      <c r="D272" t="s">
        <v>57</v>
      </c>
      <c r="E272" t="s">
        <v>21</v>
      </c>
      <c r="F272">
        <v>0.02</v>
      </c>
      <c r="G272" s="2">
        <v>131685.87</v>
      </c>
      <c r="H272" s="1">
        <v>45726</v>
      </c>
      <c r="J272" t="s">
        <v>23</v>
      </c>
      <c r="L272" t="s">
        <v>28</v>
      </c>
      <c r="M272" s="3">
        <v>42560</v>
      </c>
      <c r="N272">
        <v>1</v>
      </c>
      <c r="O272">
        <v>19</v>
      </c>
      <c r="P272">
        <v>0</v>
      </c>
      <c r="Q272">
        <v>0</v>
      </c>
    </row>
    <row r="273" spans="1:17" x14ac:dyDescent="0.25">
      <c r="A273" t="s">
        <v>1021</v>
      </c>
      <c r="B273" t="s">
        <v>1022</v>
      </c>
      <c r="C273" t="s">
        <v>1023</v>
      </c>
      <c r="D273" t="s">
        <v>57</v>
      </c>
      <c r="E273" t="s">
        <v>21</v>
      </c>
      <c r="F273" s="2">
        <v>2052.36</v>
      </c>
      <c r="G273" s="2">
        <v>2052.36</v>
      </c>
      <c r="H273" t="s">
        <v>291</v>
      </c>
      <c r="J273" t="s">
        <v>23</v>
      </c>
      <c r="L273" t="s">
        <v>28</v>
      </c>
      <c r="M273">
        <v>19</v>
      </c>
      <c r="N273">
        <v>14</v>
      </c>
      <c r="O273">
        <v>4</v>
      </c>
      <c r="P273">
        <v>0</v>
      </c>
      <c r="Q273">
        <v>0</v>
      </c>
    </row>
    <row r="274" spans="1:17" x14ac:dyDescent="0.25">
      <c r="A274" t="s">
        <v>1021</v>
      </c>
      <c r="B274" t="s">
        <v>1024</v>
      </c>
      <c r="C274" t="s">
        <v>1025</v>
      </c>
      <c r="D274" t="s">
        <v>57</v>
      </c>
      <c r="E274" t="s">
        <v>21</v>
      </c>
      <c r="G274">
        <v>95.43</v>
      </c>
      <c r="H274" s="1">
        <v>45876</v>
      </c>
      <c r="J274" t="s">
        <v>23</v>
      </c>
      <c r="L274" t="s">
        <v>28</v>
      </c>
      <c r="M274">
        <v>16</v>
      </c>
      <c r="N274">
        <v>0</v>
      </c>
      <c r="O274">
        <v>3</v>
      </c>
      <c r="P274">
        <v>0</v>
      </c>
      <c r="Q274">
        <v>1</v>
      </c>
    </row>
    <row r="275" spans="1:17" x14ac:dyDescent="0.25">
      <c r="A275" t="s">
        <v>395</v>
      </c>
      <c r="B275" t="s">
        <v>1026</v>
      </c>
      <c r="C275" t="s">
        <v>1027</v>
      </c>
      <c r="D275" t="s">
        <v>57</v>
      </c>
      <c r="E275" t="s">
        <v>21</v>
      </c>
      <c r="F275" s="2">
        <v>1355.65</v>
      </c>
      <c r="G275" s="2">
        <v>3627356.88</v>
      </c>
      <c r="H275" t="s">
        <v>1028</v>
      </c>
      <c r="J275" t="s">
        <v>1029</v>
      </c>
      <c r="K275" t="s">
        <v>53</v>
      </c>
      <c r="L275" t="s">
        <v>24</v>
      </c>
      <c r="M275" s="3">
        <v>1618335</v>
      </c>
      <c r="N275">
        <v>945</v>
      </c>
      <c r="O275" s="3">
        <v>3086</v>
      </c>
      <c r="P275">
        <v>0</v>
      </c>
      <c r="Q275">
        <v>0</v>
      </c>
    </row>
    <row r="276" spans="1:17" x14ac:dyDescent="0.25">
      <c r="A276" t="s">
        <v>1030</v>
      </c>
      <c r="B276" t="s">
        <v>1031</v>
      </c>
      <c r="C276" t="s">
        <v>1032</v>
      </c>
      <c r="D276" t="s">
        <v>57</v>
      </c>
      <c r="E276" t="s">
        <v>21</v>
      </c>
      <c r="F276" s="2">
        <v>48793.86</v>
      </c>
      <c r="G276" s="2">
        <v>48793.86</v>
      </c>
      <c r="H276" s="1">
        <v>45357</v>
      </c>
      <c r="J276" t="s">
        <v>23</v>
      </c>
      <c r="L276" t="s">
        <v>24</v>
      </c>
      <c r="M276" s="3">
        <v>11549</v>
      </c>
      <c r="N276" s="3">
        <v>9157</v>
      </c>
      <c r="O276">
        <v>3</v>
      </c>
      <c r="P276">
        <v>4</v>
      </c>
      <c r="Q276">
        <v>4</v>
      </c>
    </row>
    <row r="277" spans="1:17" x14ac:dyDescent="0.25">
      <c r="A277" t="s">
        <v>1030</v>
      </c>
      <c r="B277" t="s">
        <v>1033</v>
      </c>
      <c r="C277" t="s">
        <v>1034</v>
      </c>
      <c r="D277" t="s">
        <v>57</v>
      </c>
      <c r="E277" t="s">
        <v>21</v>
      </c>
      <c r="F277">
        <v>14.9</v>
      </c>
      <c r="G277" s="2">
        <v>19787.57</v>
      </c>
      <c r="H277" t="s">
        <v>1035</v>
      </c>
      <c r="J277" t="s">
        <v>23</v>
      </c>
      <c r="L277" t="s">
        <v>28</v>
      </c>
      <c r="M277" s="3">
        <v>74232</v>
      </c>
      <c r="N277">
        <v>1</v>
      </c>
      <c r="O277">
        <v>3</v>
      </c>
      <c r="P277">
        <v>0</v>
      </c>
      <c r="Q277">
        <v>8</v>
      </c>
    </row>
    <row r="278" spans="1:17" x14ac:dyDescent="0.25">
      <c r="A278" t="s">
        <v>1030</v>
      </c>
      <c r="B278" t="s">
        <v>1036</v>
      </c>
      <c r="C278" t="s">
        <v>1037</v>
      </c>
      <c r="D278" t="s">
        <v>57</v>
      </c>
      <c r="E278" t="s">
        <v>21</v>
      </c>
      <c r="F278">
        <v>695.49</v>
      </c>
      <c r="G278" s="2">
        <v>3389695.45</v>
      </c>
      <c r="H278" t="s">
        <v>1038</v>
      </c>
      <c r="J278" t="s">
        <v>1039</v>
      </c>
      <c r="K278" t="s">
        <v>53</v>
      </c>
      <c r="L278" t="s">
        <v>24</v>
      </c>
      <c r="M278" s="3">
        <v>1724457</v>
      </c>
      <c r="N278">
        <v>157</v>
      </c>
      <c r="O278" s="3">
        <v>3156</v>
      </c>
      <c r="P278">
        <v>0</v>
      </c>
      <c r="Q278">
        <v>0</v>
      </c>
    </row>
    <row r="279" spans="1:17" x14ac:dyDescent="0.25">
      <c r="A279" t="s">
        <v>1030</v>
      </c>
      <c r="B279" t="s">
        <v>1040</v>
      </c>
      <c r="C279" t="s">
        <v>1041</v>
      </c>
      <c r="D279" t="s">
        <v>57</v>
      </c>
      <c r="E279" t="s">
        <v>21</v>
      </c>
      <c r="F279">
        <v>258.73</v>
      </c>
      <c r="G279" s="2">
        <v>3921177.61</v>
      </c>
      <c r="H279" t="s">
        <v>872</v>
      </c>
      <c r="J279" t="s">
        <v>1042</v>
      </c>
      <c r="K279" t="s">
        <v>53</v>
      </c>
      <c r="L279" t="s">
        <v>24</v>
      </c>
      <c r="M279" s="3">
        <v>1752223</v>
      </c>
      <c r="N279">
        <v>265</v>
      </c>
      <c r="O279" s="3">
        <v>3160</v>
      </c>
      <c r="P279">
        <v>0</v>
      </c>
      <c r="Q279">
        <v>0</v>
      </c>
    </row>
    <row r="280" spans="1:17" x14ac:dyDescent="0.25">
      <c r="A280" t="s">
        <v>1043</v>
      </c>
      <c r="B280" t="s">
        <v>1044</v>
      </c>
      <c r="C280" t="s">
        <v>1045</v>
      </c>
      <c r="D280" t="s">
        <v>57</v>
      </c>
      <c r="E280" t="s">
        <v>21</v>
      </c>
      <c r="G280" s="2">
        <v>5424.42</v>
      </c>
      <c r="H280" t="s">
        <v>1046</v>
      </c>
      <c r="J280" t="s">
        <v>23</v>
      </c>
      <c r="L280" t="s">
        <v>28</v>
      </c>
      <c r="M280">
        <v>908</v>
      </c>
      <c r="N280">
        <v>1</v>
      </c>
      <c r="O280">
        <v>3</v>
      </c>
      <c r="P280">
        <v>0</v>
      </c>
      <c r="Q280">
        <v>1</v>
      </c>
    </row>
    <row r="281" spans="1:17" x14ac:dyDescent="0.25">
      <c r="A281" t="s">
        <v>1047</v>
      </c>
      <c r="B281" t="s">
        <v>1048</v>
      </c>
      <c r="C281" t="s">
        <v>1049</v>
      </c>
      <c r="D281" t="s">
        <v>57</v>
      </c>
      <c r="E281" t="s">
        <v>21</v>
      </c>
      <c r="G281" s="2">
        <v>2320898.06</v>
      </c>
      <c r="H281" t="s">
        <v>434</v>
      </c>
      <c r="J281" t="s">
        <v>1050</v>
      </c>
      <c r="K281" t="s">
        <v>53</v>
      </c>
      <c r="L281" t="s">
        <v>24</v>
      </c>
      <c r="M281" s="3">
        <v>1309969</v>
      </c>
      <c r="N281">
        <v>0</v>
      </c>
      <c r="O281" s="3">
        <v>2837</v>
      </c>
      <c r="P281">
        <v>0</v>
      </c>
      <c r="Q281">
        <v>0</v>
      </c>
    </row>
    <row r="282" spans="1:17" x14ac:dyDescent="0.25">
      <c r="A282" t="s">
        <v>1051</v>
      </c>
      <c r="B282" t="s">
        <v>1052</v>
      </c>
      <c r="C282" t="s">
        <v>1053</v>
      </c>
      <c r="D282" t="s">
        <v>57</v>
      </c>
      <c r="E282" t="s">
        <v>21</v>
      </c>
      <c r="F282">
        <v>25.18</v>
      </c>
      <c r="G282" s="2">
        <v>3507904.23</v>
      </c>
      <c r="H282" t="s">
        <v>580</v>
      </c>
      <c r="J282" t="s">
        <v>1054</v>
      </c>
      <c r="K282" t="s">
        <v>53</v>
      </c>
      <c r="L282" t="s">
        <v>24</v>
      </c>
      <c r="M282" s="3">
        <v>1828914</v>
      </c>
      <c r="N282">
        <v>76</v>
      </c>
      <c r="O282" s="3">
        <v>3173</v>
      </c>
      <c r="P282">
        <v>0</v>
      </c>
      <c r="Q282">
        <v>0</v>
      </c>
    </row>
    <row r="283" spans="1:17" x14ac:dyDescent="0.25">
      <c r="A283" t="s">
        <v>1055</v>
      </c>
      <c r="B283" t="s">
        <v>1056</v>
      </c>
      <c r="C283" t="s">
        <v>1057</v>
      </c>
      <c r="D283" t="s">
        <v>57</v>
      </c>
      <c r="E283" t="s">
        <v>21</v>
      </c>
      <c r="G283" s="2">
        <v>2320951.23</v>
      </c>
      <c r="H283" s="1">
        <v>45238</v>
      </c>
      <c r="J283" t="s">
        <v>126</v>
      </c>
      <c r="K283" t="s">
        <v>53</v>
      </c>
      <c r="L283" t="s">
        <v>24</v>
      </c>
      <c r="M283" s="3">
        <v>1309977</v>
      </c>
      <c r="N283">
        <v>0</v>
      </c>
      <c r="O283" s="3">
        <v>2837</v>
      </c>
      <c r="P283">
        <v>1</v>
      </c>
      <c r="Q283">
        <v>0</v>
      </c>
    </row>
    <row r="284" spans="1:17" x14ac:dyDescent="0.25">
      <c r="A284" t="s">
        <v>725</v>
      </c>
      <c r="B284" t="s">
        <v>1058</v>
      </c>
      <c r="C284" t="s">
        <v>1059</v>
      </c>
      <c r="D284" t="s">
        <v>57</v>
      </c>
      <c r="E284" t="s">
        <v>21</v>
      </c>
      <c r="F284">
        <v>142.91999999999999</v>
      </c>
      <c r="G284">
        <v>142.91999999999999</v>
      </c>
      <c r="H284" t="s">
        <v>780</v>
      </c>
      <c r="J284" t="s">
        <v>23</v>
      </c>
      <c r="L284" t="s">
        <v>28</v>
      </c>
      <c r="M284">
        <v>7</v>
      </c>
      <c r="N284">
        <v>3</v>
      </c>
      <c r="O284">
        <v>3</v>
      </c>
      <c r="P284">
        <v>0</v>
      </c>
      <c r="Q284">
        <v>0</v>
      </c>
    </row>
    <row r="285" spans="1:17" x14ac:dyDescent="0.25">
      <c r="A285" t="s">
        <v>1060</v>
      </c>
      <c r="B285" t="s">
        <v>1061</v>
      </c>
      <c r="C285" t="s">
        <v>1062</v>
      </c>
      <c r="D285" t="s">
        <v>57</v>
      </c>
      <c r="E285" t="s">
        <v>21</v>
      </c>
      <c r="G285">
        <v>19.72</v>
      </c>
      <c r="H285" t="s">
        <v>378</v>
      </c>
      <c r="J285" t="s">
        <v>276</v>
      </c>
      <c r="L285" t="s">
        <v>28</v>
      </c>
      <c r="M285">
        <v>17</v>
      </c>
      <c r="N285">
        <v>0</v>
      </c>
      <c r="O285">
        <v>6</v>
      </c>
      <c r="P285">
        <v>0</v>
      </c>
      <c r="Q285">
        <v>0</v>
      </c>
    </row>
    <row r="286" spans="1:17" x14ac:dyDescent="0.25">
      <c r="A286" t="s">
        <v>1063</v>
      </c>
      <c r="B286" t="s">
        <v>1064</v>
      </c>
      <c r="C286" t="s">
        <v>1065</v>
      </c>
      <c r="D286" t="s">
        <v>57</v>
      </c>
      <c r="E286" t="s">
        <v>21</v>
      </c>
      <c r="F286" s="2">
        <v>1011.85</v>
      </c>
      <c r="G286" s="2">
        <v>1745676.15</v>
      </c>
      <c r="H286" s="1">
        <v>45630</v>
      </c>
      <c r="J286" t="s">
        <v>545</v>
      </c>
      <c r="K286" t="s">
        <v>53</v>
      </c>
      <c r="L286" t="s">
        <v>24</v>
      </c>
      <c r="M286" s="3">
        <v>919781</v>
      </c>
      <c r="N286">
        <v>838</v>
      </c>
      <c r="O286" s="3">
        <v>2693</v>
      </c>
      <c r="P286">
        <v>0</v>
      </c>
      <c r="Q286">
        <v>0</v>
      </c>
    </row>
    <row r="287" spans="1:17" x14ac:dyDescent="0.25">
      <c r="A287" t="s">
        <v>1066</v>
      </c>
      <c r="B287" t="s">
        <v>1067</v>
      </c>
      <c r="C287" t="s">
        <v>1068</v>
      </c>
      <c r="D287" t="s">
        <v>57</v>
      </c>
      <c r="E287" t="s">
        <v>21</v>
      </c>
      <c r="F287">
        <v>726.67</v>
      </c>
      <c r="G287" s="2">
        <v>97562.05</v>
      </c>
      <c r="H287" t="s">
        <v>1069</v>
      </c>
      <c r="J287" t="s">
        <v>23</v>
      </c>
      <c r="K287" t="s">
        <v>776</v>
      </c>
      <c r="L287" t="s">
        <v>28</v>
      </c>
      <c r="M287" s="3">
        <v>17111</v>
      </c>
      <c r="N287">
        <v>168</v>
      </c>
      <c r="O287">
        <v>7</v>
      </c>
      <c r="P287">
        <v>1</v>
      </c>
      <c r="Q287">
        <v>38</v>
      </c>
    </row>
    <row r="288" spans="1:17" x14ac:dyDescent="0.25">
      <c r="A288" t="s">
        <v>1070</v>
      </c>
      <c r="B288" t="s">
        <v>1071</v>
      </c>
      <c r="C288" t="s">
        <v>1072</v>
      </c>
      <c r="D288" t="s">
        <v>57</v>
      </c>
      <c r="E288" t="s">
        <v>21</v>
      </c>
      <c r="G288">
        <v>0</v>
      </c>
      <c r="H288" t="s">
        <v>675</v>
      </c>
      <c r="J288" t="s">
        <v>23</v>
      </c>
      <c r="L288" t="s">
        <v>28</v>
      </c>
      <c r="M288">
        <v>4</v>
      </c>
      <c r="N288">
        <v>0</v>
      </c>
      <c r="O288">
        <v>3</v>
      </c>
      <c r="P288">
        <v>0</v>
      </c>
      <c r="Q288">
        <v>0</v>
      </c>
    </row>
    <row r="289" spans="1:17" x14ac:dyDescent="0.25">
      <c r="A289" t="s">
        <v>1070</v>
      </c>
      <c r="B289" t="s">
        <v>1073</v>
      </c>
      <c r="C289" t="s">
        <v>1074</v>
      </c>
      <c r="D289" t="s">
        <v>57</v>
      </c>
      <c r="E289" t="s">
        <v>21</v>
      </c>
      <c r="F289" s="2">
        <v>4222.59</v>
      </c>
      <c r="G289" s="2">
        <v>6676.2</v>
      </c>
      <c r="H289" s="1">
        <v>45633</v>
      </c>
      <c r="J289" t="s">
        <v>23</v>
      </c>
      <c r="L289" t="s">
        <v>24</v>
      </c>
      <c r="M289">
        <v>191</v>
      </c>
      <c r="N289">
        <v>16</v>
      </c>
      <c r="O289">
        <v>6</v>
      </c>
      <c r="P289">
        <v>5</v>
      </c>
      <c r="Q289">
        <v>4</v>
      </c>
    </row>
    <row r="290" spans="1:17" x14ac:dyDescent="0.25">
      <c r="A290" t="s">
        <v>1075</v>
      </c>
      <c r="B290" t="s">
        <v>1076</v>
      </c>
      <c r="C290" t="s">
        <v>1077</v>
      </c>
      <c r="D290" t="s">
        <v>57</v>
      </c>
      <c r="E290" t="s">
        <v>21</v>
      </c>
      <c r="F290" s="2">
        <v>2604.7800000000002</v>
      </c>
      <c r="G290" s="2">
        <v>2330284.2999999998</v>
      </c>
      <c r="H290" t="s">
        <v>295</v>
      </c>
      <c r="J290" t="s">
        <v>1078</v>
      </c>
      <c r="K290" t="s">
        <v>53</v>
      </c>
      <c r="L290" t="s">
        <v>24</v>
      </c>
      <c r="M290" s="3">
        <v>1317842</v>
      </c>
      <c r="N290">
        <v>824</v>
      </c>
      <c r="O290" s="3">
        <v>2904</v>
      </c>
      <c r="P290">
        <v>0</v>
      </c>
      <c r="Q290">
        <v>1</v>
      </c>
    </row>
    <row r="291" spans="1:17" x14ac:dyDescent="0.25">
      <c r="A291" t="s">
        <v>1079</v>
      </c>
      <c r="B291" t="s">
        <v>1080</v>
      </c>
      <c r="C291" t="s">
        <v>1081</v>
      </c>
      <c r="D291" t="s">
        <v>57</v>
      </c>
      <c r="E291" t="s">
        <v>21</v>
      </c>
      <c r="F291">
        <v>60.48</v>
      </c>
      <c r="G291">
        <v>60.48</v>
      </c>
      <c r="H291" t="s">
        <v>1082</v>
      </c>
      <c r="J291" t="s">
        <v>23</v>
      </c>
      <c r="L291" t="s">
        <v>28</v>
      </c>
      <c r="M291">
        <v>26</v>
      </c>
      <c r="N291">
        <v>0</v>
      </c>
      <c r="O291">
        <v>3</v>
      </c>
      <c r="P291">
        <v>2</v>
      </c>
      <c r="Q291">
        <v>0</v>
      </c>
    </row>
    <row r="292" spans="1:17" x14ac:dyDescent="0.25">
      <c r="A292" t="s">
        <v>1083</v>
      </c>
      <c r="B292" t="s">
        <v>1084</v>
      </c>
      <c r="C292" t="s">
        <v>1085</v>
      </c>
      <c r="D292" t="s">
        <v>57</v>
      </c>
      <c r="E292" t="s">
        <v>21</v>
      </c>
      <c r="G292" s="2">
        <v>980233.32</v>
      </c>
      <c r="H292" s="1">
        <v>45667</v>
      </c>
      <c r="J292" t="s">
        <v>359</v>
      </c>
      <c r="L292" t="s">
        <v>28</v>
      </c>
      <c r="M292" s="3">
        <v>675372</v>
      </c>
      <c r="N292">
        <v>0</v>
      </c>
      <c r="O292" s="3">
        <v>2559</v>
      </c>
      <c r="P292">
        <v>0</v>
      </c>
      <c r="Q292">
        <v>0</v>
      </c>
    </row>
    <row r="293" spans="1:17" x14ac:dyDescent="0.25">
      <c r="A293" t="s">
        <v>1086</v>
      </c>
      <c r="B293" t="s">
        <v>1087</v>
      </c>
      <c r="C293" t="s">
        <v>1088</v>
      </c>
      <c r="D293" t="s">
        <v>57</v>
      </c>
      <c r="E293" t="s">
        <v>21</v>
      </c>
      <c r="F293">
        <v>500.91</v>
      </c>
      <c r="G293">
        <v>500.91</v>
      </c>
      <c r="H293" t="s">
        <v>1089</v>
      </c>
      <c r="J293" t="s">
        <v>23</v>
      </c>
      <c r="L293" t="s">
        <v>28</v>
      </c>
      <c r="M293">
        <v>19</v>
      </c>
      <c r="N293">
        <v>0</v>
      </c>
      <c r="O293">
        <v>3</v>
      </c>
      <c r="P293">
        <v>0</v>
      </c>
      <c r="Q293">
        <v>2</v>
      </c>
    </row>
    <row r="294" spans="1:17" x14ac:dyDescent="0.25">
      <c r="A294" t="s">
        <v>1086</v>
      </c>
      <c r="B294" t="s">
        <v>1090</v>
      </c>
      <c r="C294" t="s">
        <v>1091</v>
      </c>
      <c r="D294" t="s">
        <v>57</v>
      </c>
      <c r="E294" t="s">
        <v>21</v>
      </c>
      <c r="F294" s="2">
        <v>2542.0100000000002</v>
      </c>
      <c r="G294" s="2">
        <v>2542.0100000000002</v>
      </c>
      <c r="H294" t="s">
        <v>378</v>
      </c>
      <c r="J294" t="s">
        <v>23</v>
      </c>
      <c r="L294" t="s">
        <v>28</v>
      </c>
      <c r="M294">
        <v>472</v>
      </c>
      <c r="N294">
        <v>0</v>
      </c>
      <c r="O294">
        <v>3</v>
      </c>
      <c r="P294">
        <v>0</v>
      </c>
      <c r="Q294">
        <v>9</v>
      </c>
    </row>
    <row r="295" spans="1:17" x14ac:dyDescent="0.25">
      <c r="A295" t="s">
        <v>1092</v>
      </c>
      <c r="B295" t="s">
        <v>1093</v>
      </c>
      <c r="C295" t="s">
        <v>1094</v>
      </c>
      <c r="D295" t="s">
        <v>57</v>
      </c>
      <c r="E295" t="s">
        <v>21</v>
      </c>
      <c r="G295" s="2">
        <v>16629.96</v>
      </c>
      <c r="H295" s="1">
        <v>45454</v>
      </c>
      <c r="J295" t="s">
        <v>23</v>
      </c>
      <c r="L295" t="s">
        <v>24</v>
      </c>
      <c r="M295">
        <v>745</v>
      </c>
      <c r="N295">
        <v>0</v>
      </c>
      <c r="O295">
        <v>3</v>
      </c>
      <c r="P295">
        <v>2</v>
      </c>
      <c r="Q295">
        <v>1</v>
      </c>
    </row>
    <row r="296" spans="1:17" x14ac:dyDescent="0.25">
      <c r="A296" t="s">
        <v>1095</v>
      </c>
      <c r="B296" t="s">
        <v>1096</v>
      </c>
      <c r="C296" t="s">
        <v>1097</v>
      </c>
      <c r="D296" t="s">
        <v>57</v>
      </c>
      <c r="E296" t="s">
        <v>21</v>
      </c>
      <c r="F296">
        <v>266.83</v>
      </c>
      <c r="G296" s="2">
        <v>3514593.14</v>
      </c>
      <c r="H296" s="1">
        <v>45358</v>
      </c>
      <c r="J296" t="s">
        <v>1098</v>
      </c>
      <c r="K296" t="s">
        <v>53</v>
      </c>
      <c r="L296" t="s">
        <v>28</v>
      </c>
      <c r="M296" s="3">
        <v>1831633</v>
      </c>
      <c r="N296">
        <v>127</v>
      </c>
      <c r="O296" s="3">
        <v>3184</v>
      </c>
      <c r="P296">
        <v>0</v>
      </c>
      <c r="Q296">
        <v>0</v>
      </c>
    </row>
    <row r="297" spans="1:17" x14ac:dyDescent="0.25">
      <c r="C297" t="s">
        <v>1099</v>
      </c>
      <c r="D297" t="s">
        <v>57</v>
      </c>
      <c r="E297" t="s">
        <v>1100</v>
      </c>
      <c r="G297">
        <v>0</v>
      </c>
      <c r="I297" t="s">
        <v>191</v>
      </c>
      <c r="J297" t="s">
        <v>23</v>
      </c>
      <c r="L297" t="s">
        <v>24</v>
      </c>
      <c r="M297">
        <v>4</v>
      </c>
      <c r="N297">
        <v>0</v>
      </c>
      <c r="O297">
        <v>3</v>
      </c>
      <c r="P297">
        <v>0</v>
      </c>
      <c r="Q297">
        <v>0</v>
      </c>
    </row>
    <row r="298" spans="1:17" x14ac:dyDescent="0.25">
      <c r="C298" t="s">
        <v>1101</v>
      </c>
      <c r="D298" t="s">
        <v>57</v>
      </c>
      <c r="E298" t="s">
        <v>1100</v>
      </c>
      <c r="G298">
        <v>19.71</v>
      </c>
      <c r="I298" t="s">
        <v>191</v>
      </c>
      <c r="J298" t="s">
        <v>23</v>
      </c>
      <c r="L298" t="s">
        <v>24</v>
      </c>
      <c r="M298">
        <v>15</v>
      </c>
      <c r="N298">
        <v>0</v>
      </c>
      <c r="O298">
        <v>5</v>
      </c>
      <c r="P298">
        <v>0</v>
      </c>
      <c r="Q298">
        <v>0</v>
      </c>
    </row>
    <row r="299" spans="1:17" x14ac:dyDescent="0.25">
      <c r="A299" t="s">
        <v>1102</v>
      </c>
      <c r="B299" t="s">
        <v>1103</v>
      </c>
      <c r="C299" t="s">
        <v>1104</v>
      </c>
      <c r="D299" t="s">
        <v>57</v>
      </c>
      <c r="E299" t="s">
        <v>1105</v>
      </c>
      <c r="H299" s="1">
        <v>45414</v>
      </c>
      <c r="L299" t="s">
        <v>28</v>
      </c>
    </row>
    <row r="300" spans="1:17" x14ac:dyDescent="0.25">
      <c r="A300" t="s">
        <v>1106</v>
      </c>
      <c r="B300" t="s">
        <v>1107</v>
      </c>
      <c r="C300" t="s">
        <v>1108</v>
      </c>
      <c r="D300" t="s">
        <v>57</v>
      </c>
      <c r="E300" t="s">
        <v>1105</v>
      </c>
      <c r="F300">
        <v>1</v>
      </c>
      <c r="H300" t="s">
        <v>1109</v>
      </c>
      <c r="L300" t="s">
        <v>28</v>
      </c>
    </row>
    <row r="301" spans="1:17" x14ac:dyDescent="0.25">
      <c r="A301" t="s">
        <v>1110</v>
      </c>
      <c r="B301" t="s">
        <v>1111</v>
      </c>
      <c r="C301" t="s">
        <v>1112</v>
      </c>
      <c r="D301" t="s">
        <v>57</v>
      </c>
      <c r="E301" t="s">
        <v>1105</v>
      </c>
      <c r="F301" s="2">
        <v>3063617.22</v>
      </c>
      <c r="H301" t="s">
        <v>1113</v>
      </c>
      <c r="L301" t="s">
        <v>24</v>
      </c>
    </row>
    <row r="302" spans="1:17" x14ac:dyDescent="0.25">
      <c r="A302" t="s">
        <v>29</v>
      </c>
      <c r="B302" t="s">
        <v>30</v>
      </c>
      <c r="C302" t="s">
        <v>1114</v>
      </c>
      <c r="D302" t="s">
        <v>57</v>
      </c>
      <c r="E302" t="s">
        <v>1105</v>
      </c>
      <c r="H302" s="1">
        <v>45693</v>
      </c>
      <c r="L302" t="s">
        <v>24</v>
      </c>
    </row>
    <row r="303" spans="1:17" x14ac:dyDescent="0.25">
      <c r="A303" t="s">
        <v>29</v>
      </c>
      <c r="B303" t="s">
        <v>30</v>
      </c>
      <c r="C303" t="s">
        <v>31</v>
      </c>
      <c r="D303" t="s">
        <v>57</v>
      </c>
      <c r="E303" t="s">
        <v>1105</v>
      </c>
      <c r="H303" s="1">
        <v>45693</v>
      </c>
      <c r="L303" t="s">
        <v>28</v>
      </c>
    </row>
    <row r="304" spans="1:17" x14ac:dyDescent="0.25">
      <c r="C304" t="s">
        <v>1115</v>
      </c>
      <c r="D304" t="s">
        <v>20</v>
      </c>
      <c r="E304" t="s">
        <v>1105</v>
      </c>
      <c r="H304" t="s">
        <v>1116</v>
      </c>
      <c r="L304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5C8CFC0CBEE41B8CFBC7DD2E4A2F3" ma:contentTypeVersion="18" ma:contentTypeDescription="Create a new document." ma:contentTypeScope="" ma:versionID="14648a246691bf88f6001a615f914d74">
  <xsd:schema xmlns:xsd="http://www.w3.org/2001/XMLSchema" xmlns:xs="http://www.w3.org/2001/XMLSchema" xmlns:p="http://schemas.microsoft.com/office/2006/metadata/properties" xmlns:ns2="c09f5533-d688-43dc-bfa7-8776ae5541f2" xmlns:ns3="5349d114-eab6-440c-be6a-6b992d9e921f" targetNamespace="http://schemas.microsoft.com/office/2006/metadata/properties" ma:root="true" ma:fieldsID="458336c8a282bd78a1a04433c9e96231" ns2:_="" ns3:_="">
    <xsd:import namespace="c09f5533-d688-43dc-bfa7-8776ae5541f2"/>
    <xsd:import namespace="5349d114-eab6-440c-be6a-6b992d9e921f"/>
    <xsd:element name="properties">
      <xsd:complexType>
        <xsd:sequence>
          <xsd:element name="documentManagement">
            <xsd:complexType>
              <xsd:all>
                <xsd:element ref="ns2:MediaServiceObjectDetectorVersions" minOccurs="0"/>
                <xsd:element ref="ns2:MediaServiceSearchProperties" minOccurs="0"/>
                <xsd:element ref="ns2:MediaServiceOCR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f5533-d688-43dc-bfa7-8776ae5541f2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e7b5189-05a3-4f8e-89bc-27c36ede09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9d114-eab6-440c-be6a-6b992d9e921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5080df0-8dc8-4ff1-bf2d-87ecde54405f}" ma:internalName="TaxCatchAll" ma:showField="CatchAllData" ma:web="5349d114-eab6-440c-be6a-6b992d9e9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9f5533-d688-43dc-bfa7-8776ae5541f2">
      <Terms xmlns="http://schemas.microsoft.com/office/infopath/2007/PartnerControls"/>
    </lcf76f155ced4ddcb4097134ff3c332f>
    <TaxCatchAll xmlns="5349d114-eab6-440c-be6a-6b992d9e921f" xsi:nil="true"/>
  </documentManagement>
</p:properties>
</file>

<file path=customXml/itemProps1.xml><?xml version="1.0" encoding="utf-8"?>
<ds:datastoreItem xmlns:ds="http://schemas.openxmlformats.org/officeDocument/2006/customXml" ds:itemID="{9F6D6F9B-E788-4C74-98CF-54AC23FF1DFD}"/>
</file>

<file path=customXml/itemProps2.xml><?xml version="1.0" encoding="utf-8"?>
<ds:datastoreItem xmlns:ds="http://schemas.openxmlformats.org/officeDocument/2006/customXml" ds:itemID="{E8470C9B-B414-403C-ACA0-F3EB7B932A0B}"/>
</file>

<file path=customXml/itemProps3.xml><?xml version="1.0" encoding="utf-8"?>
<ds:datastoreItem xmlns:ds="http://schemas.openxmlformats.org/officeDocument/2006/customXml" ds:itemID="{47EA10F7-4A98-42A2-BF25-3936B0FE29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Alloction</vt:lpstr>
      <vt:lpstr>users clean</vt:lpstr>
      <vt:lpstr>Dropbox 2025-12-24 MEG member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Quach</cp:lastModifiedBy>
  <dcterms:created xsi:type="dcterms:W3CDTF">2026-03-01T23:52:36Z</dcterms:created>
  <dcterms:modified xsi:type="dcterms:W3CDTF">2026-03-02T00:14:30Z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0x0101004F85C8CFC0CBEE41B8CFBC7DD2E4A2F3</vt:lpwstr>
  </property>
</Properties>
</file>